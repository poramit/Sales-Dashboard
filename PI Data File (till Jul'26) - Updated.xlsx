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mit Porwal Projects\Distribution Dashboard\PI Purchase vs Profit\"/>
    </mc:Choice>
  </mc:AlternateContent>
  <xr:revisionPtr revIDLastSave="0" documentId="13_ncr:1_{6EBB8E70-34F6-4CBD-8256-893222A885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2" sheetId="16" r:id="rId1"/>
    <sheet name="Buyer" sheetId="10" r:id="rId2"/>
    <sheet name="New License" sheetId="14" r:id="rId3"/>
    <sheet name="Sales" sheetId="15" r:id="rId4"/>
    <sheet name="15% PCA" sheetId="9" r:id="rId5"/>
    <sheet name="Overstock" sheetId="13" r:id="rId6"/>
    <sheet name="Additional Watch Sales" sheetId="8" state="hidden" r:id="rId7"/>
    <sheet name="Additional watch Purchase" sheetId="7" state="hidden" r:id="rId8"/>
    <sheet name="Updated Summary" sheetId="6" state="hidden" r:id="rId9"/>
    <sheet name="Raw" sheetId="3" state="hidden" r:id="rId10"/>
    <sheet name="Raw File" sheetId="1" state="hidden" r:id="rId11"/>
  </sheets>
  <definedNames>
    <definedName name="_xlnm._FilterDatabase" localSheetId="4" hidden="1">'15% PCA'!$A$2:$L$57</definedName>
    <definedName name="_xlnm._FilterDatabase" localSheetId="1" hidden="1">Buyer!$A$1:$AG$25</definedName>
    <definedName name="_xlnm._FilterDatabase" localSheetId="2" hidden="1">'New License'!$A$1:$H$49</definedName>
    <definedName name="_xlnm._FilterDatabase" localSheetId="5" hidden="1">Overstock!$A$1:$G$1</definedName>
    <definedName name="_xlnm._FilterDatabase" localSheetId="9" hidden="1">Raw!$A$1:$AZ$498</definedName>
    <definedName name="_xlnm._FilterDatabase" localSheetId="10" hidden="1">'Raw File'!$A$2:$AU$2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9" l="1"/>
  <c r="L6" i="9"/>
  <c r="L7" i="9"/>
  <c r="L8" i="9"/>
  <c r="L9" i="9"/>
  <c r="L10" i="9"/>
  <c r="L11" i="9"/>
  <c r="L12" i="9"/>
  <c r="L13" i="9"/>
  <c r="L22" i="9"/>
  <c r="L14" i="9"/>
  <c r="L23" i="9"/>
  <c r="L27" i="9"/>
  <c r="L25" i="9"/>
  <c r="L26" i="9"/>
  <c r="L15" i="9"/>
  <c r="L29" i="9"/>
  <c r="L16" i="9"/>
  <c r="L17" i="9"/>
  <c r="L18" i="9"/>
  <c r="L28" i="9"/>
  <c r="L19" i="9"/>
  <c r="L24" i="9"/>
  <c r="L37" i="9"/>
  <c r="L38" i="9"/>
  <c r="L34" i="9"/>
  <c r="L31" i="9"/>
  <c r="L41" i="9"/>
  <c r="L35" i="9"/>
  <c r="L39" i="9"/>
  <c r="L40" i="9"/>
  <c r="L42" i="9"/>
  <c r="L30" i="9"/>
  <c r="L32" i="9"/>
  <c r="L54" i="9"/>
  <c r="L36" i="9"/>
  <c r="L53" i="9"/>
  <c r="L20" i="9"/>
  <c r="L33" i="9"/>
  <c r="L52" i="9"/>
  <c r="L46" i="9"/>
  <c r="L49" i="9"/>
  <c r="L50" i="9"/>
  <c r="L55" i="9"/>
  <c r="L45" i="9"/>
  <c r="L51" i="9"/>
  <c r="L44" i="9"/>
  <c r="L48" i="9"/>
  <c r="L47" i="9"/>
  <c r="L56" i="9"/>
  <c r="L21" i="9"/>
  <c r="L43" i="9"/>
  <c r="L57" i="9"/>
  <c r="L3" i="9"/>
  <c r="L4" i="9"/>
  <c r="K5" i="15" l="1"/>
  <c r="K6" i="15"/>
  <c r="K7" i="15"/>
  <c r="K8" i="15"/>
  <c r="K9" i="15"/>
  <c r="K10" i="15"/>
  <c r="K11" i="15"/>
  <c r="K4" i="15"/>
  <c r="J5" i="15"/>
  <c r="J6" i="15"/>
  <c r="J7" i="15"/>
  <c r="J8" i="15"/>
  <c r="J9" i="15"/>
  <c r="J10" i="15"/>
  <c r="J11" i="15"/>
  <c r="J4" i="15"/>
  <c r="L7" i="15" l="1"/>
  <c r="L6" i="15"/>
  <c r="L8" i="15"/>
  <c r="L9" i="15"/>
  <c r="L4" i="15"/>
  <c r="L10" i="15"/>
  <c r="L5" i="15"/>
  <c r="L11" i="15"/>
  <c r="K29" i="9" l="1"/>
  <c r="K13" i="9"/>
  <c r="K32" i="9"/>
  <c r="K22" i="9"/>
  <c r="K14" i="9"/>
  <c r="K25" i="9"/>
  <c r="K17" i="9"/>
  <c r="K16" i="9"/>
  <c r="K6" i="9"/>
  <c r="K5" i="9"/>
  <c r="K19" i="9"/>
  <c r="K8" i="9"/>
  <c r="K12" i="9"/>
  <c r="K36" i="9"/>
  <c r="K24" i="9"/>
  <c r="K42" i="9"/>
  <c r="K15" i="9"/>
  <c r="K30" i="9"/>
  <c r="K39" i="9"/>
  <c r="K35" i="9"/>
  <c r="K40" i="9"/>
  <c r="K38" i="9"/>
  <c r="K23" i="9"/>
  <c r="K46" i="9"/>
  <c r="K37" i="9"/>
  <c r="K7" i="9"/>
  <c r="K43" i="9"/>
  <c r="K21" i="9"/>
  <c r="K41" i="9"/>
  <c r="K31" i="9"/>
  <c r="K18" i="9"/>
  <c r="K34" i="9"/>
  <c r="K26" i="9"/>
  <c r="K28" i="9"/>
  <c r="K4" i="9"/>
  <c r="K9" i="9"/>
  <c r="K20" i="9"/>
  <c r="K3" i="9"/>
  <c r="K33" i="9"/>
  <c r="K44" i="9"/>
  <c r="K47" i="9"/>
  <c r="K45" i="9"/>
  <c r="K10" i="9"/>
  <c r="K11" i="9"/>
  <c r="K48" i="9"/>
  <c r="K53" i="9"/>
  <c r="K57" i="9"/>
  <c r="K50" i="9"/>
  <c r="K49" i="9"/>
  <c r="K51" i="9"/>
  <c r="K55" i="9"/>
  <c r="K54" i="9"/>
  <c r="K56" i="9"/>
  <c r="K52" i="9"/>
  <c r="K27" i="9"/>
  <c r="X23" i="8"/>
  <c r="W23" i="8"/>
  <c r="X22" i="8"/>
  <c r="W22" i="8"/>
  <c r="X21" i="8"/>
  <c r="W21" i="8"/>
  <c r="X20" i="8"/>
  <c r="W20" i="8"/>
  <c r="X19" i="8"/>
  <c r="W19" i="8"/>
  <c r="X18" i="8"/>
  <c r="W18" i="8"/>
  <c r="V11" i="8"/>
  <c r="U11" i="8"/>
  <c r="V10" i="8"/>
  <c r="U10" i="8"/>
  <c r="V9" i="8"/>
  <c r="U9" i="8"/>
  <c r="V8" i="8"/>
  <c r="U8" i="8"/>
  <c r="V7" i="8"/>
  <c r="U7" i="8"/>
  <c r="V6" i="8"/>
  <c r="U6" i="8"/>
  <c r="M11" i="8"/>
  <c r="L11" i="8"/>
  <c r="M10" i="8"/>
  <c r="L10" i="8"/>
  <c r="M9" i="8"/>
  <c r="L9" i="8"/>
  <c r="M8" i="8"/>
  <c r="L8" i="8"/>
  <c r="M7" i="8"/>
  <c r="L7" i="8"/>
  <c r="M6" i="8"/>
  <c r="L6" i="8"/>
  <c r="O23" i="8"/>
  <c r="N23" i="8"/>
  <c r="O22" i="8"/>
  <c r="N22" i="8"/>
  <c r="O21" i="8"/>
  <c r="N21" i="8"/>
  <c r="O20" i="8"/>
  <c r="N20" i="8"/>
  <c r="O19" i="8"/>
  <c r="N19" i="8"/>
  <c r="O18" i="8"/>
  <c r="N18" i="8"/>
  <c r="F19" i="8"/>
  <c r="F20" i="8"/>
  <c r="F21" i="8"/>
  <c r="F22" i="8"/>
  <c r="F23" i="8"/>
  <c r="F18" i="8"/>
  <c r="E23" i="8"/>
  <c r="E22" i="8"/>
  <c r="E21" i="8"/>
  <c r="E19" i="8"/>
  <c r="E20" i="8"/>
  <c r="E18" i="8"/>
  <c r="AG27" i="10" l="1"/>
  <c r="U26" i="10" l="1"/>
  <c r="T26" i="10"/>
  <c r="S26" i="10"/>
  <c r="R26" i="10"/>
  <c r="Q26" i="10"/>
  <c r="G26" i="10"/>
  <c r="D26" i="10"/>
  <c r="M26" i="10"/>
  <c r="L26" i="10"/>
  <c r="K26" i="10"/>
  <c r="J26" i="10"/>
  <c r="I26" i="10"/>
  <c r="F26" i="10"/>
  <c r="C26" i="10"/>
  <c r="AF26" i="10"/>
  <c r="AE26" i="10"/>
  <c r="AF15" i="10"/>
  <c r="AE15" i="10"/>
  <c r="U15" i="10"/>
  <c r="T15" i="10"/>
  <c r="S15" i="10"/>
  <c r="R15" i="10"/>
  <c r="Q15" i="10"/>
  <c r="G15" i="10"/>
  <c r="D15" i="10"/>
  <c r="M15" i="10"/>
  <c r="L15" i="10"/>
  <c r="K15" i="10"/>
  <c r="J15" i="10"/>
  <c r="I15" i="10"/>
  <c r="F15" i="10"/>
  <c r="C15" i="10"/>
  <c r="AF9" i="10"/>
  <c r="AE9" i="10"/>
  <c r="U9" i="10"/>
  <c r="T9" i="10"/>
  <c r="S9" i="10"/>
  <c r="R9" i="10"/>
  <c r="Q9" i="10"/>
  <c r="G9" i="10"/>
  <c r="D9" i="10"/>
  <c r="M9" i="10"/>
  <c r="L9" i="10"/>
  <c r="K9" i="10"/>
  <c r="J9" i="10"/>
  <c r="I9" i="10"/>
  <c r="F9" i="10"/>
  <c r="C9" i="10"/>
  <c r="AF4" i="10"/>
  <c r="AE4" i="10"/>
  <c r="U4" i="10"/>
  <c r="T4" i="10"/>
  <c r="S4" i="10"/>
  <c r="R4" i="10"/>
  <c r="Q4" i="10"/>
  <c r="G4" i="10"/>
  <c r="D4" i="10"/>
  <c r="M4" i="10"/>
  <c r="L4" i="10"/>
  <c r="K4" i="10"/>
  <c r="J4" i="10"/>
  <c r="I4" i="10"/>
  <c r="F4" i="10"/>
  <c r="C4" i="10"/>
  <c r="J52" i="9"/>
  <c r="J56" i="9"/>
  <c r="J54" i="9"/>
  <c r="G55" i="9"/>
  <c r="G51" i="9"/>
  <c r="J49" i="9"/>
  <c r="G50" i="9"/>
  <c r="J57" i="9"/>
  <c r="J53" i="9"/>
  <c r="J48" i="9"/>
  <c r="J11" i="9"/>
  <c r="J10" i="9"/>
  <c r="G45" i="9"/>
  <c r="J47" i="9"/>
  <c r="J44" i="9"/>
  <c r="J33" i="9"/>
  <c r="J3" i="9"/>
  <c r="J20" i="9"/>
  <c r="G9" i="9"/>
  <c r="J4" i="9"/>
  <c r="J28" i="9"/>
  <c r="J26" i="9"/>
  <c r="J34" i="9"/>
  <c r="J18" i="9"/>
  <c r="G31" i="9"/>
  <c r="J41" i="9"/>
  <c r="J21" i="9"/>
  <c r="J43" i="9"/>
  <c r="J7" i="9"/>
  <c r="J37" i="9"/>
  <c r="G46" i="9"/>
  <c r="J23" i="9"/>
  <c r="J38" i="9"/>
  <c r="J40" i="9"/>
  <c r="J35" i="9"/>
  <c r="J39" i="9"/>
  <c r="G30" i="9"/>
  <c r="J15" i="9"/>
  <c r="J42" i="9"/>
  <c r="J24" i="9"/>
  <c r="J36" i="9"/>
  <c r="J12" i="9"/>
  <c r="G8" i="9"/>
  <c r="J19" i="9"/>
  <c r="J5" i="9"/>
  <c r="J6" i="9"/>
  <c r="J16" i="9"/>
  <c r="J17" i="9"/>
  <c r="G25" i="9"/>
  <c r="J14" i="9"/>
  <c r="J22" i="9"/>
  <c r="J32" i="9"/>
  <c r="J13" i="9"/>
  <c r="J29" i="9"/>
  <c r="G27" i="9"/>
  <c r="Y10" i="8"/>
  <c r="P10" i="8"/>
  <c r="Y9" i="8"/>
  <c r="P9" i="8"/>
  <c r="Y8" i="8"/>
  <c r="P8" i="8"/>
  <c r="Y7" i="8"/>
  <c r="P7" i="8"/>
  <c r="Y6" i="8"/>
  <c r="P6" i="8"/>
  <c r="Q11" i="7"/>
  <c r="M11" i="7"/>
  <c r="J11" i="7"/>
  <c r="Q10" i="7"/>
  <c r="J10" i="7"/>
  <c r="Q9" i="7"/>
  <c r="J9" i="7"/>
  <c r="Q8" i="7"/>
  <c r="J8" i="7"/>
  <c r="Q7" i="7"/>
  <c r="J7" i="7"/>
  <c r="Q6" i="7"/>
  <c r="J6" i="7"/>
  <c r="AA26" i="10" l="1"/>
  <c r="AG15" i="10"/>
  <c r="AC26" i="10"/>
  <c r="AA15" i="10"/>
  <c r="Z15" i="10"/>
  <c r="Z9" i="10"/>
  <c r="Y15" i="10"/>
  <c r="E15" i="10"/>
  <c r="AB26" i="10"/>
  <c r="AB15" i="10"/>
  <c r="E26" i="10"/>
  <c r="AC15" i="10"/>
  <c r="E4" i="10"/>
  <c r="AB9" i="10"/>
  <c r="AA9" i="10"/>
  <c r="H26" i="10"/>
  <c r="AC9" i="10"/>
  <c r="E9" i="10"/>
  <c r="H9" i="10"/>
  <c r="AA4" i="10"/>
  <c r="Y9" i="10"/>
  <c r="AG26" i="10"/>
  <c r="Y4" i="10"/>
  <c r="Z4" i="10"/>
  <c r="AC4" i="10"/>
  <c r="AG4" i="10"/>
  <c r="AB4" i="10"/>
  <c r="H4" i="10"/>
  <c r="AG9" i="10"/>
  <c r="Z26" i="10"/>
  <c r="Y26" i="10"/>
  <c r="H15" i="10"/>
  <c r="G29" i="9"/>
  <c r="G39" i="9"/>
  <c r="G5" i="9"/>
  <c r="G53" i="9"/>
  <c r="G12" i="9"/>
  <c r="G49" i="9"/>
  <c r="G17" i="9"/>
  <c r="G42" i="9"/>
  <c r="G37" i="9"/>
  <c r="G28" i="9"/>
  <c r="G10" i="9"/>
  <c r="G54" i="9"/>
  <c r="G21" i="9"/>
  <c r="G22" i="9"/>
  <c r="G38" i="9"/>
  <c r="G44" i="9"/>
  <c r="G20" i="9"/>
  <c r="G18" i="9"/>
  <c r="G16" i="9"/>
  <c r="G35" i="9"/>
  <c r="G4" i="9"/>
  <c r="G56" i="9"/>
  <c r="J51" i="9"/>
  <c r="G32" i="9"/>
  <c r="G6" i="9"/>
  <c r="G24" i="9"/>
  <c r="G40" i="9"/>
  <c r="G43" i="9"/>
  <c r="G26" i="9"/>
  <c r="G33" i="9"/>
  <c r="G48" i="9"/>
  <c r="G52" i="9"/>
  <c r="J27" i="9"/>
  <c r="J25" i="9"/>
  <c r="J8" i="9"/>
  <c r="J30" i="9"/>
  <c r="J46" i="9"/>
  <c r="J31" i="9"/>
  <c r="J9" i="9"/>
  <c r="J45" i="9"/>
  <c r="J50" i="9"/>
  <c r="J55" i="9"/>
  <c r="G13" i="9"/>
  <c r="G14" i="9"/>
  <c r="G19" i="9"/>
  <c r="G36" i="9"/>
  <c r="G15" i="9"/>
  <c r="G23" i="9"/>
  <c r="G7" i="9"/>
  <c r="G41" i="9"/>
  <c r="G34" i="9"/>
  <c r="G3" i="9"/>
  <c r="G47" i="9"/>
  <c r="G11" i="9"/>
  <c r="G57" i="9"/>
  <c r="M18" i="6"/>
  <c r="F18" i="6"/>
  <c r="M17" i="6"/>
  <c r="F17" i="6"/>
  <c r="M16" i="6"/>
  <c r="F16" i="6"/>
  <c r="M15" i="6"/>
  <c r="F15" i="6"/>
  <c r="M14" i="6"/>
  <c r="F14" i="6"/>
  <c r="M10" i="6"/>
  <c r="I10" i="6"/>
  <c r="F10" i="6"/>
  <c r="M9" i="6"/>
  <c r="F9" i="6"/>
  <c r="M8" i="6"/>
  <c r="F8" i="6"/>
  <c r="M7" i="6"/>
  <c r="F7" i="6"/>
  <c r="M6" i="6"/>
  <c r="F6" i="6"/>
  <c r="M5" i="6"/>
  <c r="F5" i="6"/>
  <c r="L41" i="6"/>
  <c r="M41" i="6" s="1"/>
  <c r="L40" i="6"/>
  <c r="L39" i="6"/>
  <c r="L38" i="6"/>
  <c r="L36" i="6"/>
  <c r="K41" i="6"/>
  <c r="K40" i="6"/>
  <c r="K39" i="6"/>
  <c r="K38" i="6"/>
  <c r="K37" i="6"/>
  <c r="K36" i="6"/>
  <c r="J41" i="6"/>
  <c r="J40" i="6"/>
  <c r="J39" i="6"/>
  <c r="J38" i="6"/>
  <c r="J37" i="6"/>
  <c r="J36" i="6"/>
  <c r="J27" i="6"/>
  <c r="I41" i="6"/>
  <c r="I27" i="6"/>
  <c r="E41" i="6"/>
  <c r="E40" i="6"/>
  <c r="E39" i="6"/>
  <c r="E38" i="6"/>
  <c r="E36" i="6"/>
  <c r="D41" i="6"/>
  <c r="D40" i="6"/>
  <c r="D39" i="6"/>
  <c r="D38" i="6"/>
  <c r="D37" i="6"/>
  <c r="D36" i="6"/>
  <c r="C41" i="6"/>
  <c r="B41" i="6"/>
  <c r="K32" i="6"/>
  <c r="K31" i="6"/>
  <c r="K30" i="6"/>
  <c r="K29" i="6"/>
  <c r="K28" i="6"/>
  <c r="K27" i="6"/>
  <c r="J32" i="6"/>
  <c r="J31" i="6"/>
  <c r="J30" i="6"/>
  <c r="J29" i="6"/>
  <c r="J28" i="6"/>
  <c r="I28" i="6"/>
  <c r="I32" i="6"/>
  <c r="I31" i="6"/>
  <c r="I30" i="6"/>
  <c r="I29" i="6"/>
  <c r="D32" i="6"/>
  <c r="D31" i="6"/>
  <c r="D30" i="6"/>
  <c r="D29" i="6"/>
  <c r="D28" i="6"/>
  <c r="D27" i="6"/>
  <c r="C32" i="6"/>
  <c r="C31" i="6"/>
  <c r="C30" i="6"/>
  <c r="C29" i="6"/>
  <c r="C28" i="6"/>
  <c r="C27" i="6"/>
  <c r="B32" i="6"/>
  <c r="B31" i="6"/>
  <c r="B30" i="6"/>
  <c r="B29" i="6"/>
  <c r="B28" i="6"/>
  <c r="B27" i="6"/>
  <c r="F41" i="6" l="1"/>
  <c r="AY1" i="1"/>
  <c r="AX1" i="1"/>
  <c r="AW1" i="1"/>
  <c r="AV1" i="1"/>
  <c r="AU1" i="1"/>
  <c r="AT1" i="1"/>
  <c r="M40" i="6" l="1"/>
  <c r="F40" i="6"/>
  <c r="M39" i="6"/>
  <c r="F39" i="6"/>
  <c r="M38" i="6"/>
  <c r="F38" i="6"/>
  <c r="M36" i="6"/>
  <c r="F36" i="6"/>
  <c r="AG498" i="3" l="1"/>
  <c r="AF498" i="3"/>
  <c r="AE498" i="3"/>
  <c r="AD498" i="3"/>
  <c r="AC498" i="3"/>
  <c r="AB498" i="3"/>
  <c r="U498" i="3"/>
  <c r="G498" i="3"/>
  <c r="I498" i="3" s="1"/>
  <c r="AG497" i="3"/>
  <c r="AF497" i="3"/>
  <c r="AE497" i="3"/>
  <c r="AD497" i="3"/>
  <c r="AC497" i="3"/>
  <c r="AB497" i="3"/>
  <c r="U497" i="3"/>
  <c r="G497" i="3"/>
  <c r="I497" i="3" s="1"/>
  <c r="AG496" i="3"/>
  <c r="AF496" i="3"/>
  <c r="AE496" i="3"/>
  <c r="AD496" i="3"/>
  <c r="AC496" i="3"/>
  <c r="AB496" i="3"/>
  <c r="U496" i="3"/>
  <c r="G496" i="3"/>
  <c r="I496" i="3" s="1"/>
  <c r="AG495" i="3"/>
  <c r="AF495" i="3"/>
  <c r="AE495" i="3"/>
  <c r="AD495" i="3"/>
  <c r="AC495" i="3"/>
  <c r="AB495" i="3"/>
  <c r="U495" i="3"/>
  <c r="T495" i="3"/>
  <c r="S495" i="3"/>
  <c r="R495" i="3"/>
  <c r="Q495" i="3"/>
  <c r="P495" i="3"/>
  <c r="G495" i="3"/>
  <c r="I495" i="3" s="1"/>
  <c r="AG494" i="3"/>
  <c r="AF494" i="3"/>
  <c r="AE494" i="3"/>
  <c r="AD494" i="3"/>
  <c r="AC494" i="3"/>
  <c r="AB494" i="3"/>
  <c r="U494" i="3"/>
  <c r="T494" i="3"/>
  <c r="S494" i="3"/>
  <c r="R494" i="3"/>
  <c r="Q494" i="3"/>
  <c r="P494" i="3"/>
  <c r="G494" i="3"/>
  <c r="I494" i="3" s="1"/>
  <c r="AG493" i="3"/>
  <c r="AF493" i="3"/>
  <c r="AE493" i="3"/>
  <c r="AD493" i="3"/>
  <c r="AC493" i="3"/>
  <c r="AB493" i="3"/>
  <c r="U493" i="3"/>
  <c r="T493" i="3"/>
  <c r="S493" i="3"/>
  <c r="R493" i="3"/>
  <c r="Q493" i="3"/>
  <c r="P493" i="3"/>
  <c r="G493" i="3"/>
  <c r="I493" i="3" s="1"/>
  <c r="AG492" i="3"/>
  <c r="AF492" i="3"/>
  <c r="AE492" i="3"/>
  <c r="AD492" i="3"/>
  <c r="AC492" i="3"/>
  <c r="AB492" i="3"/>
  <c r="U492" i="3"/>
  <c r="T492" i="3"/>
  <c r="S492" i="3"/>
  <c r="R492" i="3"/>
  <c r="Q492" i="3"/>
  <c r="P492" i="3"/>
  <c r="G492" i="3"/>
  <c r="I492" i="3" s="1"/>
  <c r="AG491" i="3"/>
  <c r="AF491" i="3"/>
  <c r="AE491" i="3"/>
  <c r="AD491" i="3"/>
  <c r="AC491" i="3"/>
  <c r="AB491" i="3"/>
  <c r="U491" i="3"/>
  <c r="T491" i="3"/>
  <c r="S491" i="3"/>
  <c r="R491" i="3"/>
  <c r="Q491" i="3"/>
  <c r="P491" i="3"/>
  <c r="G491" i="3"/>
  <c r="I491" i="3" s="1"/>
  <c r="AG490" i="3"/>
  <c r="AF490" i="3"/>
  <c r="AE490" i="3"/>
  <c r="AD490" i="3"/>
  <c r="AC490" i="3"/>
  <c r="AB490" i="3"/>
  <c r="U490" i="3"/>
  <c r="T490" i="3"/>
  <c r="S490" i="3"/>
  <c r="R490" i="3"/>
  <c r="Q490" i="3"/>
  <c r="P490" i="3"/>
  <c r="G490" i="3"/>
  <c r="I490" i="3" s="1"/>
  <c r="AG489" i="3"/>
  <c r="AF489" i="3"/>
  <c r="AE489" i="3"/>
  <c r="AD489" i="3"/>
  <c r="AC489" i="3"/>
  <c r="AB489" i="3"/>
  <c r="U489" i="3"/>
  <c r="T489" i="3"/>
  <c r="S489" i="3"/>
  <c r="R489" i="3"/>
  <c r="Q489" i="3"/>
  <c r="P489" i="3"/>
  <c r="G489" i="3"/>
  <c r="I489" i="3" s="1"/>
  <c r="AG488" i="3"/>
  <c r="AF488" i="3"/>
  <c r="AE488" i="3"/>
  <c r="AD488" i="3"/>
  <c r="AC488" i="3"/>
  <c r="AB488" i="3"/>
  <c r="U488" i="3"/>
  <c r="T488" i="3"/>
  <c r="S488" i="3"/>
  <c r="R488" i="3"/>
  <c r="Q488" i="3"/>
  <c r="P488" i="3"/>
  <c r="G488" i="3"/>
  <c r="I488" i="3" s="1"/>
  <c r="AG487" i="3"/>
  <c r="AF487" i="3"/>
  <c r="AE487" i="3"/>
  <c r="AD487" i="3"/>
  <c r="AC487" i="3"/>
  <c r="AB487" i="3"/>
  <c r="U487" i="3"/>
  <c r="T487" i="3"/>
  <c r="S487" i="3"/>
  <c r="R487" i="3"/>
  <c r="Q487" i="3"/>
  <c r="P487" i="3"/>
  <c r="G487" i="3"/>
  <c r="I487" i="3" s="1"/>
  <c r="AG486" i="3"/>
  <c r="AF486" i="3"/>
  <c r="AE486" i="3"/>
  <c r="AD486" i="3"/>
  <c r="AC486" i="3"/>
  <c r="AB486" i="3"/>
  <c r="U486" i="3"/>
  <c r="T486" i="3"/>
  <c r="S486" i="3"/>
  <c r="R486" i="3"/>
  <c r="Q486" i="3"/>
  <c r="P486" i="3"/>
  <c r="G486" i="3"/>
  <c r="I486" i="3" s="1"/>
  <c r="AG485" i="3"/>
  <c r="AF485" i="3"/>
  <c r="AE485" i="3"/>
  <c r="AD485" i="3"/>
  <c r="AC485" i="3"/>
  <c r="AB485" i="3"/>
  <c r="U485" i="3"/>
  <c r="T485" i="3"/>
  <c r="S485" i="3"/>
  <c r="R485" i="3"/>
  <c r="Q485" i="3"/>
  <c r="P485" i="3"/>
  <c r="G485" i="3"/>
  <c r="I485" i="3" s="1"/>
  <c r="AG484" i="3"/>
  <c r="AF484" i="3"/>
  <c r="AE484" i="3"/>
  <c r="AD484" i="3"/>
  <c r="AC484" i="3"/>
  <c r="AB484" i="3"/>
  <c r="U484" i="3"/>
  <c r="T484" i="3"/>
  <c r="S484" i="3"/>
  <c r="R484" i="3"/>
  <c r="Q484" i="3"/>
  <c r="P484" i="3"/>
  <c r="G484" i="3"/>
  <c r="I484" i="3" s="1"/>
  <c r="AG483" i="3"/>
  <c r="AF483" i="3"/>
  <c r="AE483" i="3"/>
  <c r="AD483" i="3"/>
  <c r="AC483" i="3"/>
  <c r="AB483" i="3"/>
  <c r="U483" i="3"/>
  <c r="T483" i="3"/>
  <c r="S483" i="3"/>
  <c r="R483" i="3"/>
  <c r="Q483" i="3"/>
  <c r="P483" i="3"/>
  <c r="G483" i="3"/>
  <c r="I483" i="3" s="1"/>
  <c r="AG482" i="3"/>
  <c r="AF482" i="3"/>
  <c r="AE482" i="3"/>
  <c r="AD482" i="3"/>
  <c r="AC482" i="3"/>
  <c r="AB482" i="3"/>
  <c r="U482" i="3"/>
  <c r="T482" i="3"/>
  <c r="S482" i="3"/>
  <c r="R482" i="3"/>
  <c r="Q482" i="3"/>
  <c r="P482" i="3"/>
  <c r="G482" i="3"/>
  <c r="I482" i="3" s="1"/>
  <c r="AG481" i="3"/>
  <c r="AF481" i="3"/>
  <c r="AE481" i="3"/>
  <c r="AD481" i="3"/>
  <c r="AC481" i="3"/>
  <c r="AB481" i="3"/>
  <c r="U481" i="3"/>
  <c r="T481" i="3"/>
  <c r="S481" i="3"/>
  <c r="R481" i="3"/>
  <c r="Q481" i="3"/>
  <c r="P481" i="3"/>
  <c r="G481" i="3"/>
  <c r="I481" i="3" s="1"/>
  <c r="AG480" i="3"/>
  <c r="AF480" i="3"/>
  <c r="AE480" i="3"/>
  <c r="AD480" i="3"/>
  <c r="AC480" i="3"/>
  <c r="AB480" i="3"/>
  <c r="U480" i="3"/>
  <c r="T480" i="3"/>
  <c r="S480" i="3"/>
  <c r="R480" i="3"/>
  <c r="Q480" i="3"/>
  <c r="P480" i="3"/>
  <c r="G480" i="3"/>
  <c r="I480" i="3" s="1"/>
  <c r="AG479" i="3"/>
  <c r="AF479" i="3"/>
  <c r="AE479" i="3"/>
  <c r="AD479" i="3"/>
  <c r="AC479" i="3"/>
  <c r="AB479" i="3"/>
  <c r="U479" i="3"/>
  <c r="T479" i="3"/>
  <c r="S479" i="3"/>
  <c r="R479" i="3"/>
  <c r="Q479" i="3"/>
  <c r="P479" i="3"/>
  <c r="G479" i="3"/>
  <c r="I479" i="3" s="1"/>
  <c r="AG478" i="3"/>
  <c r="AF478" i="3"/>
  <c r="AE478" i="3"/>
  <c r="AD478" i="3"/>
  <c r="AC478" i="3"/>
  <c r="AB478" i="3"/>
  <c r="U478" i="3"/>
  <c r="T478" i="3"/>
  <c r="S478" i="3"/>
  <c r="R478" i="3"/>
  <c r="Q478" i="3"/>
  <c r="P478" i="3"/>
  <c r="G478" i="3"/>
  <c r="I478" i="3" s="1"/>
  <c r="AI477" i="3"/>
  <c r="AG477" i="3"/>
  <c r="AF477" i="3"/>
  <c r="AE477" i="3"/>
  <c r="AD477" i="3"/>
  <c r="AC477" i="3"/>
  <c r="AB477" i="3"/>
  <c r="U477" i="3"/>
  <c r="T477" i="3"/>
  <c r="S477" i="3"/>
  <c r="R477" i="3"/>
  <c r="Q477" i="3"/>
  <c r="P477" i="3"/>
  <c r="G477" i="3"/>
  <c r="I477" i="3" s="1"/>
  <c r="AG476" i="3"/>
  <c r="AF476" i="3"/>
  <c r="AE476" i="3"/>
  <c r="AD476" i="3"/>
  <c r="AC476" i="3"/>
  <c r="AB476" i="3"/>
  <c r="U476" i="3"/>
  <c r="T476" i="3"/>
  <c r="S476" i="3"/>
  <c r="R476" i="3"/>
  <c r="Q476" i="3"/>
  <c r="P476" i="3"/>
  <c r="G476" i="3"/>
  <c r="I476" i="3" s="1"/>
  <c r="AG475" i="3"/>
  <c r="AF475" i="3"/>
  <c r="AE475" i="3"/>
  <c r="AD475" i="3"/>
  <c r="AC475" i="3"/>
  <c r="AB475" i="3"/>
  <c r="U475" i="3"/>
  <c r="T475" i="3"/>
  <c r="S475" i="3"/>
  <c r="R475" i="3"/>
  <c r="Q475" i="3"/>
  <c r="P475" i="3"/>
  <c r="G475" i="3"/>
  <c r="I475" i="3" s="1"/>
  <c r="AG474" i="3"/>
  <c r="AF474" i="3"/>
  <c r="AE474" i="3"/>
  <c r="AD474" i="3"/>
  <c r="AC474" i="3"/>
  <c r="AB474" i="3"/>
  <c r="U474" i="3"/>
  <c r="T474" i="3"/>
  <c r="S474" i="3"/>
  <c r="R474" i="3"/>
  <c r="Q474" i="3"/>
  <c r="P474" i="3"/>
  <c r="G474" i="3"/>
  <c r="I474" i="3" s="1"/>
  <c r="AG473" i="3"/>
  <c r="AF473" i="3"/>
  <c r="AE473" i="3"/>
  <c r="AD473" i="3"/>
  <c r="AC473" i="3"/>
  <c r="AB473" i="3"/>
  <c r="U473" i="3"/>
  <c r="G473" i="3"/>
  <c r="I473" i="3" s="1"/>
  <c r="AG472" i="3"/>
  <c r="AF472" i="3"/>
  <c r="AE472" i="3"/>
  <c r="AD472" i="3"/>
  <c r="AC472" i="3"/>
  <c r="AB472" i="3"/>
  <c r="U472" i="3"/>
  <c r="T472" i="3"/>
  <c r="S472" i="3"/>
  <c r="R472" i="3"/>
  <c r="Q472" i="3"/>
  <c r="P472" i="3"/>
  <c r="G472" i="3"/>
  <c r="I472" i="3" s="1"/>
  <c r="AG471" i="3"/>
  <c r="AF471" i="3"/>
  <c r="AE471" i="3"/>
  <c r="AD471" i="3"/>
  <c r="AC471" i="3"/>
  <c r="AB471" i="3"/>
  <c r="U471" i="3"/>
  <c r="T471" i="3"/>
  <c r="S471" i="3"/>
  <c r="R471" i="3"/>
  <c r="Q471" i="3"/>
  <c r="P471" i="3"/>
  <c r="G471" i="3"/>
  <c r="I471" i="3" s="1"/>
  <c r="AG470" i="3"/>
  <c r="AF470" i="3"/>
  <c r="AE470" i="3"/>
  <c r="AD470" i="3"/>
  <c r="AC470" i="3"/>
  <c r="AB470" i="3"/>
  <c r="U470" i="3"/>
  <c r="T470" i="3"/>
  <c r="S470" i="3"/>
  <c r="R470" i="3"/>
  <c r="Q470" i="3"/>
  <c r="P470" i="3"/>
  <c r="G470" i="3"/>
  <c r="I470" i="3" s="1"/>
  <c r="AG469" i="3"/>
  <c r="AF469" i="3"/>
  <c r="AE469" i="3"/>
  <c r="AD469" i="3"/>
  <c r="AC469" i="3"/>
  <c r="AB469" i="3"/>
  <c r="U469" i="3"/>
  <c r="T469" i="3"/>
  <c r="S469" i="3"/>
  <c r="R469" i="3"/>
  <c r="Q469" i="3"/>
  <c r="P469" i="3"/>
  <c r="G469" i="3"/>
  <c r="I469" i="3" s="1"/>
  <c r="AG468" i="3"/>
  <c r="AF468" i="3"/>
  <c r="AE468" i="3"/>
  <c r="AD468" i="3"/>
  <c r="AC468" i="3"/>
  <c r="AB468" i="3"/>
  <c r="U468" i="3"/>
  <c r="T468" i="3"/>
  <c r="S468" i="3"/>
  <c r="R468" i="3"/>
  <c r="Q468" i="3"/>
  <c r="P468" i="3"/>
  <c r="G468" i="3"/>
  <c r="I468" i="3" s="1"/>
  <c r="AG467" i="3"/>
  <c r="AF467" i="3"/>
  <c r="AE467" i="3"/>
  <c r="AD467" i="3"/>
  <c r="AC467" i="3"/>
  <c r="AB467" i="3"/>
  <c r="U467" i="3"/>
  <c r="T467" i="3"/>
  <c r="S467" i="3"/>
  <c r="R467" i="3"/>
  <c r="Q467" i="3"/>
  <c r="P467" i="3"/>
  <c r="G467" i="3"/>
  <c r="I467" i="3" s="1"/>
  <c r="AG466" i="3"/>
  <c r="AF466" i="3"/>
  <c r="AE466" i="3"/>
  <c r="AD466" i="3"/>
  <c r="AC466" i="3"/>
  <c r="AB466" i="3"/>
  <c r="U466" i="3"/>
  <c r="T466" i="3"/>
  <c r="S466" i="3"/>
  <c r="R466" i="3"/>
  <c r="Q466" i="3"/>
  <c r="P466" i="3"/>
  <c r="G466" i="3"/>
  <c r="I466" i="3" s="1"/>
  <c r="AG465" i="3"/>
  <c r="AF465" i="3"/>
  <c r="AE465" i="3"/>
  <c r="AD465" i="3"/>
  <c r="AC465" i="3"/>
  <c r="AB465" i="3"/>
  <c r="U465" i="3"/>
  <c r="T465" i="3"/>
  <c r="S465" i="3"/>
  <c r="R465" i="3"/>
  <c r="Q465" i="3"/>
  <c r="P465" i="3"/>
  <c r="G465" i="3"/>
  <c r="I465" i="3" s="1"/>
  <c r="AG464" i="3"/>
  <c r="AF464" i="3"/>
  <c r="AE464" i="3"/>
  <c r="AD464" i="3"/>
  <c r="AC464" i="3"/>
  <c r="AB464" i="3"/>
  <c r="U464" i="3"/>
  <c r="T464" i="3"/>
  <c r="S464" i="3"/>
  <c r="R464" i="3"/>
  <c r="Q464" i="3"/>
  <c r="P464" i="3"/>
  <c r="G464" i="3"/>
  <c r="I464" i="3" s="1"/>
  <c r="AG463" i="3"/>
  <c r="AF463" i="3"/>
  <c r="AE463" i="3"/>
  <c r="AD463" i="3"/>
  <c r="AC463" i="3"/>
  <c r="AB463" i="3"/>
  <c r="U463" i="3"/>
  <c r="T463" i="3"/>
  <c r="S463" i="3"/>
  <c r="R463" i="3"/>
  <c r="Q463" i="3"/>
  <c r="P463" i="3"/>
  <c r="G463" i="3"/>
  <c r="I463" i="3" s="1"/>
  <c r="AG462" i="3"/>
  <c r="AF462" i="3"/>
  <c r="AE462" i="3"/>
  <c r="AD462" i="3"/>
  <c r="AC462" i="3"/>
  <c r="AB462" i="3"/>
  <c r="U462" i="3"/>
  <c r="T462" i="3"/>
  <c r="S462" i="3"/>
  <c r="R462" i="3"/>
  <c r="Q462" i="3"/>
  <c r="P462" i="3"/>
  <c r="G462" i="3"/>
  <c r="I462" i="3" s="1"/>
  <c r="AG461" i="3"/>
  <c r="AF461" i="3"/>
  <c r="AE461" i="3"/>
  <c r="AD461" i="3"/>
  <c r="AC461" i="3"/>
  <c r="AB461" i="3"/>
  <c r="U461" i="3"/>
  <c r="T461" i="3"/>
  <c r="S461" i="3"/>
  <c r="R461" i="3"/>
  <c r="Q461" i="3"/>
  <c r="P461" i="3"/>
  <c r="G461" i="3"/>
  <c r="I461" i="3" s="1"/>
  <c r="AG460" i="3"/>
  <c r="AF460" i="3"/>
  <c r="AE460" i="3"/>
  <c r="AD460" i="3"/>
  <c r="AC460" i="3"/>
  <c r="AB460" i="3"/>
  <c r="U460" i="3"/>
  <c r="T460" i="3"/>
  <c r="S460" i="3"/>
  <c r="R460" i="3"/>
  <c r="Q460" i="3"/>
  <c r="P460" i="3"/>
  <c r="G460" i="3"/>
  <c r="I460" i="3" s="1"/>
  <c r="AG459" i="3"/>
  <c r="AF459" i="3"/>
  <c r="AE459" i="3"/>
  <c r="AD459" i="3"/>
  <c r="AC459" i="3"/>
  <c r="AB459" i="3"/>
  <c r="U459" i="3"/>
  <c r="T459" i="3"/>
  <c r="S459" i="3"/>
  <c r="R459" i="3"/>
  <c r="Q459" i="3"/>
  <c r="P459" i="3"/>
  <c r="G459" i="3"/>
  <c r="I459" i="3" s="1"/>
  <c r="AG458" i="3"/>
  <c r="AF458" i="3"/>
  <c r="AE458" i="3"/>
  <c r="AD458" i="3"/>
  <c r="AC458" i="3"/>
  <c r="AB458" i="3"/>
  <c r="U458" i="3"/>
  <c r="T458" i="3"/>
  <c r="S458" i="3"/>
  <c r="R458" i="3"/>
  <c r="Q458" i="3"/>
  <c r="P458" i="3"/>
  <c r="G458" i="3"/>
  <c r="I458" i="3" s="1"/>
  <c r="AG457" i="3"/>
  <c r="AF457" i="3"/>
  <c r="AE457" i="3"/>
  <c r="AD457" i="3"/>
  <c r="AC457" i="3"/>
  <c r="AB457" i="3"/>
  <c r="U457" i="3"/>
  <c r="T457" i="3"/>
  <c r="S457" i="3"/>
  <c r="R457" i="3"/>
  <c r="Q457" i="3"/>
  <c r="P457" i="3"/>
  <c r="G457" i="3"/>
  <c r="I457" i="3" s="1"/>
  <c r="AG456" i="3"/>
  <c r="AF456" i="3"/>
  <c r="AE456" i="3"/>
  <c r="AD456" i="3"/>
  <c r="AC456" i="3"/>
  <c r="AB456" i="3"/>
  <c r="U456" i="3"/>
  <c r="T456" i="3"/>
  <c r="S456" i="3"/>
  <c r="R456" i="3"/>
  <c r="Q456" i="3"/>
  <c r="P456" i="3"/>
  <c r="G456" i="3"/>
  <c r="I456" i="3" s="1"/>
  <c r="AG455" i="3"/>
  <c r="AF455" i="3"/>
  <c r="AE455" i="3"/>
  <c r="AD455" i="3"/>
  <c r="AC455" i="3"/>
  <c r="AB455" i="3"/>
  <c r="U455" i="3"/>
  <c r="T455" i="3"/>
  <c r="S455" i="3"/>
  <c r="R455" i="3"/>
  <c r="Q455" i="3"/>
  <c r="P455" i="3"/>
  <c r="G455" i="3"/>
  <c r="I455" i="3" s="1"/>
  <c r="AG454" i="3"/>
  <c r="AF454" i="3"/>
  <c r="AE454" i="3"/>
  <c r="AD454" i="3"/>
  <c r="AC454" i="3"/>
  <c r="AB454" i="3"/>
  <c r="U454" i="3"/>
  <c r="T454" i="3"/>
  <c r="S454" i="3"/>
  <c r="R454" i="3"/>
  <c r="Q454" i="3"/>
  <c r="P454" i="3"/>
  <c r="G454" i="3"/>
  <c r="I454" i="3" s="1"/>
  <c r="AG453" i="3"/>
  <c r="AF453" i="3"/>
  <c r="AE453" i="3"/>
  <c r="AD453" i="3"/>
  <c r="AC453" i="3"/>
  <c r="AB453" i="3"/>
  <c r="U453" i="3"/>
  <c r="T453" i="3"/>
  <c r="S453" i="3"/>
  <c r="R453" i="3"/>
  <c r="Q453" i="3"/>
  <c r="P453" i="3"/>
  <c r="G453" i="3"/>
  <c r="I453" i="3" s="1"/>
  <c r="AG452" i="3"/>
  <c r="AF452" i="3"/>
  <c r="AE452" i="3"/>
  <c r="AD452" i="3"/>
  <c r="AC452" i="3"/>
  <c r="AB452" i="3"/>
  <c r="U452" i="3"/>
  <c r="T452" i="3"/>
  <c r="S452" i="3"/>
  <c r="R452" i="3"/>
  <c r="Q452" i="3"/>
  <c r="P452" i="3"/>
  <c r="G452" i="3"/>
  <c r="I452" i="3" s="1"/>
  <c r="AG451" i="3"/>
  <c r="AF451" i="3"/>
  <c r="AE451" i="3"/>
  <c r="AD451" i="3"/>
  <c r="AC451" i="3"/>
  <c r="AB451" i="3"/>
  <c r="U451" i="3"/>
  <c r="T451" i="3"/>
  <c r="S451" i="3"/>
  <c r="R451" i="3"/>
  <c r="Q451" i="3"/>
  <c r="P451" i="3"/>
  <c r="G451" i="3"/>
  <c r="I451" i="3" s="1"/>
  <c r="AG450" i="3"/>
  <c r="AF450" i="3"/>
  <c r="AE450" i="3"/>
  <c r="AD450" i="3"/>
  <c r="AC450" i="3"/>
  <c r="AB450" i="3"/>
  <c r="U450" i="3"/>
  <c r="T450" i="3"/>
  <c r="S450" i="3"/>
  <c r="R450" i="3"/>
  <c r="Q450" i="3"/>
  <c r="P450" i="3"/>
  <c r="G450" i="3"/>
  <c r="I450" i="3" s="1"/>
  <c r="AG449" i="3"/>
  <c r="AF449" i="3"/>
  <c r="AE449" i="3"/>
  <c r="AD449" i="3"/>
  <c r="AC449" i="3"/>
  <c r="AB449" i="3"/>
  <c r="U449" i="3"/>
  <c r="T449" i="3"/>
  <c r="S449" i="3"/>
  <c r="R449" i="3"/>
  <c r="Q449" i="3"/>
  <c r="P449" i="3"/>
  <c r="G449" i="3"/>
  <c r="I449" i="3" s="1"/>
  <c r="AG448" i="3"/>
  <c r="AF448" i="3"/>
  <c r="AE448" i="3"/>
  <c r="AD448" i="3"/>
  <c r="AC448" i="3"/>
  <c r="AB448" i="3"/>
  <c r="U448" i="3"/>
  <c r="T448" i="3"/>
  <c r="S448" i="3"/>
  <c r="R448" i="3"/>
  <c r="Q448" i="3"/>
  <c r="P448" i="3"/>
  <c r="G448" i="3"/>
  <c r="I448" i="3" s="1"/>
  <c r="AG447" i="3"/>
  <c r="AF447" i="3"/>
  <c r="AE447" i="3"/>
  <c r="AD447" i="3"/>
  <c r="AC447" i="3"/>
  <c r="AB447" i="3"/>
  <c r="U447" i="3"/>
  <c r="T447" i="3"/>
  <c r="S447" i="3"/>
  <c r="R447" i="3"/>
  <c r="Q447" i="3"/>
  <c r="P447" i="3"/>
  <c r="G447" i="3"/>
  <c r="I447" i="3" s="1"/>
  <c r="AG446" i="3"/>
  <c r="AF446" i="3"/>
  <c r="AE446" i="3"/>
  <c r="AD446" i="3"/>
  <c r="AC446" i="3"/>
  <c r="AB446" i="3"/>
  <c r="U446" i="3"/>
  <c r="T446" i="3"/>
  <c r="S446" i="3"/>
  <c r="R446" i="3"/>
  <c r="Q446" i="3"/>
  <c r="P446" i="3"/>
  <c r="G446" i="3"/>
  <c r="I446" i="3" s="1"/>
  <c r="AG445" i="3"/>
  <c r="AF445" i="3"/>
  <c r="AE445" i="3"/>
  <c r="AD445" i="3"/>
  <c r="AC445" i="3"/>
  <c r="AB445" i="3"/>
  <c r="U445" i="3"/>
  <c r="T445" i="3"/>
  <c r="S445" i="3"/>
  <c r="R445" i="3"/>
  <c r="Q445" i="3"/>
  <c r="P445" i="3"/>
  <c r="G445" i="3"/>
  <c r="I445" i="3" s="1"/>
  <c r="AG444" i="3"/>
  <c r="AF444" i="3"/>
  <c r="AE444" i="3"/>
  <c r="AD444" i="3"/>
  <c r="AC444" i="3"/>
  <c r="AB444" i="3"/>
  <c r="U444" i="3"/>
  <c r="T444" i="3"/>
  <c r="S444" i="3"/>
  <c r="R444" i="3"/>
  <c r="Q444" i="3"/>
  <c r="P444" i="3"/>
  <c r="G444" i="3"/>
  <c r="I444" i="3" s="1"/>
  <c r="AG443" i="3"/>
  <c r="AF443" i="3"/>
  <c r="AE443" i="3"/>
  <c r="AD443" i="3"/>
  <c r="AC443" i="3"/>
  <c r="AB443" i="3"/>
  <c r="U443" i="3"/>
  <c r="T443" i="3"/>
  <c r="S443" i="3"/>
  <c r="R443" i="3"/>
  <c r="Q443" i="3"/>
  <c r="P443" i="3"/>
  <c r="G443" i="3"/>
  <c r="I443" i="3" s="1"/>
  <c r="AG442" i="3"/>
  <c r="AF442" i="3"/>
  <c r="AE442" i="3"/>
  <c r="AD442" i="3"/>
  <c r="AC442" i="3"/>
  <c r="AB442" i="3"/>
  <c r="U442" i="3"/>
  <c r="T442" i="3"/>
  <c r="S442" i="3"/>
  <c r="R442" i="3"/>
  <c r="Q442" i="3"/>
  <c r="P442" i="3"/>
  <c r="G442" i="3"/>
  <c r="I442" i="3" s="1"/>
  <c r="AG441" i="3"/>
  <c r="AF441" i="3"/>
  <c r="AE441" i="3"/>
  <c r="AD441" i="3"/>
  <c r="AC441" i="3"/>
  <c r="AB441" i="3"/>
  <c r="U441" i="3"/>
  <c r="T441" i="3"/>
  <c r="S441" i="3"/>
  <c r="R441" i="3"/>
  <c r="Q441" i="3"/>
  <c r="P441" i="3"/>
  <c r="G441" i="3"/>
  <c r="I441" i="3" s="1"/>
  <c r="AG440" i="3"/>
  <c r="AF440" i="3"/>
  <c r="AE440" i="3"/>
  <c r="AD440" i="3"/>
  <c r="AC440" i="3"/>
  <c r="AB440" i="3"/>
  <c r="U440" i="3"/>
  <c r="T440" i="3"/>
  <c r="S440" i="3"/>
  <c r="R440" i="3"/>
  <c r="Q440" i="3"/>
  <c r="P440" i="3"/>
  <c r="G440" i="3"/>
  <c r="I440" i="3" s="1"/>
  <c r="AG439" i="3"/>
  <c r="AF439" i="3"/>
  <c r="AE439" i="3"/>
  <c r="AD439" i="3"/>
  <c r="AC439" i="3"/>
  <c r="AB439" i="3"/>
  <c r="U439" i="3"/>
  <c r="T439" i="3"/>
  <c r="S439" i="3"/>
  <c r="R439" i="3"/>
  <c r="Q439" i="3"/>
  <c r="P439" i="3"/>
  <c r="G439" i="3"/>
  <c r="I439" i="3" s="1"/>
  <c r="AG438" i="3"/>
  <c r="AF438" i="3"/>
  <c r="AE438" i="3"/>
  <c r="AD438" i="3"/>
  <c r="AC438" i="3"/>
  <c r="AB438" i="3"/>
  <c r="U438" i="3"/>
  <c r="T438" i="3"/>
  <c r="S438" i="3"/>
  <c r="R438" i="3"/>
  <c r="Q438" i="3"/>
  <c r="P438" i="3"/>
  <c r="G438" i="3"/>
  <c r="I438" i="3" s="1"/>
  <c r="AG437" i="3"/>
  <c r="AF437" i="3"/>
  <c r="AE437" i="3"/>
  <c r="AD437" i="3"/>
  <c r="AC437" i="3"/>
  <c r="AB437" i="3"/>
  <c r="U437" i="3"/>
  <c r="T437" i="3"/>
  <c r="S437" i="3"/>
  <c r="R437" i="3"/>
  <c r="Q437" i="3"/>
  <c r="P437" i="3"/>
  <c r="G437" i="3"/>
  <c r="I437" i="3" s="1"/>
  <c r="AG436" i="3"/>
  <c r="AF436" i="3"/>
  <c r="AE436" i="3"/>
  <c r="AD436" i="3"/>
  <c r="AC436" i="3"/>
  <c r="AB436" i="3"/>
  <c r="U436" i="3"/>
  <c r="T436" i="3"/>
  <c r="S436" i="3"/>
  <c r="R436" i="3"/>
  <c r="Q436" i="3"/>
  <c r="P436" i="3"/>
  <c r="G436" i="3"/>
  <c r="I436" i="3" s="1"/>
  <c r="AG435" i="3"/>
  <c r="AF435" i="3"/>
  <c r="AE435" i="3"/>
  <c r="AD435" i="3"/>
  <c r="AC435" i="3"/>
  <c r="AB435" i="3"/>
  <c r="U435" i="3"/>
  <c r="T435" i="3"/>
  <c r="S435" i="3"/>
  <c r="R435" i="3"/>
  <c r="Q435" i="3"/>
  <c r="P435" i="3"/>
  <c r="G435" i="3"/>
  <c r="I435" i="3" s="1"/>
  <c r="AG434" i="3"/>
  <c r="AF434" i="3"/>
  <c r="AE434" i="3"/>
  <c r="AD434" i="3"/>
  <c r="AC434" i="3"/>
  <c r="AB434" i="3"/>
  <c r="U434" i="3"/>
  <c r="T434" i="3"/>
  <c r="S434" i="3"/>
  <c r="R434" i="3"/>
  <c r="Q434" i="3"/>
  <c r="P434" i="3"/>
  <c r="G434" i="3"/>
  <c r="I434" i="3" s="1"/>
  <c r="AG433" i="3"/>
  <c r="AF433" i="3"/>
  <c r="AE433" i="3"/>
  <c r="AD433" i="3"/>
  <c r="AC433" i="3"/>
  <c r="AB433" i="3"/>
  <c r="U433" i="3"/>
  <c r="T433" i="3"/>
  <c r="S433" i="3"/>
  <c r="R433" i="3"/>
  <c r="Q433" i="3"/>
  <c r="P433" i="3"/>
  <c r="G433" i="3"/>
  <c r="I433" i="3" s="1"/>
  <c r="AG432" i="3"/>
  <c r="AF432" i="3"/>
  <c r="AE432" i="3"/>
  <c r="AD432" i="3"/>
  <c r="AC432" i="3"/>
  <c r="AB432" i="3"/>
  <c r="U432" i="3"/>
  <c r="T432" i="3"/>
  <c r="S432" i="3"/>
  <c r="R432" i="3"/>
  <c r="Q432" i="3"/>
  <c r="P432" i="3"/>
  <c r="G432" i="3"/>
  <c r="I432" i="3" s="1"/>
  <c r="AG431" i="3"/>
  <c r="AF431" i="3"/>
  <c r="AE431" i="3"/>
  <c r="AD431" i="3"/>
  <c r="AC431" i="3"/>
  <c r="AB431" i="3"/>
  <c r="U431" i="3"/>
  <c r="T431" i="3"/>
  <c r="S431" i="3"/>
  <c r="R431" i="3"/>
  <c r="Q431" i="3"/>
  <c r="P431" i="3"/>
  <c r="G431" i="3"/>
  <c r="I431" i="3" s="1"/>
  <c r="AG430" i="3"/>
  <c r="AF430" i="3"/>
  <c r="AE430" i="3"/>
  <c r="AD430" i="3"/>
  <c r="AC430" i="3"/>
  <c r="AB430" i="3"/>
  <c r="U430" i="3"/>
  <c r="T430" i="3"/>
  <c r="S430" i="3"/>
  <c r="R430" i="3"/>
  <c r="Q430" i="3"/>
  <c r="P430" i="3"/>
  <c r="G430" i="3"/>
  <c r="I430" i="3" s="1"/>
  <c r="AG429" i="3"/>
  <c r="AF429" i="3"/>
  <c r="AE429" i="3"/>
  <c r="AD429" i="3"/>
  <c r="AC429" i="3"/>
  <c r="AB429" i="3"/>
  <c r="U429" i="3"/>
  <c r="T429" i="3"/>
  <c r="S429" i="3"/>
  <c r="R429" i="3"/>
  <c r="Q429" i="3"/>
  <c r="P429" i="3"/>
  <c r="G429" i="3"/>
  <c r="I429" i="3" s="1"/>
  <c r="AG428" i="3"/>
  <c r="AF428" i="3"/>
  <c r="AE428" i="3"/>
  <c r="AD428" i="3"/>
  <c r="AC428" i="3"/>
  <c r="AB428" i="3"/>
  <c r="U428" i="3"/>
  <c r="T428" i="3"/>
  <c r="S428" i="3"/>
  <c r="R428" i="3"/>
  <c r="Q428" i="3"/>
  <c r="P428" i="3"/>
  <c r="G428" i="3"/>
  <c r="I428" i="3" s="1"/>
  <c r="AG427" i="3"/>
  <c r="AF427" i="3"/>
  <c r="AE427" i="3"/>
  <c r="AD427" i="3"/>
  <c r="AC427" i="3"/>
  <c r="AB427" i="3"/>
  <c r="U427" i="3"/>
  <c r="G427" i="3"/>
  <c r="I427" i="3" s="1"/>
  <c r="AG426" i="3"/>
  <c r="AF426" i="3"/>
  <c r="AE426" i="3"/>
  <c r="AD426" i="3"/>
  <c r="AC426" i="3"/>
  <c r="AB426" i="3"/>
  <c r="U426" i="3"/>
  <c r="T426" i="3"/>
  <c r="S426" i="3"/>
  <c r="R426" i="3"/>
  <c r="Q426" i="3"/>
  <c r="P426" i="3"/>
  <c r="G426" i="3"/>
  <c r="I426" i="3" s="1"/>
  <c r="AG425" i="3"/>
  <c r="AF425" i="3"/>
  <c r="AE425" i="3"/>
  <c r="AD425" i="3"/>
  <c r="AC425" i="3"/>
  <c r="AB425" i="3"/>
  <c r="U425" i="3"/>
  <c r="T425" i="3"/>
  <c r="S425" i="3"/>
  <c r="R425" i="3"/>
  <c r="Q425" i="3"/>
  <c r="P425" i="3"/>
  <c r="G425" i="3"/>
  <c r="I425" i="3" s="1"/>
  <c r="AG424" i="3"/>
  <c r="AF424" i="3"/>
  <c r="AE424" i="3"/>
  <c r="AD424" i="3"/>
  <c r="AC424" i="3"/>
  <c r="AB424" i="3"/>
  <c r="U424" i="3"/>
  <c r="T424" i="3"/>
  <c r="S424" i="3"/>
  <c r="R424" i="3"/>
  <c r="Q424" i="3"/>
  <c r="P424" i="3"/>
  <c r="G424" i="3"/>
  <c r="I424" i="3" s="1"/>
  <c r="AG423" i="3"/>
  <c r="AF423" i="3"/>
  <c r="AE423" i="3"/>
  <c r="AD423" i="3"/>
  <c r="AC423" i="3"/>
  <c r="AB423" i="3"/>
  <c r="U423" i="3"/>
  <c r="T423" i="3"/>
  <c r="S423" i="3"/>
  <c r="R423" i="3"/>
  <c r="Q423" i="3"/>
  <c r="P423" i="3"/>
  <c r="G423" i="3"/>
  <c r="I423" i="3" s="1"/>
  <c r="AG422" i="3"/>
  <c r="AF422" i="3"/>
  <c r="AE422" i="3"/>
  <c r="AD422" i="3"/>
  <c r="AC422" i="3"/>
  <c r="AB422" i="3"/>
  <c r="U422" i="3"/>
  <c r="T422" i="3"/>
  <c r="S422" i="3"/>
  <c r="R422" i="3"/>
  <c r="Q422" i="3"/>
  <c r="P422" i="3"/>
  <c r="G422" i="3"/>
  <c r="I422" i="3" s="1"/>
  <c r="AG421" i="3"/>
  <c r="AF421" i="3"/>
  <c r="AE421" i="3"/>
  <c r="AD421" i="3"/>
  <c r="AC421" i="3"/>
  <c r="AB421" i="3"/>
  <c r="U421" i="3"/>
  <c r="T421" i="3"/>
  <c r="S421" i="3"/>
  <c r="R421" i="3"/>
  <c r="Q421" i="3"/>
  <c r="P421" i="3"/>
  <c r="G421" i="3"/>
  <c r="I421" i="3" s="1"/>
  <c r="AG420" i="3"/>
  <c r="AF420" i="3"/>
  <c r="AE420" i="3"/>
  <c r="AD420" i="3"/>
  <c r="AC420" i="3"/>
  <c r="AB420" i="3"/>
  <c r="U420" i="3"/>
  <c r="T420" i="3"/>
  <c r="S420" i="3"/>
  <c r="R420" i="3"/>
  <c r="Q420" i="3"/>
  <c r="P420" i="3"/>
  <c r="G420" i="3"/>
  <c r="I420" i="3" s="1"/>
  <c r="AG419" i="3"/>
  <c r="AF419" i="3"/>
  <c r="AE419" i="3"/>
  <c r="AD419" i="3"/>
  <c r="AC419" i="3"/>
  <c r="AB419" i="3"/>
  <c r="U419" i="3"/>
  <c r="T419" i="3"/>
  <c r="S419" i="3"/>
  <c r="R419" i="3"/>
  <c r="Q419" i="3"/>
  <c r="P419" i="3"/>
  <c r="G419" i="3"/>
  <c r="I419" i="3" s="1"/>
  <c r="AG418" i="3"/>
  <c r="AF418" i="3"/>
  <c r="AE418" i="3"/>
  <c r="AD418" i="3"/>
  <c r="AC418" i="3"/>
  <c r="AB418" i="3"/>
  <c r="U418" i="3"/>
  <c r="T418" i="3"/>
  <c r="S418" i="3"/>
  <c r="R418" i="3"/>
  <c r="Q418" i="3"/>
  <c r="P418" i="3"/>
  <c r="G418" i="3"/>
  <c r="I418" i="3" s="1"/>
  <c r="AG417" i="3"/>
  <c r="AF417" i="3"/>
  <c r="AE417" i="3"/>
  <c r="AD417" i="3"/>
  <c r="AC417" i="3"/>
  <c r="AB417" i="3"/>
  <c r="U417" i="3"/>
  <c r="T417" i="3"/>
  <c r="S417" i="3"/>
  <c r="R417" i="3"/>
  <c r="Q417" i="3"/>
  <c r="P417" i="3"/>
  <c r="G417" i="3"/>
  <c r="I417" i="3" s="1"/>
  <c r="AG416" i="3"/>
  <c r="AF416" i="3"/>
  <c r="AE416" i="3"/>
  <c r="AD416" i="3"/>
  <c r="AC416" i="3"/>
  <c r="AB416" i="3"/>
  <c r="U416" i="3"/>
  <c r="T416" i="3"/>
  <c r="S416" i="3"/>
  <c r="R416" i="3"/>
  <c r="Q416" i="3"/>
  <c r="P416" i="3"/>
  <c r="G416" i="3"/>
  <c r="I416" i="3" s="1"/>
  <c r="AG415" i="3"/>
  <c r="AF415" i="3"/>
  <c r="AE415" i="3"/>
  <c r="AD415" i="3"/>
  <c r="AC415" i="3"/>
  <c r="AB415" i="3"/>
  <c r="U415" i="3"/>
  <c r="T415" i="3"/>
  <c r="S415" i="3"/>
  <c r="R415" i="3"/>
  <c r="Q415" i="3"/>
  <c r="P415" i="3"/>
  <c r="G415" i="3"/>
  <c r="I415" i="3" s="1"/>
  <c r="AG414" i="3"/>
  <c r="AF414" i="3"/>
  <c r="AE414" i="3"/>
  <c r="AD414" i="3"/>
  <c r="AC414" i="3"/>
  <c r="AB414" i="3"/>
  <c r="U414" i="3"/>
  <c r="T414" i="3"/>
  <c r="S414" i="3"/>
  <c r="R414" i="3"/>
  <c r="Q414" i="3"/>
  <c r="P414" i="3"/>
  <c r="G414" i="3"/>
  <c r="I414" i="3" s="1"/>
  <c r="AG413" i="3"/>
  <c r="AF413" i="3"/>
  <c r="AE413" i="3"/>
  <c r="AD413" i="3"/>
  <c r="AC413" i="3"/>
  <c r="AB413" i="3"/>
  <c r="U413" i="3"/>
  <c r="T413" i="3"/>
  <c r="S413" i="3"/>
  <c r="R413" i="3"/>
  <c r="Q413" i="3"/>
  <c r="P413" i="3"/>
  <c r="G413" i="3"/>
  <c r="I413" i="3" s="1"/>
  <c r="AG412" i="3"/>
  <c r="AF412" i="3"/>
  <c r="AE412" i="3"/>
  <c r="AD412" i="3"/>
  <c r="AC412" i="3"/>
  <c r="AB412" i="3"/>
  <c r="U412" i="3"/>
  <c r="T412" i="3"/>
  <c r="S412" i="3"/>
  <c r="R412" i="3"/>
  <c r="Q412" i="3"/>
  <c r="P412" i="3"/>
  <c r="G412" i="3"/>
  <c r="I412" i="3" s="1"/>
  <c r="AG411" i="3"/>
  <c r="AF411" i="3"/>
  <c r="AE411" i="3"/>
  <c r="AD411" i="3"/>
  <c r="AC411" i="3"/>
  <c r="AB411" i="3"/>
  <c r="U411" i="3"/>
  <c r="T411" i="3"/>
  <c r="S411" i="3"/>
  <c r="R411" i="3"/>
  <c r="Q411" i="3"/>
  <c r="P411" i="3"/>
  <c r="G411" i="3"/>
  <c r="I411" i="3" s="1"/>
  <c r="AG410" i="3"/>
  <c r="AF410" i="3"/>
  <c r="AE410" i="3"/>
  <c r="AD410" i="3"/>
  <c r="AC410" i="3"/>
  <c r="AB410" i="3"/>
  <c r="U410" i="3"/>
  <c r="T410" i="3"/>
  <c r="S410" i="3"/>
  <c r="R410" i="3"/>
  <c r="Q410" i="3"/>
  <c r="P410" i="3"/>
  <c r="G410" i="3"/>
  <c r="I410" i="3" s="1"/>
  <c r="AG409" i="3"/>
  <c r="AF409" i="3"/>
  <c r="AE409" i="3"/>
  <c r="AD409" i="3"/>
  <c r="AC409" i="3"/>
  <c r="AB409" i="3"/>
  <c r="U409" i="3"/>
  <c r="T409" i="3"/>
  <c r="S409" i="3"/>
  <c r="R409" i="3"/>
  <c r="Q409" i="3"/>
  <c r="P409" i="3"/>
  <c r="G409" i="3"/>
  <c r="I409" i="3" s="1"/>
  <c r="AG408" i="3"/>
  <c r="AF408" i="3"/>
  <c r="AE408" i="3"/>
  <c r="AD408" i="3"/>
  <c r="AC408" i="3"/>
  <c r="AB408" i="3"/>
  <c r="U408" i="3"/>
  <c r="T408" i="3"/>
  <c r="S408" i="3"/>
  <c r="R408" i="3"/>
  <c r="Q408" i="3"/>
  <c r="P408" i="3"/>
  <c r="G408" i="3"/>
  <c r="I408" i="3" s="1"/>
  <c r="AG407" i="3"/>
  <c r="AF407" i="3"/>
  <c r="AE407" i="3"/>
  <c r="AD407" i="3"/>
  <c r="AC407" i="3"/>
  <c r="AB407" i="3"/>
  <c r="U407" i="3"/>
  <c r="G407" i="3"/>
  <c r="I407" i="3" s="1"/>
  <c r="AG406" i="3"/>
  <c r="AF406" i="3"/>
  <c r="AE406" i="3"/>
  <c r="AD406" i="3"/>
  <c r="AC406" i="3"/>
  <c r="AB406" i="3"/>
  <c r="U406" i="3"/>
  <c r="T406" i="3"/>
  <c r="S406" i="3"/>
  <c r="R406" i="3"/>
  <c r="Q406" i="3"/>
  <c r="P406" i="3"/>
  <c r="G406" i="3"/>
  <c r="I406" i="3" s="1"/>
  <c r="AG405" i="3"/>
  <c r="AF405" i="3"/>
  <c r="AE405" i="3"/>
  <c r="AD405" i="3"/>
  <c r="AC405" i="3"/>
  <c r="AB405" i="3"/>
  <c r="U405" i="3"/>
  <c r="T405" i="3"/>
  <c r="S405" i="3"/>
  <c r="R405" i="3"/>
  <c r="Q405" i="3"/>
  <c r="P405" i="3"/>
  <c r="G405" i="3"/>
  <c r="I405" i="3" s="1"/>
  <c r="AG404" i="3"/>
  <c r="AF404" i="3"/>
  <c r="AE404" i="3"/>
  <c r="AD404" i="3"/>
  <c r="AC404" i="3"/>
  <c r="AB404" i="3"/>
  <c r="U404" i="3"/>
  <c r="T404" i="3"/>
  <c r="S404" i="3"/>
  <c r="R404" i="3"/>
  <c r="Q404" i="3"/>
  <c r="P404" i="3"/>
  <c r="G404" i="3"/>
  <c r="I404" i="3" s="1"/>
  <c r="AG403" i="3"/>
  <c r="AF403" i="3"/>
  <c r="AE403" i="3"/>
  <c r="AD403" i="3"/>
  <c r="AC403" i="3"/>
  <c r="AB403" i="3"/>
  <c r="U403" i="3"/>
  <c r="G403" i="3"/>
  <c r="I403" i="3" s="1"/>
  <c r="AG402" i="3"/>
  <c r="AF402" i="3"/>
  <c r="AE402" i="3"/>
  <c r="AD402" i="3"/>
  <c r="AC402" i="3"/>
  <c r="AB402" i="3"/>
  <c r="U402" i="3"/>
  <c r="T402" i="3"/>
  <c r="S402" i="3"/>
  <c r="R402" i="3"/>
  <c r="Q402" i="3"/>
  <c r="P402" i="3"/>
  <c r="G402" i="3"/>
  <c r="I402" i="3" s="1"/>
  <c r="AG401" i="3"/>
  <c r="AF401" i="3"/>
  <c r="AE401" i="3"/>
  <c r="AD401" i="3"/>
  <c r="AC401" i="3"/>
  <c r="AB401" i="3"/>
  <c r="U401" i="3"/>
  <c r="T401" i="3"/>
  <c r="S401" i="3"/>
  <c r="R401" i="3"/>
  <c r="Q401" i="3"/>
  <c r="P401" i="3"/>
  <c r="G401" i="3"/>
  <c r="I401" i="3" s="1"/>
  <c r="AG400" i="3"/>
  <c r="AF400" i="3"/>
  <c r="AE400" i="3"/>
  <c r="AD400" i="3"/>
  <c r="AC400" i="3"/>
  <c r="AB400" i="3"/>
  <c r="U400" i="3"/>
  <c r="T400" i="3"/>
  <c r="S400" i="3"/>
  <c r="R400" i="3"/>
  <c r="Q400" i="3"/>
  <c r="P400" i="3"/>
  <c r="G400" i="3"/>
  <c r="I400" i="3" s="1"/>
  <c r="AG399" i="3"/>
  <c r="AF399" i="3"/>
  <c r="AE399" i="3"/>
  <c r="AD399" i="3"/>
  <c r="AC399" i="3"/>
  <c r="AB399" i="3"/>
  <c r="U399" i="3"/>
  <c r="T399" i="3"/>
  <c r="S399" i="3"/>
  <c r="R399" i="3"/>
  <c r="Q399" i="3"/>
  <c r="P399" i="3"/>
  <c r="G399" i="3"/>
  <c r="I399" i="3" s="1"/>
  <c r="AG398" i="3"/>
  <c r="AF398" i="3"/>
  <c r="AE398" i="3"/>
  <c r="AD398" i="3"/>
  <c r="AC398" i="3"/>
  <c r="AB398" i="3"/>
  <c r="U398" i="3"/>
  <c r="T398" i="3"/>
  <c r="S398" i="3"/>
  <c r="R398" i="3"/>
  <c r="Q398" i="3"/>
  <c r="P398" i="3"/>
  <c r="G398" i="3"/>
  <c r="I398" i="3" s="1"/>
  <c r="AG397" i="3"/>
  <c r="AF397" i="3"/>
  <c r="AE397" i="3"/>
  <c r="AD397" i="3"/>
  <c r="AC397" i="3"/>
  <c r="AB397" i="3"/>
  <c r="U397" i="3"/>
  <c r="T397" i="3"/>
  <c r="S397" i="3"/>
  <c r="R397" i="3"/>
  <c r="Q397" i="3"/>
  <c r="P397" i="3"/>
  <c r="G397" i="3"/>
  <c r="I397" i="3" s="1"/>
  <c r="AG396" i="3"/>
  <c r="AF396" i="3"/>
  <c r="AE396" i="3"/>
  <c r="AD396" i="3"/>
  <c r="AC396" i="3"/>
  <c r="AB396" i="3"/>
  <c r="U396" i="3"/>
  <c r="G396" i="3"/>
  <c r="I396" i="3" s="1"/>
  <c r="AG395" i="3"/>
  <c r="AF395" i="3"/>
  <c r="AE395" i="3"/>
  <c r="AD395" i="3"/>
  <c r="AC395" i="3"/>
  <c r="AB395" i="3"/>
  <c r="U395" i="3"/>
  <c r="T395" i="3"/>
  <c r="S395" i="3"/>
  <c r="R395" i="3"/>
  <c r="Q395" i="3"/>
  <c r="P395" i="3"/>
  <c r="G395" i="3"/>
  <c r="I395" i="3" s="1"/>
  <c r="AG394" i="3"/>
  <c r="AF394" i="3"/>
  <c r="AE394" i="3"/>
  <c r="AD394" i="3"/>
  <c r="AC394" i="3"/>
  <c r="AB394" i="3"/>
  <c r="U394" i="3"/>
  <c r="T394" i="3"/>
  <c r="S394" i="3"/>
  <c r="R394" i="3"/>
  <c r="Q394" i="3"/>
  <c r="P394" i="3"/>
  <c r="G394" i="3"/>
  <c r="I394" i="3" s="1"/>
  <c r="AG393" i="3"/>
  <c r="AF393" i="3"/>
  <c r="AE393" i="3"/>
  <c r="AD393" i="3"/>
  <c r="AC393" i="3"/>
  <c r="AB393" i="3"/>
  <c r="U393" i="3"/>
  <c r="T393" i="3"/>
  <c r="S393" i="3"/>
  <c r="R393" i="3"/>
  <c r="Q393" i="3"/>
  <c r="P393" i="3"/>
  <c r="G393" i="3"/>
  <c r="I393" i="3" s="1"/>
  <c r="AG392" i="3"/>
  <c r="AF392" i="3"/>
  <c r="AE392" i="3"/>
  <c r="AD392" i="3"/>
  <c r="AC392" i="3"/>
  <c r="AB392" i="3"/>
  <c r="U392" i="3"/>
  <c r="T392" i="3"/>
  <c r="S392" i="3"/>
  <c r="R392" i="3"/>
  <c r="Q392" i="3"/>
  <c r="P392" i="3"/>
  <c r="G392" i="3"/>
  <c r="I392" i="3" s="1"/>
  <c r="AG391" i="3"/>
  <c r="AF391" i="3"/>
  <c r="AE391" i="3"/>
  <c r="AD391" i="3"/>
  <c r="AC391" i="3"/>
  <c r="AB391" i="3"/>
  <c r="U391" i="3"/>
  <c r="T391" i="3"/>
  <c r="S391" i="3"/>
  <c r="R391" i="3"/>
  <c r="Q391" i="3"/>
  <c r="P391" i="3"/>
  <c r="G391" i="3"/>
  <c r="I391" i="3" s="1"/>
  <c r="AG390" i="3"/>
  <c r="AF390" i="3"/>
  <c r="AE390" i="3"/>
  <c r="AD390" i="3"/>
  <c r="AC390" i="3"/>
  <c r="AB390" i="3"/>
  <c r="U390" i="3"/>
  <c r="T390" i="3"/>
  <c r="S390" i="3"/>
  <c r="R390" i="3"/>
  <c r="Q390" i="3"/>
  <c r="P390" i="3"/>
  <c r="G390" i="3"/>
  <c r="I390" i="3" s="1"/>
  <c r="AG389" i="3"/>
  <c r="AF389" i="3"/>
  <c r="AE389" i="3"/>
  <c r="AD389" i="3"/>
  <c r="AC389" i="3"/>
  <c r="AB389" i="3"/>
  <c r="U389" i="3"/>
  <c r="T389" i="3"/>
  <c r="S389" i="3"/>
  <c r="R389" i="3"/>
  <c r="Q389" i="3"/>
  <c r="P389" i="3"/>
  <c r="G389" i="3"/>
  <c r="I389" i="3" s="1"/>
  <c r="AG388" i="3"/>
  <c r="AF388" i="3"/>
  <c r="AE388" i="3"/>
  <c r="AD388" i="3"/>
  <c r="AC388" i="3"/>
  <c r="AB388" i="3"/>
  <c r="U388" i="3"/>
  <c r="T388" i="3"/>
  <c r="S388" i="3"/>
  <c r="R388" i="3"/>
  <c r="Q388" i="3"/>
  <c r="P388" i="3"/>
  <c r="G388" i="3"/>
  <c r="I388" i="3" s="1"/>
  <c r="AG387" i="3"/>
  <c r="AF387" i="3"/>
  <c r="AE387" i="3"/>
  <c r="AD387" i="3"/>
  <c r="AC387" i="3"/>
  <c r="AB387" i="3"/>
  <c r="U387" i="3"/>
  <c r="T387" i="3"/>
  <c r="S387" i="3"/>
  <c r="R387" i="3"/>
  <c r="Q387" i="3"/>
  <c r="P387" i="3"/>
  <c r="G387" i="3"/>
  <c r="I387" i="3" s="1"/>
  <c r="AG386" i="3"/>
  <c r="AF386" i="3"/>
  <c r="AE386" i="3"/>
  <c r="AD386" i="3"/>
  <c r="AC386" i="3"/>
  <c r="AB386" i="3"/>
  <c r="U386" i="3"/>
  <c r="T386" i="3"/>
  <c r="S386" i="3"/>
  <c r="R386" i="3"/>
  <c r="Q386" i="3"/>
  <c r="P386" i="3"/>
  <c r="G386" i="3"/>
  <c r="I386" i="3" s="1"/>
  <c r="AG385" i="3"/>
  <c r="AF385" i="3"/>
  <c r="AE385" i="3"/>
  <c r="AD385" i="3"/>
  <c r="AC385" i="3"/>
  <c r="AB385" i="3"/>
  <c r="U385" i="3"/>
  <c r="T385" i="3"/>
  <c r="S385" i="3"/>
  <c r="R385" i="3"/>
  <c r="Q385" i="3"/>
  <c r="P385" i="3"/>
  <c r="G385" i="3"/>
  <c r="I385" i="3" s="1"/>
  <c r="AG384" i="3"/>
  <c r="AF384" i="3"/>
  <c r="AE384" i="3"/>
  <c r="AD384" i="3"/>
  <c r="AC384" i="3"/>
  <c r="AB384" i="3"/>
  <c r="U384" i="3"/>
  <c r="T384" i="3"/>
  <c r="S384" i="3"/>
  <c r="R384" i="3"/>
  <c r="Q384" i="3"/>
  <c r="P384" i="3"/>
  <c r="G384" i="3"/>
  <c r="I384" i="3" s="1"/>
  <c r="AG383" i="3"/>
  <c r="AF383" i="3"/>
  <c r="AE383" i="3"/>
  <c r="AD383" i="3"/>
  <c r="AC383" i="3"/>
  <c r="AB383" i="3"/>
  <c r="U383" i="3"/>
  <c r="G383" i="3"/>
  <c r="I383" i="3" s="1"/>
  <c r="AG382" i="3"/>
  <c r="AF382" i="3"/>
  <c r="AE382" i="3"/>
  <c r="AD382" i="3"/>
  <c r="AC382" i="3"/>
  <c r="AB382" i="3"/>
  <c r="U382" i="3"/>
  <c r="T382" i="3"/>
  <c r="S382" i="3"/>
  <c r="R382" i="3"/>
  <c r="Q382" i="3"/>
  <c r="P382" i="3"/>
  <c r="G382" i="3"/>
  <c r="I382" i="3" s="1"/>
  <c r="AG381" i="3"/>
  <c r="AF381" i="3"/>
  <c r="AE381" i="3"/>
  <c r="AD381" i="3"/>
  <c r="AC381" i="3"/>
  <c r="AB381" i="3"/>
  <c r="U381" i="3"/>
  <c r="T381" i="3"/>
  <c r="S381" i="3"/>
  <c r="R381" i="3"/>
  <c r="Q381" i="3"/>
  <c r="P381" i="3"/>
  <c r="G381" i="3"/>
  <c r="I381" i="3" s="1"/>
  <c r="AG380" i="3"/>
  <c r="AF380" i="3"/>
  <c r="AE380" i="3"/>
  <c r="AD380" i="3"/>
  <c r="AC380" i="3"/>
  <c r="AB380" i="3"/>
  <c r="U380" i="3"/>
  <c r="T380" i="3"/>
  <c r="S380" i="3"/>
  <c r="R380" i="3"/>
  <c r="Q380" i="3"/>
  <c r="P380" i="3"/>
  <c r="G380" i="3"/>
  <c r="I380" i="3" s="1"/>
  <c r="AG379" i="3"/>
  <c r="AF379" i="3"/>
  <c r="AE379" i="3"/>
  <c r="AD379" i="3"/>
  <c r="AC379" i="3"/>
  <c r="AB379" i="3"/>
  <c r="U379" i="3"/>
  <c r="T379" i="3"/>
  <c r="S379" i="3"/>
  <c r="R379" i="3"/>
  <c r="Q379" i="3"/>
  <c r="P379" i="3"/>
  <c r="G379" i="3"/>
  <c r="I379" i="3" s="1"/>
  <c r="AG378" i="3"/>
  <c r="AF378" i="3"/>
  <c r="AE378" i="3"/>
  <c r="AD378" i="3"/>
  <c r="AC378" i="3"/>
  <c r="AB378" i="3"/>
  <c r="U378" i="3"/>
  <c r="T378" i="3"/>
  <c r="S378" i="3"/>
  <c r="R378" i="3"/>
  <c r="Q378" i="3"/>
  <c r="P378" i="3"/>
  <c r="G378" i="3"/>
  <c r="I378" i="3" s="1"/>
  <c r="AG377" i="3"/>
  <c r="AF377" i="3"/>
  <c r="AE377" i="3"/>
  <c r="AD377" i="3"/>
  <c r="AC377" i="3"/>
  <c r="AB377" i="3"/>
  <c r="U377" i="3"/>
  <c r="T377" i="3"/>
  <c r="S377" i="3"/>
  <c r="R377" i="3"/>
  <c r="Q377" i="3"/>
  <c r="P377" i="3"/>
  <c r="G377" i="3"/>
  <c r="I377" i="3" s="1"/>
  <c r="AG376" i="3"/>
  <c r="AF376" i="3"/>
  <c r="AE376" i="3"/>
  <c r="AD376" i="3"/>
  <c r="AC376" i="3"/>
  <c r="AB376" i="3"/>
  <c r="U376" i="3"/>
  <c r="T376" i="3"/>
  <c r="S376" i="3"/>
  <c r="R376" i="3"/>
  <c r="Q376" i="3"/>
  <c r="P376" i="3"/>
  <c r="G376" i="3"/>
  <c r="I376" i="3" s="1"/>
  <c r="AG375" i="3"/>
  <c r="AF375" i="3"/>
  <c r="AE375" i="3"/>
  <c r="AD375" i="3"/>
  <c r="AC375" i="3"/>
  <c r="AB375" i="3"/>
  <c r="U375" i="3"/>
  <c r="T375" i="3"/>
  <c r="S375" i="3"/>
  <c r="R375" i="3"/>
  <c r="Q375" i="3"/>
  <c r="P375" i="3"/>
  <c r="G375" i="3"/>
  <c r="I375" i="3" s="1"/>
  <c r="AG374" i="3"/>
  <c r="AF374" i="3"/>
  <c r="AE374" i="3"/>
  <c r="AD374" i="3"/>
  <c r="AC374" i="3"/>
  <c r="AB374" i="3"/>
  <c r="U374" i="3"/>
  <c r="T374" i="3"/>
  <c r="S374" i="3"/>
  <c r="R374" i="3"/>
  <c r="Q374" i="3"/>
  <c r="P374" i="3"/>
  <c r="G374" i="3"/>
  <c r="I374" i="3" s="1"/>
  <c r="AG373" i="3"/>
  <c r="AF373" i="3"/>
  <c r="AE373" i="3"/>
  <c r="AD373" i="3"/>
  <c r="AC373" i="3"/>
  <c r="AB373" i="3"/>
  <c r="U373" i="3"/>
  <c r="T373" i="3"/>
  <c r="S373" i="3"/>
  <c r="R373" i="3"/>
  <c r="Q373" i="3"/>
  <c r="P373" i="3"/>
  <c r="G373" i="3"/>
  <c r="I373" i="3" s="1"/>
  <c r="AG372" i="3"/>
  <c r="AF372" i="3"/>
  <c r="AE372" i="3"/>
  <c r="AD372" i="3"/>
  <c r="AC372" i="3"/>
  <c r="AB372" i="3"/>
  <c r="U372" i="3"/>
  <c r="T372" i="3"/>
  <c r="S372" i="3"/>
  <c r="R372" i="3"/>
  <c r="Q372" i="3"/>
  <c r="P372" i="3"/>
  <c r="G372" i="3"/>
  <c r="I372" i="3" s="1"/>
  <c r="AG371" i="3"/>
  <c r="AF371" i="3"/>
  <c r="AE371" i="3"/>
  <c r="AD371" i="3"/>
  <c r="AC371" i="3"/>
  <c r="AB371" i="3"/>
  <c r="U371" i="3"/>
  <c r="T371" i="3"/>
  <c r="S371" i="3"/>
  <c r="R371" i="3"/>
  <c r="Q371" i="3"/>
  <c r="P371" i="3"/>
  <c r="G371" i="3"/>
  <c r="I371" i="3" s="1"/>
  <c r="AG370" i="3"/>
  <c r="AF370" i="3"/>
  <c r="AE370" i="3"/>
  <c r="AD370" i="3"/>
  <c r="AC370" i="3"/>
  <c r="AB370" i="3"/>
  <c r="U370" i="3"/>
  <c r="G370" i="3"/>
  <c r="I370" i="3" s="1"/>
  <c r="AG369" i="3"/>
  <c r="AF369" i="3"/>
  <c r="AE369" i="3"/>
  <c r="AD369" i="3"/>
  <c r="AC369" i="3"/>
  <c r="AB369" i="3"/>
  <c r="U369" i="3"/>
  <c r="T369" i="3"/>
  <c r="S369" i="3"/>
  <c r="R369" i="3"/>
  <c r="Q369" i="3"/>
  <c r="P369" i="3"/>
  <c r="G369" i="3"/>
  <c r="I369" i="3" s="1"/>
  <c r="AG368" i="3"/>
  <c r="AF368" i="3"/>
  <c r="AE368" i="3"/>
  <c r="AD368" i="3"/>
  <c r="AC368" i="3"/>
  <c r="AB368" i="3"/>
  <c r="U368" i="3"/>
  <c r="G368" i="3"/>
  <c r="I368" i="3" s="1"/>
  <c r="AG367" i="3"/>
  <c r="AF367" i="3"/>
  <c r="AE367" i="3"/>
  <c r="AD367" i="3"/>
  <c r="AC367" i="3"/>
  <c r="AB367" i="3"/>
  <c r="U367" i="3"/>
  <c r="T367" i="3"/>
  <c r="S367" i="3"/>
  <c r="R367" i="3"/>
  <c r="Q367" i="3"/>
  <c r="P367" i="3"/>
  <c r="G367" i="3"/>
  <c r="I367" i="3" s="1"/>
  <c r="AG366" i="3"/>
  <c r="AF366" i="3"/>
  <c r="AE366" i="3"/>
  <c r="AD366" i="3"/>
  <c r="AC366" i="3"/>
  <c r="AB366" i="3"/>
  <c r="U366" i="3"/>
  <c r="T366" i="3"/>
  <c r="S366" i="3"/>
  <c r="R366" i="3"/>
  <c r="Q366" i="3"/>
  <c r="P366" i="3"/>
  <c r="G366" i="3"/>
  <c r="I366" i="3" s="1"/>
  <c r="AG365" i="3"/>
  <c r="AF365" i="3"/>
  <c r="AE365" i="3"/>
  <c r="AD365" i="3"/>
  <c r="AC365" i="3"/>
  <c r="AB365" i="3"/>
  <c r="U365" i="3"/>
  <c r="T365" i="3"/>
  <c r="S365" i="3"/>
  <c r="R365" i="3"/>
  <c r="Q365" i="3"/>
  <c r="P365" i="3"/>
  <c r="G365" i="3"/>
  <c r="I365" i="3" s="1"/>
  <c r="AG364" i="3"/>
  <c r="AF364" i="3"/>
  <c r="AE364" i="3"/>
  <c r="AD364" i="3"/>
  <c r="AC364" i="3"/>
  <c r="AB364" i="3"/>
  <c r="U364" i="3"/>
  <c r="T364" i="3"/>
  <c r="S364" i="3"/>
  <c r="R364" i="3"/>
  <c r="Q364" i="3"/>
  <c r="P364" i="3"/>
  <c r="G364" i="3"/>
  <c r="I364" i="3" s="1"/>
  <c r="AG363" i="3"/>
  <c r="AF363" i="3"/>
  <c r="AE363" i="3"/>
  <c r="AD363" i="3"/>
  <c r="AC363" i="3"/>
  <c r="AB363" i="3"/>
  <c r="U363" i="3"/>
  <c r="T363" i="3"/>
  <c r="S363" i="3"/>
  <c r="R363" i="3"/>
  <c r="Q363" i="3"/>
  <c r="P363" i="3"/>
  <c r="G363" i="3"/>
  <c r="I363" i="3" s="1"/>
  <c r="AG362" i="3"/>
  <c r="AF362" i="3"/>
  <c r="AE362" i="3"/>
  <c r="AD362" i="3"/>
  <c r="AC362" i="3"/>
  <c r="AB362" i="3"/>
  <c r="U362" i="3"/>
  <c r="T362" i="3"/>
  <c r="S362" i="3"/>
  <c r="R362" i="3"/>
  <c r="Q362" i="3"/>
  <c r="P362" i="3"/>
  <c r="G362" i="3"/>
  <c r="I362" i="3" s="1"/>
  <c r="AG361" i="3"/>
  <c r="AF361" i="3"/>
  <c r="AE361" i="3"/>
  <c r="AD361" i="3"/>
  <c r="AC361" i="3"/>
  <c r="AB361" i="3"/>
  <c r="U361" i="3"/>
  <c r="T361" i="3"/>
  <c r="S361" i="3"/>
  <c r="R361" i="3"/>
  <c r="Q361" i="3"/>
  <c r="P361" i="3"/>
  <c r="G361" i="3"/>
  <c r="I361" i="3" s="1"/>
  <c r="AG360" i="3"/>
  <c r="AF360" i="3"/>
  <c r="AE360" i="3"/>
  <c r="AD360" i="3"/>
  <c r="AC360" i="3"/>
  <c r="AB360" i="3"/>
  <c r="U360" i="3"/>
  <c r="T360" i="3"/>
  <c r="S360" i="3"/>
  <c r="R360" i="3"/>
  <c r="Q360" i="3"/>
  <c r="P360" i="3"/>
  <c r="G360" i="3"/>
  <c r="I360" i="3" s="1"/>
  <c r="AG359" i="3"/>
  <c r="AF359" i="3"/>
  <c r="AE359" i="3"/>
  <c r="AD359" i="3"/>
  <c r="AC359" i="3"/>
  <c r="AB359" i="3"/>
  <c r="U359" i="3"/>
  <c r="T359" i="3"/>
  <c r="S359" i="3"/>
  <c r="R359" i="3"/>
  <c r="Q359" i="3"/>
  <c r="P359" i="3"/>
  <c r="G359" i="3"/>
  <c r="I359" i="3" s="1"/>
  <c r="AG358" i="3"/>
  <c r="AF358" i="3"/>
  <c r="AE358" i="3"/>
  <c r="AD358" i="3"/>
  <c r="AC358" i="3"/>
  <c r="AB358" i="3"/>
  <c r="U358" i="3"/>
  <c r="T358" i="3"/>
  <c r="S358" i="3"/>
  <c r="R358" i="3"/>
  <c r="Q358" i="3"/>
  <c r="P358" i="3"/>
  <c r="G358" i="3"/>
  <c r="I358" i="3" s="1"/>
  <c r="AG357" i="3"/>
  <c r="AF357" i="3"/>
  <c r="AE357" i="3"/>
  <c r="AD357" i="3"/>
  <c r="AC357" i="3"/>
  <c r="AB357" i="3"/>
  <c r="U357" i="3"/>
  <c r="T357" i="3"/>
  <c r="S357" i="3"/>
  <c r="R357" i="3"/>
  <c r="Q357" i="3"/>
  <c r="P357" i="3"/>
  <c r="G357" i="3"/>
  <c r="I357" i="3" s="1"/>
  <c r="AG356" i="3"/>
  <c r="AF356" i="3"/>
  <c r="AE356" i="3"/>
  <c r="AD356" i="3"/>
  <c r="AC356" i="3"/>
  <c r="AB356" i="3"/>
  <c r="U356" i="3"/>
  <c r="G356" i="3"/>
  <c r="I356" i="3" s="1"/>
  <c r="AG355" i="3"/>
  <c r="AF355" i="3"/>
  <c r="AE355" i="3"/>
  <c r="AD355" i="3"/>
  <c r="AC355" i="3"/>
  <c r="AB355" i="3"/>
  <c r="U355" i="3"/>
  <c r="T355" i="3"/>
  <c r="S355" i="3"/>
  <c r="R355" i="3"/>
  <c r="Q355" i="3"/>
  <c r="P355" i="3"/>
  <c r="G355" i="3"/>
  <c r="I355" i="3" s="1"/>
  <c r="AG354" i="3"/>
  <c r="AF354" i="3"/>
  <c r="AE354" i="3"/>
  <c r="AD354" i="3"/>
  <c r="AC354" i="3"/>
  <c r="AB354" i="3"/>
  <c r="U354" i="3"/>
  <c r="T354" i="3"/>
  <c r="S354" i="3"/>
  <c r="R354" i="3"/>
  <c r="Q354" i="3"/>
  <c r="P354" i="3"/>
  <c r="G354" i="3"/>
  <c r="I354" i="3" s="1"/>
  <c r="AG353" i="3"/>
  <c r="AF353" i="3"/>
  <c r="AE353" i="3"/>
  <c r="AD353" i="3"/>
  <c r="AC353" i="3"/>
  <c r="AB353" i="3"/>
  <c r="U353" i="3"/>
  <c r="T353" i="3"/>
  <c r="S353" i="3"/>
  <c r="R353" i="3"/>
  <c r="Q353" i="3"/>
  <c r="P353" i="3"/>
  <c r="G353" i="3"/>
  <c r="I353" i="3" s="1"/>
  <c r="AG352" i="3"/>
  <c r="AF352" i="3"/>
  <c r="AE352" i="3"/>
  <c r="AD352" i="3"/>
  <c r="AC352" i="3"/>
  <c r="AB352" i="3"/>
  <c r="U352" i="3"/>
  <c r="T352" i="3"/>
  <c r="S352" i="3"/>
  <c r="R352" i="3"/>
  <c r="Q352" i="3"/>
  <c r="P352" i="3"/>
  <c r="G352" i="3"/>
  <c r="I352" i="3" s="1"/>
  <c r="AG351" i="3"/>
  <c r="AF351" i="3"/>
  <c r="AE351" i="3"/>
  <c r="AD351" i="3"/>
  <c r="AC351" i="3"/>
  <c r="AB351" i="3"/>
  <c r="U351" i="3"/>
  <c r="T351" i="3"/>
  <c r="S351" i="3"/>
  <c r="R351" i="3"/>
  <c r="Q351" i="3"/>
  <c r="P351" i="3"/>
  <c r="G351" i="3"/>
  <c r="I351" i="3" s="1"/>
  <c r="AG350" i="3"/>
  <c r="AF350" i="3"/>
  <c r="AE350" i="3"/>
  <c r="AD350" i="3"/>
  <c r="AC350" i="3"/>
  <c r="AB350" i="3"/>
  <c r="U350" i="3"/>
  <c r="T350" i="3"/>
  <c r="S350" i="3"/>
  <c r="R350" i="3"/>
  <c r="Q350" i="3"/>
  <c r="P350" i="3"/>
  <c r="G350" i="3"/>
  <c r="I350" i="3" s="1"/>
  <c r="AG349" i="3"/>
  <c r="AF349" i="3"/>
  <c r="AE349" i="3"/>
  <c r="AD349" i="3"/>
  <c r="AC349" i="3"/>
  <c r="AB349" i="3"/>
  <c r="U349" i="3"/>
  <c r="T349" i="3"/>
  <c r="S349" i="3"/>
  <c r="R349" i="3"/>
  <c r="Q349" i="3"/>
  <c r="P349" i="3"/>
  <c r="G349" i="3"/>
  <c r="I349" i="3" s="1"/>
  <c r="AG348" i="3"/>
  <c r="AF348" i="3"/>
  <c r="AE348" i="3"/>
  <c r="AD348" i="3"/>
  <c r="AC348" i="3"/>
  <c r="AB348" i="3"/>
  <c r="U348" i="3"/>
  <c r="T348" i="3"/>
  <c r="S348" i="3"/>
  <c r="R348" i="3"/>
  <c r="Q348" i="3"/>
  <c r="P348" i="3"/>
  <c r="G348" i="3"/>
  <c r="I348" i="3" s="1"/>
  <c r="AG347" i="3"/>
  <c r="AF347" i="3"/>
  <c r="AE347" i="3"/>
  <c r="AD347" i="3"/>
  <c r="AC347" i="3"/>
  <c r="AB347" i="3"/>
  <c r="U347" i="3"/>
  <c r="T347" i="3"/>
  <c r="S347" i="3"/>
  <c r="R347" i="3"/>
  <c r="Q347" i="3"/>
  <c r="P347" i="3"/>
  <c r="G347" i="3"/>
  <c r="I347" i="3" s="1"/>
  <c r="AG346" i="3"/>
  <c r="AF346" i="3"/>
  <c r="AE346" i="3"/>
  <c r="AD346" i="3"/>
  <c r="AC346" i="3"/>
  <c r="AB346" i="3"/>
  <c r="U346" i="3"/>
  <c r="T346" i="3"/>
  <c r="S346" i="3"/>
  <c r="R346" i="3"/>
  <c r="Q346" i="3"/>
  <c r="P346" i="3"/>
  <c r="G346" i="3"/>
  <c r="I346" i="3" s="1"/>
  <c r="AG345" i="3"/>
  <c r="AF345" i="3"/>
  <c r="AE345" i="3"/>
  <c r="AD345" i="3"/>
  <c r="AC345" i="3"/>
  <c r="AB345" i="3"/>
  <c r="U345" i="3"/>
  <c r="T345" i="3"/>
  <c r="S345" i="3"/>
  <c r="R345" i="3"/>
  <c r="Q345" i="3"/>
  <c r="P345" i="3"/>
  <c r="G345" i="3"/>
  <c r="I345" i="3" s="1"/>
  <c r="AG344" i="3"/>
  <c r="AF344" i="3"/>
  <c r="AE344" i="3"/>
  <c r="AD344" i="3"/>
  <c r="AC344" i="3"/>
  <c r="AB344" i="3"/>
  <c r="U344" i="3"/>
  <c r="T344" i="3"/>
  <c r="S344" i="3"/>
  <c r="R344" i="3"/>
  <c r="Q344" i="3"/>
  <c r="P344" i="3"/>
  <c r="G344" i="3"/>
  <c r="I344" i="3" s="1"/>
  <c r="AG343" i="3"/>
  <c r="AF343" i="3"/>
  <c r="AE343" i="3"/>
  <c r="AD343" i="3"/>
  <c r="AC343" i="3"/>
  <c r="AB343" i="3"/>
  <c r="U343" i="3"/>
  <c r="T343" i="3"/>
  <c r="S343" i="3"/>
  <c r="R343" i="3"/>
  <c r="Q343" i="3"/>
  <c r="P343" i="3"/>
  <c r="G343" i="3"/>
  <c r="I343" i="3" s="1"/>
  <c r="AG342" i="3"/>
  <c r="AF342" i="3"/>
  <c r="AE342" i="3"/>
  <c r="AD342" i="3"/>
  <c r="AC342" i="3"/>
  <c r="AB342" i="3"/>
  <c r="U342" i="3"/>
  <c r="T342" i="3"/>
  <c r="S342" i="3"/>
  <c r="R342" i="3"/>
  <c r="Q342" i="3"/>
  <c r="P342" i="3"/>
  <c r="G342" i="3"/>
  <c r="I342" i="3" s="1"/>
  <c r="AG341" i="3"/>
  <c r="AF341" i="3"/>
  <c r="AE341" i="3"/>
  <c r="AD341" i="3"/>
  <c r="AC341" i="3"/>
  <c r="AB341" i="3"/>
  <c r="U341" i="3"/>
  <c r="T341" i="3"/>
  <c r="S341" i="3"/>
  <c r="R341" i="3"/>
  <c r="Q341" i="3"/>
  <c r="P341" i="3"/>
  <c r="G341" i="3"/>
  <c r="I341" i="3" s="1"/>
  <c r="AG340" i="3"/>
  <c r="AF340" i="3"/>
  <c r="AE340" i="3"/>
  <c r="AD340" i="3"/>
  <c r="AC340" i="3"/>
  <c r="AB340" i="3"/>
  <c r="U340" i="3"/>
  <c r="T340" i="3"/>
  <c r="S340" i="3"/>
  <c r="R340" i="3"/>
  <c r="Q340" i="3"/>
  <c r="P340" i="3"/>
  <c r="G340" i="3"/>
  <c r="I340" i="3" s="1"/>
  <c r="AG339" i="3"/>
  <c r="AF339" i="3"/>
  <c r="AE339" i="3"/>
  <c r="AD339" i="3"/>
  <c r="AC339" i="3"/>
  <c r="AB339" i="3"/>
  <c r="U339" i="3"/>
  <c r="T339" i="3"/>
  <c r="S339" i="3"/>
  <c r="R339" i="3"/>
  <c r="Q339" i="3"/>
  <c r="P339" i="3"/>
  <c r="G339" i="3"/>
  <c r="I339" i="3" s="1"/>
  <c r="AG338" i="3"/>
  <c r="AF338" i="3"/>
  <c r="AE338" i="3"/>
  <c r="AD338" i="3"/>
  <c r="AC338" i="3"/>
  <c r="AB338" i="3"/>
  <c r="U338" i="3"/>
  <c r="T338" i="3"/>
  <c r="S338" i="3"/>
  <c r="R338" i="3"/>
  <c r="Q338" i="3"/>
  <c r="P338" i="3"/>
  <c r="G338" i="3"/>
  <c r="I338" i="3" s="1"/>
  <c r="AG337" i="3"/>
  <c r="AF337" i="3"/>
  <c r="AE337" i="3"/>
  <c r="AD337" i="3"/>
  <c r="AC337" i="3"/>
  <c r="AB337" i="3"/>
  <c r="U337" i="3"/>
  <c r="T337" i="3"/>
  <c r="S337" i="3"/>
  <c r="R337" i="3"/>
  <c r="Q337" i="3"/>
  <c r="P337" i="3"/>
  <c r="G337" i="3"/>
  <c r="I337" i="3" s="1"/>
  <c r="AG336" i="3"/>
  <c r="AF336" i="3"/>
  <c r="AE336" i="3"/>
  <c r="AD336" i="3"/>
  <c r="AC336" i="3"/>
  <c r="AB336" i="3"/>
  <c r="U336" i="3"/>
  <c r="T336" i="3"/>
  <c r="S336" i="3"/>
  <c r="R336" i="3"/>
  <c r="Q336" i="3"/>
  <c r="P336" i="3"/>
  <c r="G336" i="3"/>
  <c r="I336" i="3" s="1"/>
  <c r="AG335" i="3"/>
  <c r="AF335" i="3"/>
  <c r="AE335" i="3"/>
  <c r="AD335" i="3"/>
  <c r="AC335" i="3"/>
  <c r="AB335" i="3"/>
  <c r="U335" i="3"/>
  <c r="T335" i="3"/>
  <c r="S335" i="3"/>
  <c r="R335" i="3"/>
  <c r="Q335" i="3"/>
  <c r="P335" i="3"/>
  <c r="G335" i="3"/>
  <c r="I335" i="3" s="1"/>
  <c r="AG334" i="3"/>
  <c r="AF334" i="3"/>
  <c r="AE334" i="3"/>
  <c r="AD334" i="3"/>
  <c r="AC334" i="3"/>
  <c r="AB334" i="3"/>
  <c r="U334" i="3"/>
  <c r="T334" i="3"/>
  <c r="S334" i="3"/>
  <c r="R334" i="3"/>
  <c r="Q334" i="3"/>
  <c r="P334" i="3"/>
  <c r="G334" i="3"/>
  <c r="I334" i="3" s="1"/>
  <c r="AG333" i="3"/>
  <c r="AF333" i="3"/>
  <c r="AE333" i="3"/>
  <c r="AD333" i="3"/>
  <c r="AC333" i="3"/>
  <c r="AB333" i="3"/>
  <c r="U333" i="3"/>
  <c r="T333" i="3"/>
  <c r="S333" i="3"/>
  <c r="R333" i="3"/>
  <c r="Q333" i="3"/>
  <c r="P333" i="3"/>
  <c r="G333" i="3"/>
  <c r="I333" i="3" s="1"/>
  <c r="AG332" i="3"/>
  <c r="AF332" i="3"/>
  <c r="AE332" i="3"/>
  <c r="AD332" i="3"/>
  <c r="AC332" i="3"/>
  <c r="AB332" i="3"/>
  <c r="U332" i="3"/>
  <c r="T332" i="3"/>
  <c r="S332" i="3"/>
  <c r="R332" i="3"/>
  <c r="Q332" i="3"/>
  <c r="P332" i="3"/>
  <c r="G332" i="3"/>
  <c r="I332" i="3" s="1"/>
  <c r="AG331" i="3"/>
  <c r="AF331" i="3"/>
  <c r="AE331" i="3"/>
  <c r="AD331" i="3"/>
  <c r="AC331" i="3"/>
  <c r="AB331" i="3"/>
  <c r="U331" i="3"/>
  <c r="T331" i="3"/>
  <c r="S331" i="3"/>
  <c r="R331" i="3"/>
  <c r="Q331" i="3"/>
  <c r="P331" i="3"/>
  <c r="G331" i="3"/>
  <c r="I331" i="3" s="1"/>
  <c r="AG330" i="3"/>
  <c r="AF330" i="3"/>
  <c r="AE330" i="3"/>
  <c r="AD330" i="3"/>
  <c r="AC330" i="3"/>
  <c r="AB330" i="3"/>
  <c r="U330" i="3"/>
  <c r="T330" i="3"/>
  <c r="S330" i="3"/>
  <c r="R330" i="3"/>
  <c r="Q330" i="3"/>
  <c r="P330" i="3"/>
  <c r="G330" i="3"/>
  <c r="I330" i="3" s="1"/>
  <c r="AG329" i="3"/>
  <c r="AF329" i="3"/>
  <c r="AE329" i="3"/>
  <c r="AD329" i="3"/>
  <c r="AC329" i="3"/>
  <c r="AB329" i="3"/>
  <c r="U329" i="3"/>
  <c r="T329" i="3"/>
  <c r="S329" i="3"/>
  <c r="R329" i="3"/>
  <c r="Q329" i="3"/>
  <c r="P329" i="3"/>
  <c r="G329" i="3"/>
  <c r="I329" i="3" s="1"/>
  <c r="AG328" i="3"/>
  <c r="AF328" i="3"/>
  <c r="AE328" i="3"/>
  <c r="AD328" i="3"/>
  <c r="AC328" i="3"/>
  <c r="AB328" i="3"/>
  <c r="U328" i="3"/>
  <c r="T328" i="3"/>
  <c r="S328" i="3"/>
  <c r="R328" i="3"/>
  <c r="Q328" i="3"/>
  <c r="P328" i="3"/>
  <c r="G328" i="3"/>
  <c r="I328" i="3" s="1"/>
  <c r="AG327" i="3"/>
  <c r="AF327" i="3"/>
  <c r="AE327" i="3"/>
  <c r="AD327" i="3"/>
  <c r="AC327" i="3"/>
  <c r="AB327" i="3"/>
  <c r="U327" i="3"/>
  <c r="T327" i="3"/>
  <c r="S327" i="3"/>
  <c r="R327" i="3"/>
  <c r="Q327" i="3"/>
  <c r="P327" i="3"/>
  <c r="G327" i="3"/>
  <c r="I327" i="3" s="1"/>
  <c r="AG326" i="3"/>
  <c r="AF326" i="3"/>
  <c r="AE326" i="3"/>
  <c r="AD326" i="3"/>
  <c r="AC326" i="3"/>
  <c r="AB326" i="3"/>
  <c r="U326" i="3"/>
  <c r="T326" i="3"/>
  <c r="S326" i="3"/>
  <c r="R326" i="3"/>
  <c r="Q326" i="3"/>
  <c r="P326" i="3"/>
  <c r="G326" i="3"/>
  <c r="I326" i="3" s="1"/>
  <c r="AG325" i="3"/>
  <c r="AF325" i="3"/>
  <c r="AE325" i="3"/>
  <c r="AD325" i="3"/>
  <c r="AC325" i="3"/>
  <c r="AB325" i="3"/>
  <c r="U325" i="3"/>
  <c r="T325" i="3"/>
  <c r="S325" i="3"/>
  <c r="R325" i="3"/>
  <c r="Q325" i="3"/>
  <c r="P325" i="3"/>
  <c r="G325" i="3"/>
  <c r="I325" i="3" s="1"/>
  <c r="AG324" i="3"/>
  <c r="AF324" i="3"/>
  <c r="AE324" i="3"/>
  <c r="AD324" i="3"/>
  <c r="AC324" i="3"/>
  <c r="AB324" i="3"/>
  <c r="U324" i="3"/>
  <c r="T324" i="3"/>
  <c r="S324" i="3"/>
  <c r="R324" i="3"/>
  <c r="Q324" i="3"/>
  <c r="P324" i="3"/>
  <c r="G324" i="3"/>
  <c r="I324" i="3" s="1"/>
  <c r="AG323" i="3"/>
  <c r="AF323" i="3"/>
  <c r="AE323" i="3"/>
  <c r="AD323" i="3"/>
  <c r="AC323" i="3"/>
  <c r="AB323" i="3"/>
  <c r="U323" i="3"/>
  <c r="T323" i="3"/>
  <c r="S323" i="3"/>
  <c r="R323" i="3"/>
  <c r="Q323" i="3"/>
  <c r="P323" i="3"/>
  <c r="G323" i="3"/>
  <c r="I323" i="3" s="1"/>
  <c r="AG322" i="3"/>
  <c r="AF322" i="3"/>
  <c r="AE322" i="3"/>
  <c r="AD322" i="3"/>
  <c r="AC322" i="3"/>
  <c r="AB322" i="3"/>
  <c r="U322" i="3"/>
  <c r="T322" i="3"/>
  <c r="S322" i="3"/>
  <c r="R322" i="3"/>
  <c r="Q322" i="3"/>
  <c r="P322" i="3"/>
  <c r="G322" i="3"/>
  <c r="I322" i="3" s="1"/>
  <c r="AG321" i="3"/>
  <c r="AF321" i="3"/>
  <c r="AE321" i="3"/>
  <c r="AD321" i="3"/>
  <c r="AC321" i="3"/>
  <c r="AB321" i="3"/>
  <c r="U321" i="3"/>
  <c r="G321" i="3"/>
  <c r="I321" i="3" s="1"/>
  <c r="AG320" i="3"/>
  <c r="AF320" i="3"/>
  <c r="AE320" i="3"/>
  <c r="AD320" i="3"/>
  <c r="AC320" i="3"/>
  <c r="AB320" i="3"/>
  <c r="U320" i="3"/>
  <c r="T320" i="3"/>
  <c r="S320" i="3"/>
  <c r="R320" i="3"/>
  <c r="Q320" i="3"/>
  <c r="P320" i="3"/>
  <c r="G320" i="3"/>
  <c r="I320" i="3" s="1"/>
  <c r="AG319" i="3"/>
  <c r="AF319" i="3"/>
  <c r="AE319" i="3"/>
  <c r="AD319" i="3"/>
  <c r="AC319" i="3"/>
  <c r="AB319" i="3"/>
  <c r="U319" i="3"/>
  <c r="T319" i="3"/>
  <c r="S319" i="3"/>
  <c r="R319" i="3"/>
  <c r="Q319" i="3"/>
  <c r="P319" i="3"/>
  <c r="G319" i="3"/>
  <c r="I319" i="3" s="1"/>
  <c r="AG318" i="3"/>
  <c r="AF318" i="3"/>
  <c r="AE318" i="3"/>
  <c r="AD318" i="3"/>
  <c r="AC318" i="3"/>
  <c r="AB318" i="3"/>
  <c r="U318" i="3"/>
  <c r="G318" i="3"/>
  <c r="I318" i="3" s="1"/>
  <c r="AG317" i="3"/>
  <c r="AF317" i="3"/>
  <c r="AE317" i="3"/>
  <c r="AD317" i="3"/>
  <c r="AC317" i="3"/>
  <c r="AB317" i="3"/>
  <c r="U317" i="3"/>
  <c r="T317" i="3"/>
  <c r="S317" i="3"/>
  <c r="R317" i="3"/>
  <c r="Q317" i="3"/>
  <c r="P317" i="3"/>
  <c r="G317" i="3"/>
  <c r="I317" i="3" s="1"/>
  <c r="AG316" i="3"/>
  <c r="AF316" i="3"/>
  <c r="AE316" i="3"/>
  <c r="AD316" i="3"/>
  <c r="AC316" i="3"/>
  <c r="AB316" i="3"/>
  <c r="U316" i="3"/>
  <c r="T316" i="3"/>
  <c r="S316" i="3"/>
  <c r="R316" i="3"/>
  <c r="Q316" i="3"/>
  <c r="P316" i="3"/>
  <c r="G316" i="3"/>
  <c r="I316" i="3" s="1"/>
  <c r="AG315" i="3"/>
  <c r="AF315" i="3"/>
  <c r="AE315" i="3"/>
  <c r="AD315" i="3"/>
  <c r="AC315" i="3"/>
  <c r="AB315" i="3"/>
  <c r="U315" i="3"/>
  <c r="G315" i="3"/>
  <c r="I315" i="3" s="1"/>
  <c r="AG314" i="3"/>
  <c r="AF314" i="3"/>
  <c r="AE314" i="3"/>
  <c r="AD314" i="3"/>
  <c r="AC314" i="3"/>
  <c r="AB314" i="3"/>
  <c r="U314" i="3"/>
  <c r="G314" i="3"/>
  <c r="I314" i="3" s="1"/>
  <c r="AG313" i="3"/>
  <c r="AF313" i="3"/>
  <c r="AE313" i="3"/>
  <c r="AD313" i="3"/>
  <c r="AC313" i="3"/>
  <c r="AB313" i="3"/>
  <c r="U313" i="3"/>
  <c r="T313" i="3"/>
  <c r="S313" i="3"/>
  <c r="R313" i="3"/>
  <c r="Q313" i="3"/>
  <c r="P313" i="3"/>
  <c r="G313" i="3"/>
  <c r="I313" i="3" s="1"/>
  <c r="AG312" i="3"/>
  <c r="AF312" i="3"/>
  <c r="AE312" i="3"/>
  <c r="AD312" i="3"/>
  <c r="AC312" i="3"/>
  <c r="AB312" i="3"/>
  <c r="U312" i="3"/>
  <c r="T312" i="3"/>
  <c r="S312" i="3"/>
  <c r="R312" i="3"/>
  <c r="Q312" i="3"/>
  <c r="P312" i="3"/>
  <c r="G312" i="3"/>
  <c r="I312" i="3" s="1"/>
  <c r="AG311" i="3"/>
  <c r="AF311" i="3"/>
  <c r="AE311" i="3"/>
  <c r="AD311" i="3"/>
  <c r="AC311" i="3"/>
  <c r="AB311" i="3"/>
  <c r="U311" i="3"/>
  <c r="T311" i="3"/>
  <c r="S311" i="3"/>
  <c r="R311" i="3"/>
  <c r="Q311" i="3"/>
  <c r="P311" i="3"/>
  <c r="G311" i="3"/>
  <c r="I311" i="3" s="1"/>
  <c r="AG310" i="3"/>
  <c r="AF310" i="3"/>
  <c r="AE310" i="3"/>
  <c r="AD310" i="3"/>
  <c r="AC310" i="3"/>
  <c r="AB310" i="3"/>
  <c r="U310" i="3"/>
  <c r="T310" i="3"/>
  <c r="S310" i="3"/>
  <c r="R310" i="3"/>
  <c r="Q310" i="3"/>
  <c r="P310" i="3"/>
  <c r="G310" i="3"/>
  <c r="I310" i="3" s="1"/>
  <c r="AG309" i="3"/>
  <c r="AF309" i="3"/>
  <c r="AE309" i="3"/>
  <c r="AD309" i="3"/>
  <c r="AC309" i="3"/>
  <c r="AB309" i="3"/>
  <c r="U309" i="3"/>
  <c r="T309" i="3"/>
  <c r="S309" i="3"/>
  <c r="R309" i="3"/>
  <c r="Q309" i="3"/>
  <c r="P309" i="3"/>
  <c r="G309" i="3"/>
  <c r="I309" i="3" s="1"/>
  <c r="AG308" i="3"/>
  <c r="AF308" i="3"/>
  <c r="AE308" i="3"/>
  <c r="AD308" i="3"/>
  <c r="AC308" i="3"/>
  <c r="AB308" i="3"/>
  <c r="U308" i="3"/>
  <c r="T308" i="3"/>
  <c r="S308" i="3"/>
  <c r="R308" i="3"/>
  <c r="Q308" i="3"/>
  <c r="P308" i="3"/>
  <c r="G308" i="3"/>
  <c r="I308" i="3" s="1"/>
  <c r="AG307" i="3"/>
  <c r="AF307" i="3"/>
  <c r="AE307" i="3"/>
  <c r="AD307" i="3"/>
  <c r="AC307" i="3"/>
  <c r="AB307" i="3"/>
  <c r="U307" i="3"/>
  <c r="T307" i="3"/>
  <c r="S307" i="3"/>
  <c r="R307" i="3"/>
  <c r="Q307" i="3"/>
  <c r="P307" i="3"/>
  <c r="G307" i="3"/>
  <c r="I307" i="3" s="1"/>
  <c r="AG306" i="3"/>
  <c r="AF306" i="3"/>
  <c r="AE306" i="3"/>
  <c r="AD306" i="3"/>
  <c r="AC306" i="3"/>
  <c r="AB306" i="3"/>
  <c r="U306" i="3"/>
  <c r="T306" i="3"/>
  <c r="S306" i="3"/>
  <c r="R306" i="3"/>
  <c r="Q306" i="3"/>
  <c r="P306" i="3"/>
  <c r="G306" i="3"/>
  <c r="I306" i="3" s="1"/>
  <c r="AG305" i="3"/>
  <c r="AF305" i="3"/>
  <c r="AE305" i="3"/>
  <c r="AD305" i="3"/>
  <c r="AC305" i="3"/>
  <c r="AB305" i="3"/>
  <c r="U305" i="3"/>
  <c r="T305" i="3"/>
  <c r="S305" i="3"/>
  <c r="R305" i="3"/>
  <c r="Q305" i="3"/>
  <c r="P305" i="3"/>
  <c r="G305" i="3"/>
  <c r="I305" i="3" s="1"/>
  <c r="AG304" i="3"/>
  <c r="AF304" i="3"/>
  <c r="AE304" i="3"/>
  <c r="AD304" i="3"/>
  <c r="AC304" i="3"/>
  <c r="AB304" i="3"/>
  <c r="U304" i="3"/>
  <c r="T304" i="3"/>
  <c r="S304" i="3"/>
  <c r="R304" i="3"/>
  <c r="Q304" i="3"/>
  <c r="P304" i="3"/>
  <c r="G304" i="3"/>
  <c r="I304" i="3" s="1"/>
  <c r="AG303" i="3"/>
  <c r="AF303" i="3"/>
  <c r="AE303" i="3"/>
  <c r="AD303" i="3"/>
  <c r="AC303" i="3"/>
  <c r="AB303" i="3"/>
  <c r="U303" i="3"/>
  <c r="G303" i="3"/>
  <c r="I303" i="3" s="1"/>
  <c r="AG302" i="3"/>
  <c r="AF302" i="3"/>
  <c r="AE302" i="3"/>
  <c r="AD302" i="3"/>
  <c r="AC302" i="3"/>
  <c r="AB302" i="3"/>
  <c r="U302" i="3"/>
  <c r="T302" i="3"/>
  <c r="S302" i="3"/>
  <c r="R302" i="3"/>
  <c r="Q302" i="3"/>
  <c r="P302" i="3"/>
  <c r="G302" i="3"/>
  <c r="I302" i="3" s="1"/>
  <c r="AG301" i="3"/>
  <c r="AF301" i="3"/>
  <c r="AE301" i="3"/>
  <c r="AD301" i="3"/>
  <c r="AC301" i="3"/>
  <c r="AB301" i="3"/>
  <c r="U301" i="3"/>
  <c r="T301" i="3"/>
  <c r="S301" i="3"/>
  <c r="R301" i="3"/>
  <c r="Q301" i="3"/>
  <c r="P301" i="3"/>
  <c r="G301" i="3"/>
  <c r="I301" i="3" s="1"/>
  <c r="AG300" i="3"/>
  <c r="AF300" i="3"/>
  <c r="AE300" i="3"/>
  <c r="AD300" i="3"/>
  <c r="AC300" i="3"/>
  <c r="AB300" i="3"/>
  <c r="U300" i="3"/>
  <c r="T300" i="3"/>
  <c r="S300" i="3"/>
  <c r="R300" i="3"/>
  <c r="Q300" i="3"/>
  <c r="P300" i="3"/>
  <c r="G300" i="3"/>
  <c r="I300" i="3" s="1"/>
  <c r="AG299" i="3"/>
  <c r="AF299" i="3"/>
  <c r="AE299" i="3"/>
  <c r="AD299" i="3"/>
  <c r="AC299" i="3"/>
  <c r="AB299" i="3"/>
  <c r="U299" i="3"/>
  <c r="T299" i="3"/>
  <c r="S299" i="3"/>
  <c r="R299" i="3"/>
  <c r="Q299" i="3"/>
  <c r="P299" i="3"/>
  <c r="G299" i="3"/>
  <c r="I299" i="3" s="1"/>
  <c r="AG298" i="3"/>
  <c r="AF298" i="3"/>
  <c r="AE298" i="3"/>
  <c r="AD298" i="3"/>
  <c r="AC298" i="3"/>
  <c r="AB298" i="3"/>
  <c r="U298" i="3"/>
  <c r="T298" i="3"/>
  <c r="S298" i="3"/>
  <c r="R298" i="3"/>
  <c r="Q298" i="3"/>
  <c r="P298" i="3"/>
  <c r="G298" i="3"/>
  <c r="I298" i="3" s="1"/>
  <c r="AG297" i="3"/>
  <c r="AF297" i="3"/>
  <c r="AE297" i="3"/>
  <c r="AD297" i="3"/>
  <c r="AC297" i="3"/>
  <c r="AB297" i="3"/>
  <c r="U297" i="3"/>
  <c r="T297" i="3"/>
  <c r="S297" i="3"/>
  <c r="R297" i="3"/>
  <c r="Q297" i="3"/>
  <c r="P297" i="3"/>
  <c r="G297" i="3"/>
  <c r="I297" i="3" s="1"/>
  <c r="AG296" i="3"/>
  <c r="AF296" i="3"/>
  <c r="AE296" i="3"/>
  <c r="AD296" i="3"/>
  <c r="AC296" i="3"/>
  <c r="AB296" i="3"/>
  <c r="U296" i="3"/>
  <c r="T296" i="3"/>
  <c r="S296" i="3"/>
  <c r="R296" i="3"/>
  <c r="Q296" i="3"/>
  <c r="P296" i="3"/>
  <c r="G296" i="3"/>
  <c r="I296" i="3" s="1"/>
  <c r="AG295" i="3"/>
  <c r="AF295" i="3"/>
  <c r="AE295" i="3"/>
  <c r="AD295" i="3"/>
  <c r="AC295" i="3"/>
  <c r="AB295" i="3"/>
  <c r="U295" i="3"/>
  <c r="T295" i="3"/>
  <c r="S295" i="3"/>
  <c r="R295" i="3"/>
  <c r="Q295" i="3"/>
  <c r="P295" i="3"/>
  <c r="G295" i="3"/>
  <c r="I295" i="3" s="1"/>
  <c r="AG294" i="3"/>
  <c r="AF294" i="3"/>
  <c r="AE294" i="3"/>
  <c r="AD294" i="3"/>
  <c r="AC294" i="3"/>
  <c r="AB294" i="3"/>
  <c r="U294" i="3"/>
  <c r="T294" i="3"/>
  <c r="S294" i="3"/>
  <c r="R294" i="3"/>
  <c r="Q294" i="3"/>
  <c r="P294" i="3"/>
  <c r="G294" i="3"/>
  <c r="I294" i="3" s="1"/>
  <c r="AG293" i="3"/>
  <c r="AF293" i="3"/>
  <c r="AE293" i="3"/>
  <c r="AD293" i="3"/>
  <c r="AC293" i="3"/>
  <c r="AB293" i="3"/>
  <c r="U293" i="3"/>
  <c r="G293" i="3"/>
  <c r="I293" i="3" s="1"/>
  <c r="AG292" i="3"/>
  <c r="AF292" i="3"/>
  <c r="AE292" i="3"/>
  <c r="AD292" i="3"/>
  <c r="AC292" i="3"/>
  <c r="AB292" i="3"/>
  <c r="U292" i="3"/>
  <c r="T292" i="3"/>
  <c r="S292" i="3"/>
  <c r="R292" i="3"/>
  <c r="Q292" i="3"/>
  <c r="P292" i="3"/>
  <c r="G292" i="3"/>
  <c r="I292" i="3" s="1"/>
  <c r="AG291" i="3"/>
  <c r="AF291" i="3"/>
  <c r="AE291" i="3"/>
  <c r="AD291" i="3"/>
  <c r="AC291" i="3"/>
  <c r="AB291" i="3"/>
  <c r="U291" i="3"/>
  <c r="T291" i="3"/>
  <c r="S291" i="3"/>
  <c r="R291" i="3"/>
  <c r="Q291" i="3"/>
  <c r="P291" i="3"/>
  <c r="G291" i="3"/>
  <c r="I291" i="3" s="1"/>
  <c r="AG290" i="3"/>
  <c r="AF290" i="3"/>
  <c r="AE290" i="3"/>
  <c r="AD290" i="3"/>
  <c r="AC290" i="3"/>
  <c r="AB290" i="3"/>
  <c r="U290" i="3"/>
  <c r="T290" i="3"/>
  <c r="S290" i="3"/>
  <c r="R290" i="3"/>
  <c r="Q290" i="3"/>
  <c r="P290" i="3"/>
  <c r="G290" i="3"/>
  <c r="I290" i="3" s="1"/>
  <c r="AG289" i="3"/>
  <c r="AF289" i="3"/>
  <c r="AE289" i="3"/>
  <c r="AD289" i="3"/>
  <c r="AC289" i="3"/>
  <c r="AB289" i="3"/>
  <c r="U289" i="3"/>
  <c r="T289" i="3"/>
  <c r="S289" i="3"/>
  <c r="R289" i="3"/>
  <c r="Q289" i="3"/>
  <c r="P289" i="3"/>
  <c r="G289" i="3"/>
  <c r="I289" i="3" s="1"/>
  <c r="AG288" i="3"/>
  <c r="AF288" i="3"/>
  <c r="AE288" i="3"/>
  <c r="AD288" i="3"/>
  <c r="AC288" i="3"/>
  <c r="AB288" i="3"/>
  <c r="U288" i="3"/>
  <c r="T288" i="3"/>
  <c r="S288" i="3"/>
  <c r="R288" i="3"/>
  <c r="Q288" i="3"/>
  <c r="P288" i="3"/>
  <c r="G288" i="3"/>
  <c r="I288" i="3" s="1"/>
  <c r="AG287" i="3"/>
  <c r="AF287" i="3"/>
  <c r="AE287" i="3"/>
  <c r="AD287" i="3"/>
  <c r="AC287" i="3"/>
  <c r="AB287" i="3"/>
  <c r="U287" i="3"/>
  <c r="T287" i="3"/>
  <c r="S287" i="3"/>
  <c r="R287" i="3"/>
  <c r="Q287" i="3"/>
  <c r="P287" i="3"/>
  <c r="G287" i="3"/>
  <c r="I287" i="3" s="1"/>
  <c r="AG286" i="3"/>
  <c r="AF286" i="3"/>
  <c r="AE286" i="3"/>
  <c r="AD286" i="3"/>
  <c r="AC286" i="3"/>
  <c r="AB286" i="3"/>
  <c r="U286" i="3"/>
  <c r="T286" i="3"/>
  <c r="S286" i="3"/>
  <c r="R286" i="3"/>
  <c r="Q286" i="3"/>
  <c r="P286" i="3"/>
  <c r="G286" i="3"/>
  <c r="I286" i="3" s="1"/>
  <c r="AG285" i="3"/>
  <c r="AF285" i="3"/>
  <c r="AE285" i="3"/>
  <c r="AD285" i="3"/>
  <c r="AC285" i="3"/>
  <c r="AB285" i="3"/>
  <c r="U285" i="3"/>
  <c r="T285" i="3"/>
  <c r="S285" i="3"/>
  <c r="R285" i="3"/>
  <c r="Q285" i="3"/>
  <c r="P285" i="3"/>
  <c r="G285" i="3"/>
  <c r="I285" i="3" s="1"/>
  <c r="AG284" i="3"/>
  <c r="AF284" i="3"/>
  <c r="AE284" i="3"/>
  <c r="AD284" i="3"/>
  <c r="AC284" i="3"/>
  <c r="AB284" i="3"/>
  <c r="U284" i="3"/>
  <c r="T284" i="3"/>
  <c r="S284" i="3"/>
  <c r="R284" i="3"/>
  <c r="Q284" i="3"/>
  <c r="P284" i="3"/>
  <c r="G284" i="3"/>
  <c r="I284" i="3" s="1"/>
  <c r="AG283" i="3"/>
  <c r="AF283" i="3"/>
  <c r="AE283" i="3"/>
  <c r="AD283" i="3"/>
  <c r="AC283" i="3"/>
  <c r="AB283" i="3"/>
  <c r="U283" i="3"/>
  <c r="T283" i="3"/>
  <c r="S283" i="3"/>
  <c r="R283" i="3"/>
  <c r="Q283" i="3"/>
  <c r="P283" i="3"/>
  <c r="G283" i="3"/>
  <c r="I283" i="3" s="1"/>
  <c r="AG282" i="3"/>
  <c r="AF282" i="3"/>
  <c r="AE282" i="3"/>
  <c r="AD282" i="3"/>
  <c r="AC282" i="3"/>
  <c r="AB282" i="3"/>
  <c r="U282" i="3"/>
  <c r="T282" i="3"/>
  <c r="S282" i="3"/>
  <c r="R282" i="3"/>
  <c r="Q282" i="3"/>
  <c r="P282" i="3"/>
  <c r="G282" i="3"/>
  <c r="I282" i="3" s="1"/>
  <c r="AG281" i="3"/>
  <c r="AF281" i="3"/>
  <c r="AE281" i="3"/>
  <c r="AD281" i="3"/>
  <c r="AC281" i="3"/>
  <c r="AB281" i="3"/>
  <c r="U281" i="3"/>
  <c r="T281" i="3"/>
  <c r="S281" i="3"/>
  <c r="R281" i="3"/>
  <c r="Q281" i="3"/>
  <c r="P281" i="3"/>
  <c r="G281" i="3"/>
  <c r="I281" i="3" s="1"/>
  <c r="AG280" i="3"/>
  <c r="AF280" i="3"/>
  <c r="AE280" i="3"/>
  <c r="AD280" i="3"/>
  <c r="AC280" i="3"/>
  <c r="AB280" i="3"/>
  <c r="U280" i="3"/>
  <c r="T280" i="3"/>
  <c r="S280" i="3"/>
  <c r="R280" i="3"/>
  <c r="Q280" i="3"/>
  <c r="P280" i="3"/>
  <c r="G280" i="3"/>
  <c r="I280" i="3" s="1"/>
  <c r="AG279" i="3"/>
  <c r="AF279" i="3"/>
  <c r="AE279" i="3"/>
  <c r="AD279" i="3"/>
  <c r="AC279" i="3"/>
  <c r="AB279" i="3"/>
  <c r="U279" i="3"/>
  <c r="T279" i="3"/>
  <c r="S279" i="3"/>
  <c r="R279" i="3"/>
  <c r="Q279" i="3"/>
  <c r="P279" i="3"/>
  <c r="G279" i="3"/>
  <c r="I279" i="3" s="1"/>
  <c r="AG278" i="3"/>
  <c r="AF278" i="3"/>
  <c r="AE278" i="3"/>
  <c r="AD278" i="3"/>
  <c r="AC278" i="3"/>
  <c r="AB278" i="3"/>
  <c r="U278" i="3"/>
  <c r="T278" i="3"/>
  <c r="S278" i="3"/>
  <c r="R278" i="3"/>
  <c r="Q278" i="3"/>
  <c r="P278" i="3"/>
  <c r="G278" i="3"/>
  <c r="I278" i="3" s="1"/>
  <c r="AG277" i="3"/>
  <c r="AF277" i="3"/>
  <c r="AE277" i="3"/>
  <c r="AD277" i="3"/>
  <c r="AC277" i="3"/>
  <c r="AB277" i="3"/>
  <c r="U277" i="3"/>
  <c r="G277" i="3"/>
  <c r="I277" i="3" s="1"/>
  <c r="AG276" i="3"/>
  <c r="AF276" i="3"/>
  <c r="AE276" i="3"/>
  <c r="AD276" i="3"/>
  <c r="AC276" i="3"/>
  <c r="AB276" i="3"/>
  <c r="U276" i="3"/>
  <c r="T276" i="3"/>
  <c r="S276" i="3"/>
  <c r="R276" i="3"/>
  <c r="Q276" i="3"/>
  <c r="P276" i="3"/>
  <c r="G276" i="3"/>
  <c r="I276" i="3" s="1"/>
  <c r="AG275" i="3"/>
  <c r="AF275" i="3"/>
  <c r="AE275" i="3"/>
  <c r="AD275" i="3"/>
  <c r="AC275" i="3"/>
  <c r="AB275" i="3"/>
  <c r="U275" i="3"/>
  <c r="T275" i="3"/>
  <c r="S275" i="3"/>
  <c r="R275" i="3"/>
  <c r="Q275" i="3"/>
  <c r="P275" i="3"/>
  <c r="G275" i="3"/>
  <c r="I275" i="3" s="1"/>
  <c r="AG274" i="3"/>
  <c r="AF274" i="3"/>
  <c r="AE274" i="3"/>
  <c r="AD274" i="3"/>
  <c r="AC274" i="3"/>
  <c r="AB274" i="3"/>
  <c r="U274" i="3"/>
  <c r="T274" i="3"/>
  <c r="S274" i="3"/>
  <c r="R274" i="3"/>
  <c r="Q274" i="3"/>
  <c r="P274" i="3"/>
  <c r="G274" i="3"/>
  <c r="I274" i="3" s="1"/>
  <c r="AG273" i="3"/>
  <c r="AF273" i="3"/>
  <c r="AE273" i="3"/>
  <c r="AD273" i="3"/>
  <c r="AC273" i="3"/>
  <c r="AB273" i="3"/>
  <c r="U273" i="3"/>
  <c r="T273" i="3"/>
  <c r="S273" i="3"/>
  <c r="R273" i="3"/>
  <c r="Q273" i="3"/>
  <c r="P273" i="3"/>
  <c r="G273" i="3"/>
  <c r="I273" i="3" s="1"/>
  <c r="AG272" i="3"/>
  <c r="AF272" i="3"/>
  <c r="AE272" i="3"/>
  <c r="AD272" i="3"/>
  <c r="AC272" i="3"/>
  <c r="AB272" i="3"/>
  <c r="U272" i="3"/>
  <c r="T272" i="3"/>
  <c r="S272" i="3"/>
  <c r="R272" i="3"/>
  <c r="Q272" i="3"/>
  <c r="P272" i="3"/>
  <c r="G272" i="3"/>
  <c r="I272" i="3" s="1"/>
  <c r="AG271" i="3"/>
  <c r="AF271" i="3"/>
  <c r="AE271" i="3"/>
  <c r="AD271" i="3"/>
  <c r="AC271" i="3"/>
  <c r="AB271" i="3"/>
  <c r="U271" i="3"/>
  <c r="T271" i="3"/>
  <c r="S271" i="3"/>
  <c r="R271" i="3"/>
  <c r="Q271" i="3"/>
  <c r="P271" i="3"/>
  <c r="G271" i="3"/>
  <c r="I271" i="3" s="1"/>
  <c r="AG270" i="3"/>
  <c r="AF270" i="3"/>
  <c r="AE270" i="3"/>
  <c r="AD270" i="3"/>
  <c r="AC270" i="3"/>
  <c r="AB270" i="3"/>
  <c r="U270" i="3"/>
  <c r="T270" i="3"/>
  <c r="S270" i="3"/>
  <c r="R270" i="3"/>
  <c r="Q270" i="3"/>
  <c r="P270" i="3"/>
  <c r="G270" i="3"/>
  <c r="I270" i="3" s="1"/>
  <c r="AG269" i="3"/>
  <c r="AF269" i="3"/>
  <c r="AE269" i="3"/>
  <c r="AD269" i="3"/>
  <c r="AC269" i="3"/>
  <c r="AB269" i="3"/>
  <c r="U269" i="3"/>
  <c r="T269" i="3"/>
  <c r="S269" i="3"/>
  <c r="R269" i="3"/>
  <c r="Q269" i="3"/>
  <c r="P269" i="3"/>
  <c r="G269" i="3"/>
  <c r="I269" i="3" s="1"/>
  <c r="AG268" i="3"/>
  <c r="AF268" i="3"/>
  <c r="AE268" i="3"/>
  <c r="AD268" i="3"/>
  <c r="AC268" i="3"/>
  <c r="AB268" i="3"/>
  <c r="U268" i="3"/>
  <c r="G268" i="3"/>
  <c r="I268" i="3" s="1"/>
  <c r="AG267" i="3"/>
  <c r="AF267" i="3"/>
  <c r="AE267" i="3"/>
  <c r="AD267" i="3"/>
  <c r="AC267" i="3"/>
  <c r="AB267" i="3"/>
  <c r="U267" i="3"/>
  <c r="T267" i="3"/>
  <c r="S267" i="3"/>
  <c r="R267" i="3"/>
  <c r="Q267" i="3"/>
  <c r="P267" i="3"/>
  <c r="G267" i="3"/>
  <c r="I267" i="3" s="1"/>
  <c r="AG266" i="3"/>
  <c r="AF266" i="3"/>
  <c r="AE266" i="3"/>
  <c r="AD266" i="3"/>
  <c r="AC266" i="3"/>
  <c r="AB266" i="3"/>
  <c r="U266" i="3"/>
  <c r="T266" i="3"/>
  <c r="S266" i="3"/>
  <c r="R266" i="3"/>
  <c r="Q266" i="3"/>
  <c r="P266" i="3"/>
  <c r="G266" i="3"/>
  <c r="I266" i="3" s="1"/>
  <c r="AG265" i="3"/>
  <c r="AF265" i="3"/>
  <c r="AE265" i="3"/>
  <c r="AD265" i="3"/>
  <c r="AC265" i="3"/>
  <c r="AB265" i="3"/>
  <c r="U265" i="3"/>
  <c r="T265" i="3"/>
  <c r="S265" i="3"/>
  <c r="R265" i="3"/>
  <c r="Q265" i="3"/>
  <c r="P265" i="3"/>
  <c r="G265" i="3"/>
  <c r="I265" i="3" s="1"/>
  <c r="AG264" i="3"/>
  <c r="AF264" i="3"/>
  <c r="AE264" i="3"/>
  <c r="AD264" i="3"/>
  <c r="AC264" i="3"/>
  <c r="AB264" i="3"/>
  <c r="U264" i="3"/>
  <c r="T264" i="3"/>
  <c r="S264" i="3"/>
  <c r="R264" i="3"/>
  <c r="Q264" i="3"/>
  <c r="P264" i="3"/>
  <c r="G264" i="3"/>
  <c r="I264" i="3" s="1"/>
  <c r="AG263" i="3"/>
  <c r="AF263" i="3"/>
  <c r="AE263" i="3"/>
  <c r="AD263" i="3"/>
  <c r="AC263" i="3"/>
  <c r="AB263" i="3"/>
  <c r="U263" i="3"/>
  <c r="T263" i="3"/>
  <c r="S263" i="3"/>
  <c r="R263" i="3"/>
  <c r="Q263" i="3"/>
  <c r="P263" i="3"/>
  <c r="G263" i="3"/>
  <c r="I263" i="3" s="1"/>
  <c r="AG262" i="3"/>
  <c r="AF262" i="3"/>
  <c r="AE262" i="3"/>
  <c r="AD262" i="3"/>
  <c r="AC262" i="3"/>
  <c r="AB262" i="3"/>
  <c r="U262" i="3"/>
  <c r="T262" i="3"/>
  <c r="S262" i="3"/>
  <c r="R262" i="3"/>
  <c r="Q262" i="3"/>
  <c r="P262" i="3"/>
  <c r="G262" i="3"/>
  <c r="I262" i="3" s="1"/>
  <c r="AG261" i="3"/>
  <c r="AF261" i="3"/>
  <c r="AE261" i="3"/>
  <c r="AD261" i="3"/>
  <c r="AC261" i="3"/>
  <c r="AB261" i="3"/>
  <c r="U261" i="3"/>
  <c r="T261" i="3"/>
  <c r="S261" i="3"/>
  <c r="R261" i="3"/>
  <c r="Q261" i="3"/>
  <c r="P261" i="3"/>
  <c r="G261" i="3"/>
  <c r="I261" i="3" s="1"/>
  <c r="AG260" i="3"/>
  <c r="AF260" i="3"/>
  <c r="AE260" i="3"/>
  <c r="AD260" i="3"/>
  <c r="AC260" i="3"/>
  <c r="AB260" i="3"/>
  <c r="U260" i="3"/>
  <c r="T260" i="3"/>
  <c r="S260" i="3"/>
  <c r="R260" i="3"/>
  <c r="Q260" i="3"/>
  <c r="P260" i="3"/>
  <c r="G260" i="3"/>
  <c r="I260" i="3" s="1"/>
  <c r="AG259" i="3"/>
  <c r="AF259" i="3"/>
  <c r="AE259" i="3"/>
  <c r="AD259" i="3"/>
  <c r="AC259" i="3"/>
  <c r="AB259" i="3"/>
  <c r="U259" i="3"/>
  <c r="T259" i="3"/>
  <c r="S259" i="3"/>
  <c r="R259" i="3"/>
  <c r="Q259" i="3"/>
  <c r="P259" i="3"/>
  <c r="G259" i="3"/>
  <c r="I259" i="3" s="1"/>
  <c r="AG258" i="3"/>
  <c r="AF258" i="3"/>
  <c r="AE258" i="3"/>
  <c r="AD258" i="3"/>
  <c r="AC258" i="3"/>
  <c r="AB258" i="3"/>
  <c r="U258" i="3"/>
  <c r="T258" i="3"/>
  <c r="S258" i="3"/>
  <c r="R258" i="3"/>
  <c r="Q258" i="3"/>
  <c r="P258" i="3"/>
  <c r="G258" i="3"/>
  <c r="I258" i="3" s="1"/>
  <c r="AG257" i="3"/>
  <c r="AF257" i="3"/>
  <c r="AE257" i="3"/>
  <c r="AD257" i="3"/>
  <c r="AC257" i="3"/>
  <c r="AB257" i="3"/>
  <c r="U257" i="3"/>
  <c r="T257" i="3"/>
  <c r="S257" i="3"/>
  <c r="R257" i="3"/>
  <c r="Q257" i="3"/>
  <c r="P257" i="3"/>
  <c r="G257" i="3"/>
  <c r="I257" i="3" s="1"/>
  <c r="AG256" i="3"/>
  <c r="AF256" i="3"/>
  <c r="AE256" i="3"/>
  <c r="AD256" i="3"/>
  <c r="AC256" i="3"/>
  <c r="AB256" i="3"/>
  <c r="U256" i="3"/>
  <c r="T256" i="3"/>
  <c r="S256" i="3"/>
  <c r="R256" i="3"/>
  <c r="Q256" i="3"/>
  <c r="P256" i="3"/>
  <c r="G256" i="3"/>
  <c r="I256" i="3" s="1"/>
  <c r="AG255" i="3"/>
  <c r="AF255" i="3"/>
  <c r="AE255" i="3"/>
  <c r="AD255" i="3"/>
  <c r="AC255" i="3"/>
  <c r="AB255" i="3"/>
  <c r="U255" i="3"/>
  <c r="T255" i="3"/>
  <c r="S255" i="3"/>
  <c r="R255" i="3"/>
  <c r="Q255" i="3"/>
  <c r="P255" i="3"/>
  <c r="G255" i="3"/>
  <c r="I255" i="3" s="1"/>
  <c r="AG254" i="3"/>
  <c r="AF254" i="3"/>
  <c r="AE254" i="3"/>
  <c r="AD254" i="3"/>
  <c r="AC254" i="3"/>
  <c r="AB254" i="3"/>
  <c r="U254" i="3"/>
  <c r="T254" i="3"/>
  <c r="S254" i="3"/>
  <c r="R254" i="3"/>
  <c r="Q254" i="3"/>
  <c r="P254" i="3"/>
  <c r="G254" i="3"/>
  <c r="I254" i="3" s="1"/>
  <c r="AG253" i="3"/>
  <c r="AF253" i="3"/>
  <c r="AE253" i="3"/>
  <c r="AD253" i="3"/>
  <c r="AC253" i="3"/>
  <c r="AB253" i="3"/>
  <c r="U253" i="3"/>
  <c r="T253" i="3"/>
  <c r="S253" i="3"/>
  <c r="R253" i="3"/>
  <c r="Q253" i="3"/>
  <c r="P253" i="3"/>
  <c r="G253" i="3"/>
  <c r="I253" i="3" s="1"/>
  <c r="AG252" i="3"/>
  <c r="AF252" i="3"/>
  <c r="AE252" i="3"/>
  <c r="AD252" i="3"/>
  <c r="AC252" i="3"/>
  <c r="AB252" i="3"/>
  <c r="U252" i="3"/>
  <c r="G252" i="3"/>
  <c r="I252" i="3" s="1"/>
  <c r="AG251" i="3"/>
  <c r="AF251" i="3"/>
  <c r="AE251" i="3"/>
  <c r="AD251" i="3"/>
  <c r="AC251" i="3"/>
  <c r="AB251" i="3"/>
  <c r="U251" i="3"/>
  <c r="G251" i="3"/>
  <c r="I251" i="3" s="1"/>
  <c r="AG250" i="3"/>
  <c r="AF250" i="3"/>
  <c r="AE250" i="3"/>
  <c r="AD250" i="3"/>
  <c r="AC250" i="3"/>
  <c r="AB250" i="3"/>
  <c r="U250" i="3"/>
  <c r="G250" i="3"/>
  <c r="I250" i="3" s="1"/>
  <c r="AG249" i="3"/>
  <c r="AF249" i="3"/>
  <c r="AE249" i="3"/>
  <c r="AD249" i="3"/>
  <c r="AC249" i="3"/>
  <c r="AB249" i="3"/>
  <c r="U249" i="3"/>
  <c r="T249" i="3"/>
  <c r="S249" i="3"/>
  <c r="R249" i="3"/>
  <c r="Q249" i="3"/>
  <c r="P249" i="3"/>
  <c r="G249" i="3"/>
  <c r="I249" i="3" s="1"/>
  <c r="AG248" i="3"/>
  <c r="AF248" i="3"/>
  <c r="AE248" i="3"/>
  <c r="AD248" i="3"/>
  <c r="AC248" i="3"/>
  <c r="AB248" i="3"/>
  <c r="U248" i="3"/>
  <c r="T248" i="3"/>
  <c r="S248" i="3"/>
  <c r="R248" i="3"/>
  <c r="Q248" i="3"/>
  <c r="P248" i="3"/>
  <c r="G248" i="3"/>
  <c r="I248" i="3" s="1"/>
  <c r="AG247" i="3"/>
  <c r="AF247" i="3"/>
  <c r="AE247" i="3"/>
  <c r="AD247" i="3"/>
  <c r="AC247" i="3"/>
  <c r="AB247" i="3"/>
  <c r="U247" i="3"/>
  <c r="T247" i="3"/>
  <c r="S247" i="3"/>
  <c r="R247" i="3"/>
  <c r="Q247" i="3"/>
  <c r="P247" i="3"/>
  <c r="G247" i="3"/>
  <c r="I247" i="3" s="1"/>
  <c r="AG246" i="3"/>
  <c r="AF246" i="3"/>
  <c r="AE246" i="3"/>
  <c r="AD246" i="3"/>
  <c r="AC246" i="3"/>
  <c r="AB246" i="3"/>
  <c r="U246" i="3"/>
  <c r="T246" i="3"/>
  <c r="S246" i="3"/>
  <c r="R246" i="3"/>
  <c r="Q246" i="3"/>
  <c r="P246" i="3"/>
  <c r="G246" i="3"/>
  <c r="I246" i="3" s="1"/>
  <c r="AG245" i="3"/>
  <c r="AF245" i="3"/>
  <c r="AE245" i="3"/>
  <c r="AD245" i="3"/>
  <c r="AC245" i="3"/>
  <c r="AB245" i="3"/>
  <c r="U245" i="3"/>
  <c r="T245" i="3"/>
  <c r="S245" i="3"/>
  <c r="R245" i="3"/>
  <c r="Q245" i="3"/>
  <c r="P245" i="3"/>
  <c r="G245" i="3"/>
  <c r="I245" i="3" s="1"/>
  <c r="AG244" i="3"/>
  <c r="AF244" i="3"/>
  <c r="AE244" i="3"/>
  <c r="AD244" i="3"/>
  <c r="AC244" i="3"/>
  <c r="AB244" i="3"/>
  <c r="U244" i="3"/>
  <c r="T244" i="3"/>
  <c r="S244" i="3"/>
  <c r="R244" i="3"/>
  <c r="Q244" i="3"/>
  <c r="P244" i="3"/>
  <c r="G244" i="3"/>
  <c r="I244" i="3" s="1"/>
  <c r="AG243" i="3"/>
  <c r="AF243" i="3"/>
  <c r="AE243" i="3"/>
  <c r="AD243" i="3"/>
  <c r="AC243" i="3"/>
  <c r="AB243" i="3"/>
  <c r="U243" i="3"/>
  <c r="T243" i="3"/>
  <c r="S243" i="3"/>
  <c r="R243" i="3"/>
  <c r="Q243" i="3"/>
  <c r="P243" i="3"/>
  <c r="G243" i="3"/>
  <c r="I243" i="3" s="1"/>
  <c r="AG242" i="3"/>
  <c r="AF242" i="3"/>
  <c r="AE242" i="3"/>
  <c r="AD242" i="3"/>
  <c r="AC242" i="3"/>
  <c r="AB242" i="3"/>
  <c r="U242" i="3"/>
  <c r="T242" i="3"/>
  <c r="S242" i="3"/>
  <c r="R242" i="3"/>
  <c r="Q242" i="3"/>
  <c r="P242" i="3"/>
  <c r="G242" i="3"/>
  <c r="I242" i="3" s="1"/>
  <c r="AG241" i="3"/>
  <c r="AF241" i="3"/>
  <c r="AE241" i="3"/>
  <c r="AD241" i="3"/>
  <c r="AC241" i="3"/>
  <c r="AB241" i="3"/>
  <c r="U241" i="3"/>
  <c r="T241" i="3"/>
  <c r="S241" i="3"/>
  <c r="R241" i="3"/>
  <c r="Q241" i="3"/>
  <c r="P241" i="3"/>
  <c r="G241" i="3"/>
  <c r="I241" i="3" s="1"/>
  <c r="AG240" i="3"/>
  <c r="AF240" i="3"/>
  <c r="AE240" i="3"/>
  <c r="AD240" i="3"/>
  <c r="AC240" i="3"/>
  <c r="AB240" i="3"/>
  <c r="U240" i="3"/>
  <c r="T240" i="3"/>
  <c r="S240" i="3"/>
  <c r="R240" i="3"/>
  <c r="Q240" i="3"/>
  <c r="P240" i="3"/>
  <c r="G240" i="3"/>
  <c r="I240" i="3" s="1"/>
  <c r="AG239" i="3"/>
  <c r="AF239" i="3"/>
  <c r="AE239" i="3"/>
  <c r="AD239" i="3"/>
  <c r="AC239" i="3"/>
  <c r="AB239" i="3"/>
  <c r="U239" i="3"/>
  <c r="T239" i="3"/>
  <c r="S239" i="3"/>
  <c r="R239" i="3"/>
  <c r="Q239" i="3"/>
  <c r="P239" i="3"/>
  <c r="G239" i="3"/>
  <c r="I239" i="3" s="1"/>
  <c r="AG238" i="3"/>
  <c r="AF238" i="3"/>
  <c r="AE238" i="3"/>
  <c r="AD238" i="3"/>
  <c r="AC238" i="3"/>
  <c r="AB238" i="3"/>
  <c r="U238" i="3"/>
  <c r="T238" i="3"/>
  <c r="S238" i="3"/>
  <c r="R238" i="3"/>
  <c r="Q238" i="3"/>
  <c r="P238" i="3"/>
  <c r="G238" i="3"/>
  <c r="I238" i="3" s="1"/>
  <c r="AG237" i="3"/>
  <c r="AF237" i="3"/>
  <c r="AE237" i="3"/>
  <c r="AD237" i="3"/>
  <c r="AC237" i="3"/>
  <c r="AB237" i="3"/>
  <c r="U237" i="3"/>
  <c r="T237" i="3"/>
  <c r="S237" i="3"/>
  <c r="R237" i="3"/>
  <c r="Q237" i="3"/>
  <c r="P237" i="3"/>
  <c r="G237" i="3"/>
  <c r="I237" i="3" s="1"/>
  <c r="AG236" i="3"/>
  <c r="AF236" i="3"/>
  <c r="AE236" i="3"/>
  <c r="AD236" i="3"/>
  <c r="AC236" i="3"/>
  <c r="AB236" i="3"/>
  <c r="U236" i="3"/>
  <c r="T236" i="3"/>
  <c r="S236" i="3"/>
  <c r="R236" i="3"/>
  <c r="Q236" i="3"/>
  <c r="P236" i="3"/>
  <c r="G236" i="3"/>
  <c r="I236" i="3" s="1"/>
  <c r="AG235" i="3"/>
  <c r="AF235" i="3"/>
  <c r="AE235" i="3"/>
  <c r="AD235" i="3"/>
  <c r="AC235" i="3"/>
  <c r="AB235" i="3"/>
  <c r="U235" i="3"/>
  <c r="T235" i="3"/>
  <c r="S235" i="3"/>
  <c r="R235" i="3"/>
  <c r="Q235" i="3"/>
  <c r="P235" i="3"/>
  <c r="G235" i="3"/>
  <c r="I235" i="3" s="1"/>
  <c r="AG234" i="3"/>
  <c r="AF234" i="3"/>
  <c r="AE234" i="3"/>
  <c r="AD234" i="3"/>
  <c r="AC234" i="3"/>
  <c r="AB234" i="3"/>
  <c r="U234" i="3"/>
  <c r="T234" i="3"/>
  <c r="S234" i="3"/>
  <c r="R234" i="3"/>
  <c r="Q234" i="3"/>
  <c r="P234" i="3"/>
  <c r="G234" i="3"/>
  <c r="I234" i="3" s="1"/>
  <c r="AG233" i="3"/>
  <c r="AF233" i="3"/>
  <c r="AE233" i="3"/>
  <c r="AD233" i="3"/>
  <c r="AC233" i="3"/>
  <c r="AB233" i="3"/>
  <c r="U233" i="3"/>
  <c r="T233" i="3"/>
  <c r="S233" i="3"/>
  <c r="R233" i="3"/>
  <c r="Q233" i="3"/>
  <c r="P233" i="3"/>
  <c r="G233" i="3"/>
  <c r="I233" i="3" s="1"/>
  <c r="AG232" i="3"/>
  <c r="AF232" i="3"/>
  <c r="AE232" i="3"/>
  <c r="AD232" i="3"/>
  <c r="AC232" i="3"/>
  <c r="AB232" i="3"/>
  <c r="U232" i="3"/>
  <c r="T232" i="3"/>
  <c r="S232" i="3"/>
  <c r="R232" i="3"/>
  <c r="Q232" i="3"/>
  <c r="P232" i="3"/>
  <c r="G232" i="3"/>
  <c r="I232" i="3" s="1"/>
  <c r="AG231" i="3"/>
  <c r="AF231" i="3"/>
  <c r="AE231" i="3"/>
  <c r="AD231" i="3"/>
  <c r="AC231" i="3"/>
  <c r="AB231" i="3"/>
  <c r="U231" i="3"/>
  <c r="T231" i="3"/>
  <c r="S231" i="3"/>
  <c r="R231" i="3"/>
  <c r="Q231" i="3"/>
  <c r="P231" i="3"/>
  <c r="G231" i="3"/>
  <c r="I231" i="3" s="1"/>
  <c r="AG230" i="3"/>
  <c r="AF230" i="3"/>
  <c r="AE230" i="3"/>
  <c r="AD230" i="3"/>
  <c r="AC230" i="3"/>
  <c r="AB230" i="3"/>
  <c r="U230" i="3"/>
  <c r="T230" i="3"/>
  <c r="S230" i="3"/>
  <c r="R230" i="3"/>
  <c r="Q230" i="3"/>
  <c r="P230" i="3"/>
  <c r="G230" i="3"/>
  <c r="I230" i="3" s="1"/>
  <c r="AG229" i="3"/>
  <c r="AF229" i="3"/>
  <c r="AE229" i="3"/>
  <c r="AD229" i="3"/>
  <c r="AC229" i="3"/>
  <c r="AB229" i="3"/>
  <c r="U229" i="3"/>
  <c r="T229" i="3"/>
  <c r="S229" i="3"/>
  <c r="R229" i="3"/>
  <c r="Q229" i="3"/>
  <c r="P229" i="3"/>
  <c r="G229" i="3"/>
  <c r="I229" i="3" s="1"/>
  <c r="AG228" i="3"/>
  <c r="AF228" i="3"/>
  <c r="AE228" i="3"/>
  <c r="AD228" i="3"/>
  <c r="AC228" i="3"/>
  <c r="AB228" i="3"/>
  <c r="U228" i="3"/>
  <c r="T228" i="3"/>
  <c r="S228" i="3"/>
  <c r="R228" i="3"/>
  <c r="Q228" i="3"/>
  <c r="P228" i="3"/>
  <c r="G228" i="3"/>
  <c r="I228" i="3" s="1"/>
  <c r="AG227" i="3"/>
  <c r="AF227" i="3"/>
  <c r="AE227" i="3"/>
  <c r="AD227" i="3"/>
  <c r="AC227" i="3"/>
  <c r="AB227" i="3"/>
  <c r="U227" i="3"/>
  <c r="G227" i="3"/>
  <c r="I227" i="3" s="1"/>
  <c r="AG226" i="3"/>
  <c r="AF226" i="3"/>
  <c r="AE226" i="3"/>
  <c r="AD226" i="3"/>
  <c r="AC226" i="3"/>
  <c r="AB226" i="3"/>
  <c r="U226" i="3"/>
  <c r="T226" i="3"/>
  <c r="S226" i="3"/>
  <c r="R226" i="3"/>
  <c r="Q226" i="3"/>
  <c r="P226" i="3"/>
  <c r="G226" i="3"/>
  <c r="I226" i="3" s="1"/>
  <c r="AG225" i="3"/>
  <c r="AF225" i="3"/>
  <c r="AE225" i="3"/>
  <c r="AD225" i="3"/>
  <c r="AC225" i="3"/>
  <c r="AB225" i="3"/>
  <c r="U225" i="3"/>
  <c r="G225" i="3"/>
  <c r="I225" i="3" s="1"/>
  <c r="AG224" i="3"/>
  <c r="AF224" i="3"/>
  <c r="AE224" i="3"/>
  <c r="AD224" i="3"/>
  <c r="AC224" i="3"/>
  <c r="AB224" i="3"/>
  <c r="U224" i="3"/>
  <c r="T224" i="3"/>
  <c r="S224" i="3"/>
  <c r="R224" i="3"/>
  <c r="Q224" i="3"/>
  <c r="P224" i="3"/>
  <c r="G224" i="3"/>
  <c r="I224" i="3" s="1"/>
  <c r="AG223" i="3"/>
  <c r="AF223" i="3"/>
  <c r="AE223" i="3"/>
  <c r="AD223" i="3"/>
  <c r="AC223" i="3"/>
  <c r="AB223" i="3"/>
  <c r="U223" i="3"/>
  <c r="T223" i="3"/>
  <c r="S223" i="3"/>
  <c r="R223" i="3"/>
  <c r="Q223" i="3"/>
  <c r="P223" i="3"/>
  <c r="G223" i="3"/>
  <c r="I223" i="3" s="1"/>
  <c r="AG222" i="3"/>
  <c r="AF222" i="3"/>
  <c r="AE222" i="3"/>
  <c r="AD222" i="3"/>
  <c r="AC222" i="3"/>
  <c r="AB222" i="3"/>
  <c r="U222" i="3"/>
  <c r="T222" i="3"/>
  <c r="S222" i="3"/>
  <c r="R222" i="3"/>
  <c r="Q222" i="3"/>
  <c r="P222" i="3"/>
  <c r="G222" i="3"/>
  <c r="I222" i="3" s="1"/>
  <c r="AG221" i="3"/>
  <c r="AF221" i="3"/>
  <c r="AE221" i="3"/>
  <c r="AD221" i="3"/>
  <c r="AC221" i="3"/>
  <c r="AB221" i="3"/>
  <c r="U221" i="3"/>
  <c r="G221" i="3"/>
  <c r="I221" i="3" s="1"/>
  <c r="AG220" i="3"/>
  <c r="AF220" i="3"/>
  <c r="AE220" i="3"/>
  <c r="AD220" i="3"/>
  <c r="AC220" i="3"/>
  <c r="AB220" i="3"/>
  <c r="U220" i="3"/>
  <c r="T220" i="3"/>
  <c r="S220" i="3"/>
  <c r="R220" i="3"/>
  <c r="Q220" i="3"/>
  <c r="P220" i="3"/>
  <c r="G220" i="3"/>
  <c r="I220" i="3" s="1"/>
  <c r="AG219" i="3"/>
  <c r="AF219" i="3"/>
  <c r="AE219" i="3"/>
  <c r="AD219" i="3"/>
  <c r="AC219" i="3"/>
  <c r="AB219" i="3"/>
  <c r="U219" i="3"/>
  <c r="T219" i="3"/>
  <c r="S219" i="3"/>
  <c r="R219" i="3"/>
  <c r="Q219" i="3"/>
  <c r="P219" i="3"/>
  <c r="G219" i="3"/>
  <c r="I219" i="3" s="1"/>
  <c r="AG218" i="3"/>
  <c r="AF218" i="3"/>
  <c r="AE218" i="3"/>
  <c r="AD218" i="3"/>
  <c r="AC218" i="3"/>
  <c r="AB218" i="3"/>
  <c r="U218" i="3"/>
  <c r="T218" i="3"/>
  <c r="S218" i="3"/>
  <c r="R218" i="3"/>
  <c r="Q218" i="3"/>
  <c r="P218" i="3"/>
  <c r="G218" i="3"/>
  <c r="I218" i="3" s="1"/>
  <c r="AG217" i="3"/>
  <c r="AF217" i="3"/>
  <c r="AE217" i="3"/>
  <c r="AD217" i="3"/>
  <c r="AC217" i="3"/>
  <c r="AB217" i="3"/>
  <c r="U217" i="3"/>
  <c r="T217" i="3"/>
  <c r="S217" i="3"/>
  <c r="R217" i="3"/>
  <c r="Q217" i="3"/>
  <c r="P217" i="3"/>
  <c r="G217" i="3"/>
  <c r="I217" i="3" s="1"/>
  <c r="AG216" i="3"/>
  <c r="AF216" i="3"/>
  <c r="AE216" i="3"/>
  <c r="AD216" i="3"/>
  <c r="AC216" i="3"/>
  <c r="AB216" i="3"/>
  <c r="U216" i="3"/>
  <c r="T216" i="3"/>
  <c r="S216" i="3"/>
  <c r="R216" i="3"/>
  <c r="Q216" i="3"/>
  <c r="P216" i="3"/>
  <c r="G216" i="3"/>
  <c r="I216" i="3" s="1"/>
  <c r="AG215" i="3"/>
  <c r="AF215" i="3"/>
  <c r="AE215" i="3"/>
  <c r="AD215" i="3"/>
  <c r="AC215" i="3"/>
  <c r="AB215" i="3"/>
  <c r="U215" i="3"/>
  <c r="T215" i="3"/>
  <c r="S215" i="3"/>
  <c r="R215" i="3"/>
  <c r="Q215" i="3"/>
  <c r="P215" i="3"/>
  <c r="G215" i="3"/>
  <c r="I215" i="3" s="1"/>
  <c r="AG214" i="3"/>
  <c r="AF214" i="3"/>
  <c r="AE214" i="3"/>
  <c r="AD214" i="3"/>
  <c r="AC214" i="3"/>
  <c r="AB214" i="3"/>
  <c r="U214" i="3"/>
  <c r="T214" i="3"/>
  <c r="S214" i="3"/>
  <c r="R214" i="3"/>
  <c r="Q214" i="3"/>
  <c r="P214" i="3"/>
  <c r="G214" i="3"/>
  <c r="I214" i="3" s="1"/>
  <c r="AG213" i="3"/>
  <c r="AF213" i="3"/>
  <c r="AE213" i="3"/>
  <c r="AD213" i="3"/>
  <c r="AC213" i="3"/>
  <c r="AB213" i="3"/>
  <c r="U213" i="3"/>
  <c r="T213" i="3"/>
  <c r="S213" i="3"/>
  <c r="R213" i="3"/>
  <c r="Q213" i="3"/>
  <c r="P213" i="3"/>
  <c r="G213" i="3"/>
  <c r="I213" i="3" s="1"/>
  <c r="AG212" i="3"/>
  <c r="AF212" i="3"/>
  <c r="AE212" i="3"/>
  <c r="AD212" i="3"/>
  <c r="AC212" i="3"/>
  <c r="AB212" i="3"/>
  <c r="U212" i="3"/>
  <c r="T212" i="3"/>
  <c r="S212" i="3"/>
  <c r="R212" i="3"/>
  <c r="Q212" i="3"/>
  <c r="P212" i="3"/>
  <c r="G212" i="3"/>
  <c r="I212" i="3" s="1"/>
  <c r="AG211" i="3"/>
  <c r="AF211" i="3"/>
  <c r="AE211" i="3"/>
  <c r="AD211" i="3"/>
  <c r="AC211" i="3"/>
  <c r="AB211" i="3"/>
  <c r="U211" i="3"/>
  <c r="T211" i="3"/>
  <c r="S211" i="3"/>
  <c r="R211" i="3"/>
  <c r="Q211" i="3"/>
  <c r="P211" i="3"/>
  <c r="G211" i="3"/>
  <c r="I211" i="3" s="1"/>
  <c r="AG210" i="3"/>
  <c r="AF210" i="3"/>
  <c r="AE210" i="3"/>
  <c r="AD210" i="3"/>
  <c r="AC210" i="3"/>
  <c r="AB210" i="3"/>
  <c r="U210" i="3"/>
  <c r="T210" i="3"/>
  <c r="S210" i="3"/>
  <c r="R210" i="3"/>
  <c r="Q210" i="3"/>
  <c r="P210" i="3"/>
  <c r="G210" i="3"/>
  <c r="I210" i="3" s="1"/>
  <c r="AG209" i="3"/>
  <c r="AF209" i="3"/>
  <c r="AE209" i="3"/>
  <c r="AD209" i="3"/>
  <c r="AC209" i="3"/>
  <c r="AB209" i="3"/>
  <c r="U209" i="3"/>
  <c r="T209" i="3"/>
  <c r="S209" i="3"/>
  <c r="R209" i="3"/>
  <c r="Q209" i="3"/>
  <c r="P209" i="3"/>
  <c r="G209" i="3"/>
  <c r="I209" i="3" s="1"/>
  <c r="AG208" i="3"/>
  <c r="AF208" i="3"/>
  <c r="AE208" i="3"/>
  <c r="AD208" i="3"/>
  <c r="AC208" i="3"/>
  <c r="AB208" i="3"/>
  <c r="U208" i="3"/>
  <c r="T208" i="3"/>
  <c r="S208" i="3"/>
  <c r="R208" i="3"/>
  <c r="Q208" i="3"/>
  <c r="P208" i="3"/>
  <c r="G208" i="3"/>
  <c r="I208" i="3" s="1"/>
  <c r="AG207" i="3"/>
  <c r="AF207" i="3"/>
  <c r="AE207" i="3"/>
  <c r="AD207" i="3"/>
  <c r="AC207" i="3"/>
  <c r="AB207" i="3"/>
  <c r="U207" i="3"/>
  <c r="T207" i="3"/>
  <c r="S207" i="3"/>
  <c r="R207" i="3"/>
  <c r="Q207" i="3"/>
  <c r="P207" i="3"/>
  <c r="G207" i="3"/>
  <c r="I207" i="3" s="1"/>
  <c r="AG206" i="3"/>
  <c r="AF206" i="3"/>
  <c r="AE206" i="3"/>
  <c r="AD206" i="3"/>
  <c r="AC206" i="3"/>
  <c r="AB206" i="3"/>
  <c r="U206" i="3"/>
  <c r="T206" i="3"/>
  <c r="S206" i="3"/>
  <c r="R206" i="3"/>
  <c r="Q206" i="3"/>
  <c r="P206" i="3"/>
  <c r="G206" i="3"/>
  <c r="I206" i="3" s="1"/>
  <c r="AG205" i="3"/>
  <c r="AF205" i="3"/>
  <c r="AE205" i="3"/>
  <c r="AD205" i="3"/>
  <c r="AC205" i="3"/>
  <c r="AB205" i="3"/>
  <c r="U205" i="3"/>
  <c r="T205" i="3"/>
  <c r="S205" i="3"/>
  <c r="R205" i="3"/>
  <c r="Q205" i="3"/>
  <c r="P205" i="3"/>
  <c r="G205" i="3"/>
  <c r="I205" i="3" s="1"/>
  <c r="AG204" i="3"/>
  <c r="AF204" i="3"/>
  <c r="AE204" i="3"/>
  <c r="AD204" i="3"/>
  <c r="AC204" i="3"/>
  <c r="AB204" i="3"/>
  <c r="U204" i="3"/>
  <c r="G204" i="3"/>
  <c r="I204" i="3" s="1"/>
  <c r="AG203" i="3"/>
  <c r="AF203" i="3"/>
  <c r="AE203" i="3"/>
  <c r="AD203" i="3"/>
  <c r="AC203" i="3"/>
  <c r="AB203" i="3"/>
  <c r="U203" i="3"/>
  <c r="T203" i="3"/>
  <c r="S203" i="3"/>
  <c r="R203" i="3"/>
  <c r="Q203" i="3"/>
  <c r="P203" i="3"/>
  <c r="G203" i="3"/>
  <c r="I203" i="3" s="1"/>
  <c r="AG202" i="3"/>
  <c r="AF202" i="3"/>
  <c r="AE202" i="3"/>
  <c r="AD202" i="3"/>
  <c r="AC202" i="3"/>
  <c r="AB202" i="3"/>
  <c r="U202" i="3"/>
  <c r="T202" i="3"/>
  <c r="S202" i="3"/>
  <c r="R202" i="3"/>
  <c r="Q202" i="3"/>
  <c r="P202" i="3"/>
  <c r="G202" i="3"/>
  <c r="I202" i="3" s="1"/>
  <c r="AG201" i="3"/>
  <c r="AF201" i="3"/>
  <c r="AE201" i="3"/>
  <c r="AD201" i="3"/>
  <c r="AC201" i="3"/>
  <c r="AB201" i="3"/>
  <c r="U201" i="3"/>
  <c r="T201" i="3"/>
  <c r="S201" i="3"/>
  <c r="R201" i="3"/>
  <c r="Q201" i="3"/>
  <c r="P201" i="3"/>
  <c r="G201" i="3"/>
  <c r="I201" i="3" s="1"/>
  <c r="AG200" i="3"/>
  <c r="AF200" i="3"/>
  <c r="AE200" i="3"/>
  <c r="AD200" i="3"/>
  <c r="AC200" i="3"/>
  <c r="AB200" i="3"/>
  <c r="U200" i="3"/>
  <c r="T200" i="3"/>
  <c r="S200" i="3"/>
  <c r="R200" i="3"/>
  <c r="Q200" i="3"/>
  <c r="P200" i="3"/>
  <c r="G200" i="3"/>
  <c r="I200" i="3" s="1"/>
  <c r="AG199" i="3"/>
  <c r="AF199" i="3"/>
  <c r="AE199" i="3"/>
  <c r="AD199" i="3"/>
  <c r="AC199" i="3"/>
  <c r="AB199" i="3"/>
  <c r="U199" i="3"/>
  <c r="T199" i="3"/>
  <c r="S199" i="3"/>
  <c r="R199" i="3"/>
  <c r="Q199" i="3"/>
  <c r="P199" i="3"/>
  <c r="G199" i="3"/>
  <c r="I199" i="3" s="1"/>
  <c r="AG198" i="3"/>
  <c r="AF198" i="3"/>
  <c r="AE198" i="3"/>
  <c r="AD198" i="3"/>
  <c r="AC198" i="3"/>
  <c r="AB198" i="3"/>
  <c r="U198" i="3"/>
  <c r="T198" i="3"/>
  <c r="S198" i="3"/>
  <c r="R198" i="3"/>
  <c r="Q198" i="3"/>
  <c r="P198" i="3"/>
  <c r="G198" i="3"/>
  <c r="I198" i="3" s="1"/>
  <c r="AG197" i="3"/>
  <c r="AF197" i="3"/>
  <c r="AE197" i="3"/>
  <c r="AD197" i="3"/>
  <c r="AC197" i="3"/>
  <c r="AB197" i="3"/>
  <c r="U197" i="3"/>
  <c r="T197" i="3"/>
  <c r="S197" i="3"/>
  <c r="R197" i="3"/>
  <c r="Q197" i="3"/>
  <c r="P197" i="3"/>
  <c r="G197" i="3"/>
  <c r="I197" i="3" s="1"/>
  <c r="AG196" i="3"/>
  <c r="AF196" i="3"/>
  <c r="AE196" i="3"/>
  <c r="AD196" i="3"/>
  <c r="AC196" i="3"/>
  <c r="AB196" i="3"/>
  <c r="U196" i="3"/>
  <c r="G196" i="3"/>
  <c r="I196" i="3" s="1"/>
  <c r="AG195" i="3"/>
  <c r="AF195" i="3"/>
  <c r="AE195" i="3"/>
  <c r="AD195" i="3"/>
  <c r="AC195" i="3"/>
  <c r="AB195" i="3"/>
  <c r="U195" i="3"/>
  <c r="T195" i="3"/>
  <c r="S195" i="3"/>
  <c r="R195" i="3"/>
  <c r="Q195" i="3"/>
  <c r="P195" i="3"/>
  <c r="G195" i="3"/>
  <c r="I195" i="3" s="1"/>
  <c r="AG194" i="3"/>
  <c r="AF194" i="3"/>
  <c r="AE194" i="3"/>
  <c r="AD194" i="3"/>
  <c r="AC194" i="3"/>
  <c r="AB194" i="3"/>
  <c r="U194" i="3"/>
  <c r="T194" i="3"/>
  <c r="S194" i="3"/>
  <c r="R194" i="3"/>
  <c r="Q194" i="3"/>
  <c r="P194" i="3"/>
  <c r="G194" i="3"/>
  <c r="I194" i="3" s="1"/>
  <c r="AG193" i="3"/>
  <c r="AF193" i="3"/>
  <c r="AE193" i="3"/>
  <c r="AD193" i="3"/>
  <c r="AC193" i="3"/>
  <c r="AB193" i="3"/>
  <c r="U193" i="3"/>
  <c r="T193" i="3"/>
  <c r="S193" i="3"/>
  <c r="R193" i="3"/>
  <c r="Q193" i="3"/>
  <c r="P193" i="3"/>
  <c r="G193" i="3"/>
  <c r="I193" i="3" s="1"/>
  <c r="AG192" i="3"/>
  <c r="AF192" i="3"/>
  <c r="AE192" i="3"/>
  <c r="AD192" i="3"/>
  <c r="AC192" i="3"/>
  <c r="AB192" i="3"/>
  <c r="U192" i="3"/>
  <c r="T192" i="3"/>
  <c r="S192" i="3"/>
  <c r="R192" i="3"/>
  <c r="Q192" i="3"/>
  <c r="P192" i="3"/>
  <c r="G192" i="3"/>
  <c r="I192" i="3" s="1"/>
  <c r="AG191" i="3"/>
  <c r="AF191" i="3"/>
  <c r="AE191" i="3"/>
  <c r="AD191" i="3"/>
  <c r="AC191" i="3"/>
  <c r="AB191" i="3"/>
  <c r="U191" i="3"/>
  <c r="T191" i="3"/>
  <c r="S191" i="3"/>
  <c r="R191" i="3"/>
  <c r="Q191" i="3"/>
  <c r="P191" i="3"/>
  <c r="G191" i="3"/>
  <c r="I191" i="3" s="1"/>
  <c r="AG190" i="3"/>
  <c r="AF190" i="3"/>
  <c r="AE190" i="3"/>
  <c r="AD190" i="3"/>
  <c r="AC190" i="3"/>
  <c r="AB190" i="3"/>
  <c r="U190" i="3"/>
  <c r="T190" i="3"/>
  <c r="S190" i="3"/>
  <c r="R190" i="3"/>
  <c r="Q190" i="3"/>
  <c r="P190" i="3"/>
  <c r="G190" i="3"/>
  <c r="I190" i="3" s="1"/>
  <c r="AG189" i="3"/>
  <c r="AF189" i="3"/>
  <c r="AE189" i="3"/>
  <c r="AD189" i="3"/>
  <c r="AC189" i="3"/>
  <c r="AB189" i="3"/>
  <c r="U189" i="3"/>
  <c r="T189" i="3"/>
  <c r="S189" i="3"/>
  <c r="R189" i="3"/>
  <c r="Q189" i="3"/>
  <c r="P189" i="3"/>
  <c r="G189" i="3"/>
  <c r="I189" i="3" s="1"/>
  <c r="AG188" i="3"/>
  <c r="AF188" i="3"/>
  <c r="AE188" i="3"/>
  <c r="AD188" i="3"/>
  <c r="AC188" i="3"/>
  <c r="AB188" i="3"/>
  <c r="U188" i="3"/>
  <c r="T188" i="3"/>
  <c r="S188" i="3"/>
  <c r="R188" i="3"/>
  <c r="Q188" i="3"/>
  <c r="P188" i="3"/>
  <c r="G188" i="3"/>
  <c r="I188" i="3" s="1"/>
  <c r="AG187" i="3"/>
  <c r="AF187" i="3"/>
  <c r="AE187" i="3"/>
  <c r="AD187" i="3"/>
  <c r="AC187" i="3"/>
  <c r="AB187" i="3"/>
  <c r="U187" i="3"/>
  <c r="T187" i="3"/>
  <c r="S187" i="3"/>
  <c r="R187" i="3"/>
  <c r="Q187" i="3"/>
  <c r="P187" i="3"/>
  <c r="G187" i="3"/>
  <c r="I187" i="3" s="1"/>
  <c r="AG186" i="3"/>
  <c r="AF186" i="3"/>
  <c r="AE186" i="3"/>
  <c r="AD186" i="3"/>
  <c r="AC186" i="3"/>
  <c r="AB186" i="3"/>
  <c r="U186" i="3"/>
  <c r="T186" i="3"/>
  <c r="S186" i="3"/>
  <c r="R186" i="3"/>
  <c r="Q186" i="3"/>
  <c r="P186" i="3"/>
  <c r="G186" i="3"/>
  <c r="I186" i="3" s="1"/>
  <c r="AG185" i="3"/>
  <c r="AF185" i="3"/>
  <c r="AE185" i="3"/>
  <c r="AD185" i="3"/>
  <c r="AC185" i="3"/>
  <c r="AB185" i="3"/>
  <c r="U185" i="3"/>
  <c r="T185" i="3"/>
  <c r="S185" i="3"/>
  <c r="R185" i="3"/>
  <c r="Q185" i="3"/>
  <c r="P185" i="3"/>
  <c r="G185" i="3"/>
  <c r="I185" i="3" s="1"/>
  <c r="AG184" i="3"/>
  <c r="AF184" i="3"/>
  <c r="AE184" i="3"/>
  <c r="AD184" i="3"/>
  <c r="AC184" i="3"/>
  <c r="AB184" i="3"/>
  <c r="U184" i="3"/>
  <c r="T184" i="3"/>
  <c r="S184" i="3"/>
  <c r="R184" i="3"/>
  <c r="Q184" i="3"/>
  <c r="P184" i="3"/>
  <c r="G184" i="3"/>
  <c r="I184" i="3" s="1"/>
  <c r="AG183" i="3"/>
  <c r="AF183" i="3"/>
  <c r="AE183" i="3"/>
  <c r="AD183" i="3"/>
  <c r="AC183" i="3"/>
  <c r="AB183" i="3"/>
  <c r="U183" i="3"/>
  <c r="G183" i="3"/>
  <c r="I183" i="3" s="1"/>
  <c r="AG182" i="3"/>
  <c r="AF182" i="3"/>
  <c r="AE182" i="3"/>
  <c r="AD182" i="3"/>
  <c r="AC182" i="3"/>
  <c r="AB182" i="3"/>
  <c r="U182" i="3"/>
  <c r="T182" i="3"/>
  <c r="S182" i="3"/>
  <c r="R182" i="3"/>
  <c r="Q182" i="3"/>
  <c r="P182" i="3"/>
  <c r="G182" i="3"/>
  <c r="I182" i="3" s="1"/>
  <c r="AG181" i="3"/>
  <c r="AF181" i="3"/>
  <c r="AE181" i="3"/>
  <c r="AD181" i="3"/>
  <c r="AC181" i="3"/>
  <c r="AB181" i="3"/>
  <c r="U181" i="3"/>
  <c r="T181" i="3"/>
  <c r="S181" i="3"/>
  <c r="R181" i="3"/>
  <c r="Q181" i="3"/>
  <c r="P181" i="3"/>
  <c r="G181" i="3"/>
  <c r="I181" i="3" s="1"/>
  <c r="AG180" i="3"/>
  <c r="AF180" i="3"/>
  <c r="AE180" i="3"/>
  <c r="AD180" i="3"/>
  <c r="AC180" i="3"/>
  <c r="AB180" i="3"/>
  <c r="U180" i="3"/>
  <c r="T180" i="3"/>
  <c r="S180" i="3"/>
  <c r="R180" i="3"/>
  <c r="Q180" i="3"/>
  <c r="P180" i="3"/>
  <c r="G180" i="3"/>
  <c r="I180" i="3" s="1"/>
  <c r="AG179" i="3"/>
  <c r="AF179" i="3"/>
  <c r="AE179" i="3"/>
  <c r="AD179" i="3"/>
  <c r="AC179" i="3"/>
  <c r="AB179" i="3"/>
  <c r="U179" i="3"/>
  <c r="G179" i="3"/>
  <c r="I179" i="3" s="1"/>
  <c r="AG178" i="3"/>
  <c r="AF178" i="3"/>
  <c r="AE178" i="3"/>
  <c r="AD178" i="3"/>
  <c r="AC178" i="3"/>
  <c r="AB178" i="3"/>
  <c r="U178" i="3"/>
  <c r="T178" i="3"/>
  <c r="S178" i="3"/>
  <c r="R178" i="3"/>
  <c r="Q178" i="3"/>
  <c r="P178" i="3"/>
  <c r="G178" i="3"/>
  <c r="I178" i="3" s="1"/>
  <c r="AG177" i="3"/>
  <c r="AF177" i="3"/>
  <c r="AE177" i="3"/>
  <c r="AD177" i="3"/>
  <c r="AC177" i="3"/>
  <c r="AB177" i="3"/>
  <c r="U177" i="3"/>
  <c r="T177" i="3"/>
  <c r="S177" i="3"/>
  <c r="R177" i="3"/>
  <c r="Q177" i="3"/>
  <c r="P177" i="3"/>
  <c r="G177" i="3"/>
  <c r="I177" i="3" s="1"/>
  <c r="AG176" i="3"/>
  <c r="AF176" i="3"/>
  <c r="AE176" i="3"/>
  <c r="AD176" i="3"/>
  <c r="AC176" i="3"/>
  <c r="AB176" i="3"/>
  <c r="U176" i="3"/>
  <c r="G176" i="3"/>
  <c r="I176" i="3" s="1"/>
  <c r="AG175" i="3"/>
  <c r="AF175" i="3"/>
  <c r="AE175" i="3"/>
  <c r="AD175" i="3"/>
  <c r="AC175" i="3"/>
  <c r="AB175" i="3"/>
  <c r="U175" i="3"/>
  <c r="T175" i="3"/>
  <c r="S175" i="3"/>
  <c r="R175" i="3"/>
  <c r="Q175" i="3"/>
  <c r="P175" i="3"/>
  <c r="G175" i="3"/>
  <c r="I175" i="3" s="1"/>
  <c r="AG174" i="3"/>
  <c r="AF174" i="3"/>
  <c r="AE174" i="3"/>
  <c r="AD174" i="3"/>
  <c r="AC174" i="3"/>
  <c r="AB174" i="3"/>
  <c r="U174" i="3"/>
  <c r="T174" i="3"/>
  <c r="S174" i="3"/>
  <c r="R174" i="3"/>
  <c r="Q174" i="3"/>
  <c r="P174" i="3"/>
  <c r="G174" i="3"/>
  <c r="I174" i="3" s="1"/>
  <c r="AG173" i="3"/>
  <c r="AF173" i="3"/>
  <c r="AE173" i="3"/>
  <c r="AD173" i="3"/>
  <c r="AC173" i="3"/>
  <c r="AB173" i="3"/>
  <c r="U173" i="3"/>
  <c r="T173" i="3"/>
  <c r="S173" i="3"/>
  <c r="R173" i="3"/>
  <c r="Q173" i="3"/>
  <c r="P173" i="3"/>
  <c r="G173" i="3"/>
  <c r="I173" i="3" s="1"/>
  <c r="AG172" i="3"/>
  <c r="AF172" i="3"/>
  <c r="AE172" i="3"/>
  <c r="AD172" i="3"/>
  <c r="AC172" i="3"/>
  <c r="AB172" i="3"/>
  <c r="U172" i="3"/>
  <c r="T172" i="3"/>
  <c r="S172" i="3"/>
  <c r="R172" i="3"/>
  <c r="Q172" i="3"/>
  <c r="P172" i="3"/>
  <c r="G172" i="3"/>
  <c r="I172" i="3" s="1"/>
  <c r="AG171" i="3"/>
  <c r="AF171" i="3"/>
  <c r="AE171" i="3"/>
  <c r="AD171" i="3"/>
  <c r="AC171" i="3"/>
  <c r="AB171" i="3"/>
  <c r="U171" i="3"/>
  <c r="T171" i="3"/>
  <c r="S171" i="3"/>
  <c r="R171" i="3"/>
  <c r="Q171" i="3"/>
  <c r="P171" i="3"/>
  <c r="G171" i="3"/>
  <c r="I171" i="3" s="1"/>
  <c r="AG170" i="3"/>
  <c r="AF170" i="3"/>
  <c r="AE170" i="3"/>
  <c r="AD170" i="3"/>
  <c r="AC170" i="3"/>
  <c r="AB170" i="3"/>
  <c r="U170" i="3"/>
  <c r="T170" i="3"/>
  <c r="S170" i="3"/>
  <c r="R170" i="3"/>
  <c r="Q170" i="3"/>
  <c r="P170" i="3"/>
  <c r="G170" i="3"/>
  <c r="I170" i="3" s="1"/>
  <c r="AG169" i="3"/>
  <c r="AF169" i="3"/>
  <c r="AE169" i="3"/>
  <c r="AD169" i="3"/>
  <c r="AC169" i="3"/>
  <c r="AB169" i="3"/>
  <c r="U169" i="3"/>
  <c r="T169" i="3"/>
  <c r="S169" i="3"/>
  <c r="R169" i="3"/>
  <c r="Q169" i="3"/>
  <c r="P169" i="3"/>
  <c r="G169" i="3"/>
  <c r="I169" i="3" s="1"/>
  <c r="AG168" i="3"/>
  <c r="AF168" i="3"/>
  <c r="AE168" i="3"/>
  <c r="AD168" i="3"/>
  <c r="AC168" i="3"/>
  <c r="AB168" i="3"/>
  <c r="U168" i="3"/>
  <c r="T168" i="3"/>
  <c r="S168" i="3"/>
  <c r="R168" i="3"/>
  <c r="Q168" i="3"/>
  <c r="P168" i="3"/>
  <c r="G168" i="3"/>
  <c r="I168" i="3" s="1"/>
  <c r="AG167" i="3"/>
  <c r="AF167" i="3"/>
  <c r="AE167" i="3"/>
  <c r="AD167" i="3"/>
  <c r="AC167" i="3"/>
  <c r="AB167" i="3"/>
  <c r="U167" i="3"/>
  <c r="T167" i="3"/>
  <c r="S167" i="3"/>
  <c r="R167" i="3"/>
  <c r="Q167" i="3"/>
  <c r="P167" i="3"/>
  <c r="G167" i="3"/>
  <c r="I167" i="3" s="1"/>
  <c r="AG166" i="3"/>
  <c r="AF166" i="3"/>
  <c r="AE166" i="3"/>
  <c r="AD166" i="3"/>
  <c r="AC166" i="3"/>
  <c r="AB166" i="3"/>
  <c r="U166" i="3"/>
  <c r="T166" i="3"/>
  <c r="S166" i="3"/>
  <c r="R166" i="3"/>
  <c r="Q166" i="3"/>
  <c r="P166" i="3"/>
  <c r="G166" i="3"/>
  <c r="I166" i="3" s="1"/>
  <c r="AG165" i="3"/>
  <c r="AF165" i="3"/>
  <c r="AE165" i="3"/>
  <c r="AD165" i="3"/>
  <c r="AC165" i="3"/>
  <c r="AB165" i="3"/>
  <c r="U165" i="3"/>
  <c r="T165" i="3"/>
  <c r="S165" i="3"/>
  <c r="R165" i="3"/>
  <c r="Q165" i="3"/>
  <c r="P165" i="3"/>
  <c r="G165" i="3"/>
  <c r="I165" i="3" s="1"/>
  <c r="AG164" i="3"/>
  <c r="AF164" i="3"/>
  <c r="AE164" i="3"/>
  <c r="AD164" i="3"/>
  <c r="AC164" i="3"/>
  <c r="AB164" i="3"/>
  <c r="U164" i="3"/>
  <c r="T164" i="3"/>
  <c r="S164" i="3"/>
  <c r="R164" i="3"/>
  <c r="Q164" i="3"/>
  <c r="P164" i="3"/>
  <c r="G164" i="3"/>
  <c r="I164" i="3" s="1"/>
  <c r="AG163" i="3"/>
  <c r="AF163" i="3"/>
  <c r="AE163" i="3"/>
  <c r="AD163" i="3"/>
  <c r="AC163" i="3"/>
  <c r="AB163" i="3"/>
  <c r="U163" i="3"/>
  <c r="G163" i="3"/>
  <c r="I163" i="3" s="1"/>
  <c r="AG162" i="3"/>
  <c r="AF162" i="3"/>
  <c r="AE162" i="3"/>
  <c r="AD162" i="3"/>
  <c r="AC162" i="3"/>
  <c r="AB162" i="3"/>
  <c r="U162" i="3"/>
  <c r="T162" i="3"/>
  <c r="S162" i="3"/>
  <c r="R162" i="3"/>
  <c r="Q162" i="3"/>
  <c r="P162" i="3"/>
  <c r="G162" i="3"/>
  <c r="I162" i="3" s="1"/>
  <c r="AG161" i="3"/>
  <c r="AF161" i="3"/>
  <c r="AE161" i="3"/>
  <c r="AD161" i="3"/>
  <c r="AC161" i="3"/>
  <c r="AB161" i="3"/>
  <c r="U161" i="3"/>
  <c r="T161" i="3"/>
  <c r="S161" i="3"/>
  <c r="R161" i="3"/>
  <c r="Q161" i="3"/>
  <c r="P161" i="3"/>
  <c r="G161" i="3"/>
  <c r="I161" i="3" s="1"/>
  <c r="AG160" i="3"/>
  <c r="AF160" i="3"/>
  <c r="AE160" i="3"/>
  <c r="AD160" i="3"/>
  <c r="AC160" i="3"/>
  <c r="AB160" i="3"/>
  <c r="U160" i="3"/>
  <c r="T160" i="3"/>
  <c r="S160" i="3"/>
  <c r="R160" i="3"/>
  <c r="Q160" i="3"/>
  <c r="P160" i="3"/>
  <c r="G160" i="3"/>
  <c r="I160" i="3" s="1"/>
  <c r="AG159" i="3"/>
  <c r="AF159" i="3"/>
  <c r="AE159" i="3"/>
  <c r="AD159" i="3"/>
  <c r="AC159" i="3"/>
  <c r="AB159" i="3"/>
  <c r="U159" i="3"/>
  <c r="T159" i="3"/>
  <c r="S159" i="3"/>
  <c r="R159" i="3"/>
  <c r="Q159" i="3"/>
  <c r="P159" i="3"/>
  <c r="G159" i="3"/>
  <c r="I159" i="3" s="1"/>
  <c r="AG158" i="3"/>
  <c r="AF158" i="3"/>
  <c r="AE158" i="3"/>
  <c r="AD158" i="3"/>
  <c r="AC158" i="3"/>
  <c r="AB158" i="3"/>
  <c r="U158" i="3"/>
  <c r="T158" i="3"/>
  <c r="S158" i="3"/>
  <c r="R158" i="3"/>
  <c r="Q158" i="3"/>
  <c r="P158" i="3"/>
  <c r="G158" i="3"/>
  <c r="I158" i="3" s="1"/>
  <c r="AG157" i="3"/>
  <c r="AF157" i="3"/>
  <c r="AE157" i="3"/>
  <c r="AD157" i="3"/>
  <c r="AC157" i="3"/>
  <c r="AB157" i="3"/>
  <c r="U157" i="3"/>
  <c r="T157" i="3"/>
  <c r="S157" i="3"/>
  <c r="R157" i="3"/>
  <c r="Q157" i="3"/>
  <c r="P157" i="3"/>
  <c r="G157" i="3"/>
  <c r="I157" i="3" s="1"/>
  <c r="AG156" i="3"/>
  <c r="AF156" i="3"/>
  <c r="AE156" i="3"/>
  <c r="AD156" i="3"/>
  <c r="AC156" i="3"/>
  <c r="AB156" i="3"/>
  <c r="U156" i="3"/>
  <c r="G156" i="3"/>
  <c r="I156" i="3" s="1"/>
  <c r="AG155" i="3"/>
  <c r="AF155" i="3"/>
  <c r="AE155" i="3"/>
  <c r="AD155" i="3"/>
  <c r="AC155" i="3"/>
  <c r="AB155" i="3"/>
  <c r="U155" i="3"/>
  <c r="T155" i="3"/>
  <c r="S155" i="3"/>
  <c r="R155" i="3"/>
  <c r="Q155" i="3"/>
  <c r="P155" i="3"/>
  <c r="G155" i="3"/>
  <c r="I155" i="3" s="1"/>
  <c r="AG154" i="3"/>
  <c r="AF154" i="3"/>
  <c r="AE154" i="3"/>
  <c r="AD154" i="3"/>
  <c r="AC154" i="3"/>
  <c r="AB154" i="3"/>
  <c r="U154" i="3"/>
  <c r="T154" i="3"/>
  <c r="S154" i="3"/>
  <c r="R154" i="3"/>
  <c r="Q154" i="3"/>
  <c r="P154" i="3"/>
  <c r="G154" i="3"/>
  <c r="I154" i="3" s="1"/>
  <c r="AG153" i="3"/>
  <c r="AF153" i="3"/>
  <c r="AE153" i="3"/>
  <c r="AD153" i="3"/>
  <c r="AC153" i="3"/>
  <c r="AB153" i="3"/>
  <c r="U153" i="3"/>
  <c r="T153" i="3"/>
  <c r="S153" i="3"/>
  <c r="R153" i="3"/>
  <c r="Q153" i="3"/>
  <c r="P153" i="3"/>
  <c r="G153" i="3"/>
  <c r="I153" i="3" s="1"/>
  <c r="AG152" i="3"/>
  <c r="AF152" i="3"/>
  <c r="AE152" i="3"/>
  <c r="AD152" i="3"/>
  <c r="AC152" i="3"/>
  <c r="AB152" i="3"/>
  <c r="U152" i="3"/>
  <c r="T152" i="3"/>
  <c r="S152" i="3"/>
  <c r="R152" i="3"/>
  <c r="Q152" i="3"/>
  <c r="P152" i="3"/>
  <c r="G152" i="3"/>
  <c r="I152" i="3" s="1"/>
  <c r="AG151" i="3"/>
  <c r="AF151" i="3"/>
  <c r="AE151" i="3"/>
  <c r="AD151" i="3"/>
  <c r="AC151" i="3"/>
  <c r="AB151" i="3"/>
  <c r="U151" i="3"/>
  <c r="T151" i="3"/>
  <c r="S151" i="3"/>
  <c r="R151" i="3"/>
  <c r="Q151" i="3"/>
  <c r="P151" i="3"/>
  <c r="G151" i="3"/>
  <c r="I151" i="3" s="1"/>
  <c r="AG150" i="3"/>
  <c r="AF150" i="3"/>
  <c r="AE150" i="3"/>
  <c r="AD150" i="3"/>
  <c r="AC150" i="3"/>
  <c r="AB150" i="3"/>
  <c r="U150" i="3"/>
  <c r="T150" i="3"/>
  <c r="S150" i="3"/>
  <c r="R150" i="3"/>
  <c r="Q150" i="3"/>
  <c r="P150" i="3"/>
  <c r="G150" i="3"/>
  <c r="I150" i="3" s="1"/>
  <c r="AG149" i="3"/>
  <c r="AF149" i="3"/>
  <c r="AE149" i="3"/>
  <c r="AD149" i="3"/>
  <c r="AC149" i="3"/>
  <c r="AB149" i="3"/>
  <c r="U149" i="3"/>
  <c r="T149" i="3"/>
  <c r="S149" i="3"/>
  <c r="R149" i="3"/>
  <c r="Q149" i="3"/>
  <c r="P149" i="3"/>
  <c r="G149" i="3"/>
  <c r="I149" i="3" s="1"/>
  <c r="AG148" i="3"/>
  <c r="AF148" i="3"/>
  <c r="AE148" i="3"/>
  <c r="AD148" i="3"/>
  <c r="AC148" i="3"/>
  <c r="AB148" i="3"/>
  <c r="U148" i="3"/>
  <c r="T148" i="3"/>
  <c r="S148" i="3"/>
  <c r="R148" i="3"/>
  <c r="Q148" i="3"/>
  <c r="P148" i="3"/>
  <c r="G148" i="3"/>
  <c r="I148" i="3" s="1"/>
  <c r="AG147" i="3"/>
  <c r="AF147" i="3"/>
  <c r="AE147" i="3"/>
  <c r="AD147" i="3"/>
  <c r="AC147" i="3"/>
  <c r="AB147" i="3"/>
  <c r="U147" i="3"/>
  <c r="T147" i="3"/>
  <c r="S147" i="3"/>
  <c r="R147" i="3"/>
  <c r="Q147" i="3"/>
  <c r="P147" i="3"/>
  <c r="G147" i="3"/>
  <c r="I147" i="3" s="1"/>
  <c r="AG146" i="3"/>
  <c r="AF146" i="3"/>
  <c r="AE146" i="3"/>
  <c r="AD146" i="3"/>
  <c r="AC146" i="3"/>
  <c r="AB146" i="3"/>
  <c r="U146" i="3"/>
  <c r="T146" i="3"/>
  <c r="S146" i="3"/>
  <c r="R146" i="3"/>
  <c r="Q146" i="3"/>
  <c r="P146" i="3"/>
  <c r="G146" i="3"/>
  <c r="I146" i="3" s="1"/>
  <c r="AG145" i="3"/>
  <c r="AF145" i="3"/>
  <c r="AE145" i="3"/>
  <c r="AD145" i="3"/>
  <c r="AC145" i="3"/>
  <c r="AB145" i="3"/>
  <c r="U145" i="3"/>
  <c r="T145" i="3"/>
  <c r="S145" i="3"/>
  <c r="R145" i="3"/>
  <c r="Q145" i="3"/>
  <c r="P145" i="3"/>
  <c r="G145" i="3"/>
  <c r="I145" i="3" s="1"/>
  <c r="AG144" i="3"/>
  <c r="AF144" i="3"/>
  <c r="AE144" i="3"/>
  <c r="AD144" i="3"/>
  <c r="AC144" i="3"/>
  <c r="AB144" i="3"/>
  <c r="U144" i="3"/>
  <c r="T144" i="3"/>
  <c r="S144" i="3"/>
  <c r="R144" i="3"/>
  <c r="Q144" i="3"/>
  <c r="P144" i="3"/>
  <c r="G144" i="3"/>
  <c r="I144" i="3" s="1"/>
  <c r="AG143" i="3"/>
  <c r="AF143" i="3"/>
  <c r="AE143" i="3"/>
  <c r="AD143" i="3"/>
  <c r="AC143" i="3"/>
  <c r="AB143" i="3"/>
  <c r="U143" i="3"/>
  <c r="T143" i="3"/>
  <c r="S143" i="3"/>
  <c r="R143" i="3"/>
  <c r="Q143" i="3"/>
  <c r="P143" i="3"/>
  <c r="G143" i="3"/>
  <c r="I143" i="3" s="1"/>
  <c r="AG142" i="3"/>
  <c r="AF142" i="3"/>
  <c r="AE142" i="3"/>
  <c r="AD142" i="3"/>
  <c r="AC142" i="3"/>
  <c r="AB142" i="3"/>
  <c r="U142" i="3"/>
  <c r="T142" i="3"/>
  <c r="S142" i="3"/>
  <c r="R142" i="3"/>
  <c r="Q142" i="3"/>
  <c r="P142" i="3"/>
  <c r="G142" i="3"/>
  <c r="I142" i="3" s="1"/>
  <c r="AG141" i="3"/>
  <c r="AF141" i="3"/>
  <c r="AE141" i="3"/>
  <c r="AD141" i="3"/>
  <c r="AC141" i="3"/>
  <c r="AB141" i="3"/>
  <c r="U141" i="3"/>
  <c r="T141" i="3"/>
  <c r="S141" i="3"/>
  <c r="R141" i="3"/>
  <c r="Q141" i="3"/>
  <c r="P141" i="3"/>
  <c r="G141" i="3"/>
  <c r="I141" i="3" s="1"/>
  <c r="AG140" i="3"/>
  <c r="AF140" i="3"/>
  <c r="AE140" i="3"/>
  <c r="AD140" i="3"/>
  <c r="AC140" i="3"/>
  <c r="AB140" i="3"/>
  <c r="U140" i="3"/>
  <c r="T140" i="3"/>
  <c r="S140" i="3"/>
  <c r="R140" i="3"/>
  <c r="Q140" i="3"/>
  <c r="P140" i="3"/>
  <c r="G140" i="3"/>
  <c r="I140" i="3" s="1"/>
  <c r="AG139" i="3"/>
  <c r="AF139" i="3"/>
  <c r="AE139" i="3"/>
  <c r="AD139" i="3"/>
  <c r="AC139" i="3"/>
  <c r="AB139" i="3"/>
  <c r="U139" i="3"/>
  <c r="T139" i="3"/>
  <c r="S139" i="3"/>
  <c r="R139" i="3"/>
  <c r="Q139" i="3"/>
  <c r="P139" i="3"/>
  <c r="G139" i="3"/>
  <c r="I139" i="3" s="1"/>
  <c r="AG138" i="3"/>
  <c r="AF138" i="3"/>
  <c r="AE138" i="3"/>
  <c r="AD138" i="3"/>
  <c r="AC138" i="3"/>
  <c r="AB138" i="3"/>
  <c r="U138" i="3"/>
  <c r="G138" i="3"/>
  <c r="I138" i="3" s="1"/>
  <c r="AG137" i="3"/>
  <c r="AF137" i="3"/>
  <c r="AE137" i="3"/>
  <c r="AD137" i="3"/>
  <c r="AC137" i="3"/>
  <c r="AB137" i="3"/>
  <c r="U137" i="3"/>
  <c r="T137" i="3"/>
  <c r="S137" i="3"/>
  <c r="R137" i="3"/>
  <c r="Q137" i="3"/>
  <c r="P137" i="3"/>
  <c r="G137" i="3"/>
  <c r="I137" i="3" s="1"/>
  <c r="AG136" i="3"/>
  <c r="AF136" i="3"/>
  <c r="AE136" i="3"/>
  <c r="AD136" i="3"/>
  <c r="AC136" i="3"/>
  <c r="AB136" i="3"/>
  <c r="U136" i="3"/>
  <c r="T136" i="3"/>
  <c r="S136" i="3"/>
  <c r="R136" i="3"/>
  <c r="Q136" i="3"/>
  <c r="P136" i="3"/>
  <c r="G136" i="3"/>
  <c r="I136" i="3" s="1"/>
  <c r="AG135" i="3"/>
  <c r="AF135" i="3"/>
  <c r="AE135" i="3"/>
  <c r="AD135" i="3"/>
  <c r="AC135" i="3"/>
  <c r="AB135" i="3"/>
  <c r="U135" i="3"/>
  <c r="T135" i="3"/>
  <c r="S135" i="3"/>
  <c r="R135" i="3"/>
  <c r="Q135" i="3"/>
  <c r="P135" i="3"/>
  <c r="G135" i="3"/>
  <c r="I135" i="3" s="1"/>
  <c r="AG134" i="3"/>
  <c r="AF134" i="3"/>
  <c r="AE134" i="3"/>
  <c r="AD134" i="3"/>
  <c r="AC134" i="3"/>
  <c r="AB134" i="3"/>
  <c r="U134" i="3"/>
  <c r="T134" i="3"/>
  <c r="S134" i="3"/>
  <c r="R134" i="3"/>
  <c r="Q134" i="3"/>
  <c r="P134" i="3"/>
  <c r="G134" i="3"/>
  <c r="I134" i="3" s="1"/>
  <c r="AG133" i="3"/>
  <c r="AF133" i="3"/>
  <c r="AE133" i="3"/>
  <c r="AD133" i="3"/>
  <c r="AC133" i="3"/>
  <c r="AB133" i="3"/>
  <c r="U133" i="3"/>
  <c r="T133" i="3"/>
  <c r="S133" i="3"/>
  <c r="R133" i="3"/>
  <c r="Q133" i="3"/>
  <c r="P133" i="3"/>
  <c r="G133" i="3"/>
  <c r="I133" i="3" s="1"/>
  <c r="AG132" i="3"/>
  <c r="AF132" i="3"/>
  <c r="AE132" i="3"/>
  <c r="AD132" i="3"/>
  <c r="AC132" i="3"/>
  <c r="AB132" i="3"/>
  <c r="U132" i="3"/>
  <c r="T132" i="3"/>
  <c r="S132" i="3"/>
  <c r="R132" i="3"/>
  <c r="Q132" i="3"/>
  <c r="P132" i="3"/>
  <c r="G132" i="3"/>
  <c r="I132" i="3" s="1"/>
  <c r="AG131" i="3"/>
  <c r="AF131" i="3"/>
  <c r="AE131" i="3"/>
  <c r="AD131" i="3"/>
  <c r="AC131" i="3"/>
  <c r="AB131" i="3"/>
  <c r="U131" i="3"/>
  <c r="T131" i="3"/>
  <c r="S131" i="3"/>
  <c r="R131" i="3"/>
  <c r="Q131" i="3"/>
  <c r="P131" i="3"/>
  <c r="G131" i="3"/>
  <c r="I131" i="3" s="1"/>
  <c r="AG130" i="3"/>
  <c r="AF130" i="3"/>
  <c r="AE130" i="3"/>
  <c r="AD130" i="3"/>
  <c r="AC130" i="3"/>
  <c r="AB130" i="3"/>
  <c r="U130" i="3"/>
  <c r="T130" i="3"/>
  <c r="S130" i="3"/>
  <c r="R130" i="3"/>
  <c r="Q130" i="3"/>
  <c r="P130" i="3"/>
  <c r="G130" i="3"/>
  <c r="I130" i="3" s="1"/>
  <c r="AG129" i="3"/>
  <c r="AF129" i="3"/>
  <c r="AE129" i="3"/>
  <c r="AD129" i="3"/>
  <c r="AC129" i="3"/>
  <c r="AB129" i="3"/>
  <c r="U129" i="3"/>
  <c r="T129" i="3"/>
  <c r="S129" i="3"/>
  <c r="R129" i="3"/>
  <c r="Q129" i="3"/>
  <c r="P129" i="3"/>
  <c r="G129" i="3"/>
  <c r="I129" i="3" s="1"/>
  <c r="AG128" i="3"/>
  <c r="AF128" i="3"/>
  <c r="AE128" i="3"/>
  <c r="AD128" i="3"/>
  <c r="AC128" i="3"/>
  <c r="AB128" i="3"/>
  <c r="U128" i="3"/>
  <c r="T128" i="3"/>
  <c r="S128" i="3"/>
  <c r="R128" i="3"/>
  <c r="Q128" i="3"/>
  <c r="P128" i="3"/>
  <c r="G128" i="3"/>
  <c r="I128" i="3" s="1"/>
  <c r="AG127" i="3"/>
  <c r="AF127" i="3"/>
  <c r="AE127" i="3"/>
  <c r="AD127" i="3"/>
  <c r="AC127" i="3"/>
  <c r="AB127" i="3"/>
  <c r="U127" i="3"/>
  <c r="T127" i="3"/>
  <c r="S127" i="3"/>
  <c r="R127" i="3"/>
  <c r="Q127" i="3"/>
  <c r="P127" i="3"/>
  <c r="G127" i="3"/>
  <c r="I127" i="3" s="1"/>
  <c r="AG126" i="3"/>
  <c r="AF126" i="3"/>
  <c r="AE126" i="3"/>
  <c r="AD126" i="3"/>
  <c r="AC126" i="3"/>
  <c r="AB126" i="3"/>
  <c r="U126" i="3"/>
  <c r="T126" i="3"/>
  <c r="S126" i="3"/>
  <c r="R126" i="3"/>
  <c r="Q126" i="3"/>
  <c r="P126" i="3"/>
  <c r="G126" i="3"/>
  <c r="I126" i="3" s="1"/>
  <c r="AG125" i="3"/>
  <c r="AF125" i="3"/>
  <c r="AE125" i="3"/>
  <c r="AD125" i="3"/>
  <c r="AC125" i="3"/>
  <c r="AB125" i="3"/>
  <c r="U125" i="3"/>
  <c r="T125" i="3"/>
  <c r="S125" i="3"/>
  <c r="R125" i="3"/>
  <c r="Q125" i="3"/>
  <c r="P125" i="3"/>
  <c r="G125" i="3"/>
  <c r="I125" i="3" s="1"/>
  <c r="AG124" i="3"/>
  <c r="AF124" i="3"/>
  <c r="AE124" i="3"/>
  <c r="AD124" i="3"/>
  <c r="AC124" i="3"/>
  <c r="AB124" i="3"/>
  <c r="U124" i="3"/>
  <c r="T124" i="3"/>
  <c r="S124" i="3"/>
  <c r="R124" i="3"/>
  <c r="Q124" i="3"/>
  <c r="P124" i="3"/>
  <c r="G124" i="3"/>
  <c r="I124" i="3" s="1"/>
  <c r="AG123" i="3"/>
  <c r="AF123" i="3"/>
  <c r="AE123" i="3"/>
  <c r="AD123" i="3"/>
  <c r="AC123" i="3"/>
  <c r="AB123" i="3"/>
  <c r="U123" i="3"/>
  <c r="T123" i="3"/>
  <c r="S123" i="3"/>
  <c r="R123" i="3"/>
  <c r="Q123" i="3"/>
  <c r="P123" i="3"/>
  <c r="G123" i="3"/>
  <c r="I123" i="3" s="1"/>
  <c r="AG122" i="3"/>
  <c r="AF122" i="3"/>
  <c r="AE122" i="3"/>
  <c r="AD122" i="3"/>
  <c r="AC122" i="3"/>
  <c r="AB122" i="3"/>
  <c r="U122" i="3"/>
  <c r="T122" i="3"/>
  <c r="S122" i="3"/>
  <c r="R122" i="3"/>
  <c r="Q122" i="3"/>
  <c r="P122" i="3"/>
  <c r="G122" i="3"/>
  <c r="I122" i="3" s="1"/>
  <c r="AG121" i="3"/>
  <c r="AF121" i="3"/>
  <c r="AE121" i="3"/>
  <c r="AD121" i="3"/>
  <c r="AC121" i="3"/>
  <c r="AB121" i="3"/>
  <c r="U121" i="3"/>
  <c r="T121" i="3"/>
  <c r="S121" i="3"/>
  <c r="R121" i="3"/>
  <c r="Q121" i="3"/>
  <c r="P121" i="3"/>
  <c r="G121" i="3"/>
  <c r="I121" i="3" s="1"/>
  <c r="AG120" i="3"/>
  <c r="AF120" i="3"/>
  <c r="AE120" i="3"/>
  <c r="AD120" i="3"/>
  <c r="AC120" i="3"/>
  <c r="AB120" i="3"/>
  <c r="U120" i="3"/>
  <c r="T120" i="3"/>
  <c r="S120" i="3"/>
  <c r="R120" i="3"/>
  <c r="Q120" i="3"/>
  <c r="P120" i="3"/>
  <c r="G120" i="3"/>
  <c r="I120" i="3" s="1"/>
  <c r="AG119" i="3"/>
  <c r="AF119" i="3"/>
  <c r="AE119" i="3"/>
  <c r="AD119" i="3"/>
  <c r="AC119" i="3"/>
  <c r="AB119" i="3"/>
  <c r="U119" i="3"/>
  <c r="G119" i="3"/>
  <c r="I119" i="3" s="1"/>
  <c r="AG118" i="3"/>
  <c r="AF118" i="3"/>
  <c r="AE118" i="3"/>
  <c r="AD118" i="3"/>
  <c r="AC118" i="3"/>
  <c r="AB118" i="3"/>
  <c r="U118" i="3"/>
  <c r="T118" i="3"/>
  <c r="S118" i="3"/>
  <c r="R118" i="3"/>
  <c r="Q118" i="3"/>
  <c r="P118" i="3"/>
  <c r="G118" i="3"/>
  <c r="I118" i="3" s="1"/>
  <c r="AG117" i="3"/>
  <c r="AF117" i="3"/>
  <c r="AE117" i="3"/>
  <c r="AD117" i="3"/>
  <c r="AC117" i="3"/>
  <c r="AB117" i="3"/>
  <c r="U117" i="3"/>
  <c r="T117" i="3"/>
  <c r="S117" i="3"/>
  <c r="R117" i="3"/>
  <c r="Q117" i="3"/>
  <c r="P117" i="3"/>
  <c r="G117" i="3"/>
  <c r="I117" i="3" s="1"/>
  <c r="AG116" i="3"/>
  <c r="AF116" i="3"/>
  <c r="AE116" i="3"/>
  <c r="AD116" i="3"/>
  <c r="AC116" i="3"/>
  <c r="AB116" i="3"/>
  <c r="U116" i="3"/>
  <c r="T116" i="3"/>
  <c r="S116" i="3"/>
  <c r="R116" i="3"/>
  <c r="Q116" i="3"/>
  <c r="P116" i="3"/>
  <c r="G116" i="3"/>
  <c r="I116" i="3" s="1"/>
  <c r="AG115" i="3"/>
  <c r="AF115" i="3"/>
  <c r="AE115" i="3"/>
  <c r="AD115" i="3"/>
  <c r="AC115" i="3"/>
  <c r="AB115" i="3"/>
  <c r="U115" i="3"/>
  <c r="T115" i="3"/>
  <c r="S115" i="3"/>
  <c r="R115" i="3"/>
  <c r="Q115" i="3"/>
  <c r="P115" i="3"/>
  <c r="G115" i="3"/>
  <c r="I115" i="3" s="1"/>
  <c r="AG114" i="3"/>
  <c r="AF114" i="3"/>
  <c r="AE114" i="3"/>
  <c r="AD114" i="3"/>
  <c r="AC114" i="3"/>
  <c r="AB114" i="3"/>
  <c r="U114" i="3"/>
  <c r="G114" i="3"/>
  <c r="I114" i="3" s="1"/>
  <c r="AG113" i="3"/>
  <c r="AF113" i="3"/>
  <c r="AE113" i="3"/>
  <c r="AD113" i="3"/>
  <c r="AC113" i="3"/>
  <c r="AB113" i="3"/>
  <c r="U113" i="3"/>
  <c r="T113" i="3"/>
  <c r="S113" i="3"/>
  <c r="R113" i="3"/>
  <c r="Q113" i="3"/>
  <c r="P113" i="3"/>
  <c r="G113" i="3"/>
  <c r="I113" i="3" s="1"/>
  <c r="AG112" i="3"/>
  <c r="AF112" i="3"/>
  <c r="AE112" i="3"/>
  <c r="AD112" i="3"/>
  <c r="AC112" i="3"/>
  <c r="AB112" i="3"/>
  <c r="U112" i="3"/>
  <c r="T112" i="3"/>
  <c r="S112" i="3"/>
  <c r="R112" i="3"/>
  <c r="Q112" i="3"/>
  <c r="P112" i="3"/>
  <c r="G112" i="3"/>
  <c r="I112" i="3" s="1"/>
  <c r="AG111" i="3"/>
  <c r="AF111" i="3"/>
  <c r="AE111" i="3"/>
  <c r="AD111" i="3"/>
  <c r="AC111" i="3"/>
  <c r="AB111" i="3"/>
  <c r="U111" i="3"/>
  <c r="G111" i="3"/>
  <c r="I111" i="3" s="1"/>
  <c r="AG110" i="3"/>
  <c r="AF110" i="3"/>
  <c r="AE110" i="3"/>
  <c r="AD110" i="3"/>
  <c r="AC110" i="3"/>
  <c r="AB110" i="3"/>
  <c r="U110" i="3"/>
  <c r="T110" i="3"/>
  <c r="S110" i="3"/>
  <c r="R110" i="3"/>
  <c r="Q110" i="3"/>
  <c r="P110" i="3"/>
  <c r="G110" i="3"/>
  <c r="I110" i="3" s="1"/>
  <c r="AG109" i="3"/>
  <c r="AF109" i="3"/>
  <c r="AE109" i="3"/>
  <c r="AD109" i="3"/>
  <c r="AC109" i="3"/>
  <c r="AB109" i="3"/>
  <c r="U109" i="3"/>
  <c r="T109" i="3"/>
  <c r="S109" i="3"/>
  <c r="R109" i="3"/>
  <c r="Q109" i="3"/>
  <c r="P109" i="3"/>
  <c r="G109" i="3"/>
  <c r="I109" i="3" s="1"/>
  <c r="AG108" i="3"/>
  <c r="AF108" i="3"/>
  <c r="AE108" i="3"/>
  <c r="AD108" i="3"/>
  <c r="AC108" i="3"/>
  <c r="AB108" i="3"/>
  <c r="U108" i="3"/>
  <c r="T108" i="3"/>
  <c r="S108" i="3"/>
  <c r="R108" i="3"/>
  <c r="Q108" i="3"/>
  <c r="P108" i="3"/>
  <c r="G108" i="3"/>
  <c r="I108" i="3" s="1"/>
  <c r="AG107" i="3"/>
  <c r="AF107" i="3"/>
  <c r="AE107" i="3"/>
  <c r="AD107" i="3"/>
  <c r="AC107" i="3"/>
  <c r="AB107" i="3"/>
  <c r="U107" i="3"/>
  <c r="T107" i="3"/>
  <c r="S107" i="3"/>
  <c r="R107" i="3"/>
  <c r="Q107" i="3"/>
  <c r="P107" i="3"/>
  <c r="G107" i="3"/>
  <c r="I107" i="3" s="1"/>
  <c r="AG106" i="3"/>
  <c r="AF106" i="3"/>
  <c r="AE106" i="3"/>
  <c r="AD106" i="3"/>
  <c r="AC106" i="3"/>
  <c r="AB106" i="3"/>
  <c r="U106" i="3"/>
  <c r="G106" i="3"/>
  <c r="I106" i="3" s="1"/>
  <c r="AG105" i="3"/>
  <c r="AF105" i="3"/>
  <c r="AE105" i="3"/>
  <c r="AD105" i="3"/>
  <c r="AC105" i="3"/>
  <c r="AB105" i="3"/>
  <c r="U105" i="3"/>
  <c r="T105" i="3"/>
  <c r="S105" i="3"/>
  <c r="R105" i="3"/>
  <c r="Q105" i="3"/>
  <c r="P105" i="3"/>
  <c r="G105" i="3"/>
  <c r="I105" i="3" s="1"/>
  <c r="AG104" i="3"/>
  <c r="AF104" i="3"/>
  <c r="AE104" i="3"/>
  <c r="AD104" i="3"/>
  <c r="AC104" i="3"/>
  <c r="AB104" i="3"/>
  <c r="U104" i="3"/>
  <c r="T104" i="3"/>
  <c r="S104" i="3"/>
  <c r="R104" i="3"/>
  <c r="Q104" i="3"/>
  <c r="P104" i="3"/>
  <c r="G104" i="3"/>
  <c r="I104" i="3" s="1"/>
  <c r="AG103" i="3"/>
  <c r="AF103" i="3"/>
  <c r="AE103" i="3"/>
  <c r="AD103" i="3"/>
  <c r="AC103" i="3"/>
  <c r="AB103" i="3"/>
  <c r="U103" i="3"/>
  <c r="T103" i="3"/>
  <c r="S103" i="3"/>
  <c r="R103" i="3"/>
  <c r="Q103" i="3"/>
  <c r="P103" i="3"/>
  <c r="G103" i="3"/>
  <c r="I103" i="3" s="1"/>
  <c r="AG102" i="3"/>
  <c r="AF102" i="3"/>
  <c r="AE102" i="3"/>
  <c r="AD102" i="3"/>
  <c r="AC102" i="3"/>
  <c r="AB102" i="3"/>
  <c r="U102" i="3"/>
  <c r="T102" i="3"/>
  <c r="S102" i="3"/>
  <c r="R102" i="3"/>
  <c r="Q102" i="3"/>
  <c r="P102" i="3"/>
  <c r="G102" i="3"/>
  <c r="I102" i="3" s="1"/>
  <c r="AG101" i="3"/>
  <c r="AF101" i="3"/>
  <c r="AE101" i="3"/>
  <c r="AD101" i="3"/>
  <c r="AC101" i="3"/>
  <c r="AB101" i="3"/>
  <c r="U101" i="3"/>
  <c r="T101" i="3"/>
  <c r="S101" i="3"/>
  <c r="R101" i="3"/>
  <c r="Q101" i="3"/>
  <c r="P101" i="3"/>
  <c r="G101" i="3"/>
  <c r="I101" i="3" s="1"/>
  <c r="AG100" i="3"/>
  <c r="AF100" i="3"/>
  <c r="AE100" i="3"/>
  <c r="AD100" i="3"/>
  <c r="AC100" i="3"/>
  <c r="AB100" i="3"/>
  <c r="U100" i="3"/>
  <c r="T100" i="3"/>
  <c r="S100" i="3"/>
  <c r="R100" i="3"/>
  <c r="Q100" i="3"/>
  <c r="P100" i="3"/>
  <c r="G100" i="3"/>
  <c r="I100" i="3" s="1"/>
  <c r="AG99" i="3"/>
  <c r="AF99" i="3"/>
  <c r="AE99" i="3"/>
  <c r="AD99" i="3"/>
  <c r="AC99" i="3"/>
  <c r="AB99" i="3"/>
  <c r="U99" i="3"/>
  <c r="T99" i="3"/>
  <c r="S99" i="3"/>
  <c r="R99" i="3"/>
  <c r="Q99" i="3"/>
  <c r="P99" i="3"/>
  <c r="G99" i="3"/>
  <c r="I99" i="3" s="1"/>
  <c r="AG98" i="3"/>
  <c r="AF98" i="3"/>
  <c r="AE98" i="3"/>
  <c r="AD98" i="3"/>
  <c r="AC98" i="3"/>
  <c r="AB98" i="3"/>
  <c r="U98" i="3"/>
  <c r="T98" i="3"/>
  <c r="S98" i="3"/>
  <c r="R98" i="3"/>
  <c r="Q98" i="3"/>
  <c r="P98" i="3"/>
  <c r="G98" i="3"/>
  <c r="I98" i="3" s="1"/>
  <c r="AG97" i="3"/>
  <c r="AF97" i="3"/>
  <c r="AE97" i="3"/>
  <c r="AD97" i="3"/>
  <c r="AC97" i="3"/>
  <c r="AB97" i="3"/>
  <c r="U97" i="3"/>
  <c r="T97" i="3"/>
  <c r="S97" i="3"/>
  <c r="R97" i="3"/>
  <c r="Q97" i="3"/>
  <c r="P97" i="3"/>
  <c r="G97" i="3"/>
  <c r="I97" i="3" s="1"/>
  <c r="AG96" i="3"/>
  <c r="AF96" i="3"/>
  <c r="AE96" i="3"/>
  <c r="AD96" i="3"/>
  <c r="AC96" i="3"/>
  <c r="AB96" i="3"/>
  <c r="U96" i="3"/>
  <c r="T96" i="3"/>
  <c r="S96" i="3"/>
  <c r="R96" i="3"/>
  <c r="Q96" i="3"/>
  <c r="P96" i="3"/>
  <c r="G96" i="3"/>
  <c r="I96" i="3" s="1"/>
  <c r="AG95" i="3"/>
  <c r="AF95" i="3"/>
  <c r="AE95" i="3"/>
  <c r="AD95" i="3"/>
  <c r="AC95" i="3"/>
  <c r="AB95" i="3"/>
  <c r="U95" i="3"/>
  <c r="T95" i="3"/>
  <c r="S95" i="3"/>
  <c r="R95" i="3"/>
  <c r="Q95" i="3"/>
  <c r="P95" i="3"/>
  <c r="G95" i="3"/>
  <c r="I95" i="3" s="1"/>
  <c r="AG94" i="3"/>
  <c r="AF94" i="3"/>
  <c r="AE94" i="3"/>
  <c r="AD94" i="3"/>
  <c r="AC94" i="3"/>
  <c r="AB94" i="3"/>
  <c r="U94" i="3"/>
  <c r="T94" i="3"/>
  <c r="S94" i="3"/>
  <c r="R94" i="3"/>
  <c r="Q94" i="3"/>
  <c r="P94" i="3"/>
  <c r="G94" i="3"/>
  <c r="I94" i="3" s="1"/>
  <c r="AG93" i="3"/>
  <c r="AF93" i="3"/>
  <c r="AE93" i="3"/>
  <c r="AD93" i="3"/>
  <c r="AC93" i="3"/>
  <c r="AB93" i="3"/>
  <c r="U93" i="3"/>
  <c r="T93" i="3"/>
  <c r="S93" i="3"/>
  <c r="R93" i="3"/>
  <c r="Q93" i="3"/>
  <c r="P93" i="3"/>
  <c r="G93" i="3"/>
  <c r="I93" i="3" s="1"/>
  <c r="AG92" i="3"/>
  <c r="AF92" i="3"/>
  <c r="AE92" i="3"/>
  <c r="AD92" i="3"/>
  <c r="AC92" i="3"/>
  <c r="AB92" i="3"/>
  <c r="U92" i="3"/>
  <c r="G92" i="3"/>
  <c r="I92" i="3" s="1"/>
  <c r="AG91" i="3"/>
  <c r="AF91" i="3"/>
  <c r="AE91" i="3"/>
  <c r="AD91" i="3"/>
  <c r="AC91" i="3"/>
  <c r="AB91" i="3"/>
  <c r="U91" i="3"/>
  <c r="T91" i="3"/>
  <c r="S91" i="3"/>
  <c r="R91" i="3"/>
  <c r="Q91" i="3"/>
  <c r="P91" i="3"/>
  <c r="G91" i="3"/>
  <c r="I91" i="3" s="1"/>
  <c r="AG90" i="3"/>
  <c r="AF90" i="3"/>
  <c r="AE90" i="3"/>
  <c r="AD90" i="3"/>
  <c r="AC90" i="3"/>
  <c r="AB90" i="3"/>
  <c r="U90" i="3"/>
  <c r="T90" i="3"/>
  <c r="S90" i="3"/>
  <c r="R90" i="3"/>
  <c r="Q90" i="3"/>
  <c r="P90" i="3"/>
  <c r="G90" i="3"/>
  <c r="I90" i="3" s="1"/>
  <c r="AG89" i="3"/>
  <c r="AF89" i="3"/>
  <c r="AE89" i="3"/>
  <c r="AD89" i="3"/>
  <c r="AC89" i="3"/>
  <c r="AB89" i="3"/>
  <c r="U89" i="3"/>
  <c r="T89" i="3"/>
  <c r="S89" i="3"/>
  <c r="R89" i="3"/>
  <c r="Q89" i="3"/>
  <c r="P89" i="3"/>
  <c r="G89" i="3"/>
  <c r="I89" i="3" s="1"/>
  <c r="AG88" i="3"/>
  <c r="AF88" i="3"/>
  <c r="AE88" i="3"/>
  <c r="AD88" i="3"/>
  <c r="AC88" i="3"/>
  <c r="AB88" i="3"/>
  <c r="U88" i="3"/>
  <c r="T88" i="3"/>
  <c r="S88" i="3"/>
  <c r="R88" i="3"/>
  <c r="Q88" i="3"/>
  <c r="P88" i="3"/>
  <c r="G88" i="3"/>
  <c r="I88" i="3" s="1"/>
  <c r="AG87" i="3"/>
  <c r="AF87" i="3"/>
  <c r="AE87" i="3"/>
  <c r="AD87" i="3"/>
  <c r="AC87" i="3"/>
  <c r="AB87" i="3"/>
  <c r="U87" i="3"/>
  <c r="T87" i="3"/>
  <c r="S87" i="3"/>
  <c r="R87" i="3"/>
  <c r="Q87" i="3"/>
  <c r="P87" i="3"/>
  <c r="G87" i="3"/>
  <c r="I87" i="3" s="1"/>
  <c r="AG86" i="3"/>
  <c r="AF86" i="3"/>
  <c r="AE86" i="3"/>
  <c r="AD86" i="3"/>
  <c r="AC86" i="3"/>
  <c r="AB86" i="3"/>
  <c r="U86" i="3"/>
  <c r="T86" i="3"/>
  <c r="S86" i="3"/>
  <c r="R86" i="3"/>
  <c r="Q86" i="3"/>
  <c r="P86" i="3"/>
  <c r="G86" i="3"/>
  <c r="I86" i="3" s="1"/>
  <c r="AG85" i="3"/>
  <c r="AF85" i="3"/>
  <c r="AE85" i="3"/>
  <c r="AD85" i="3"/>
  <c r="AC85" i="3"/>
  <c r="AB85" i="3"/>
  <c r="U85" i="3"/>
  <c r="T85" i="3"/>
  <c r="S85" i="3"/>
  <c r="R85" i="3"/>
  <c r="Q85" i="3"/>
  <c r="P85" i="3"/>
  <c r="G85" i="3"/>
  <c r="I85" i="3" s="1"/>
  <c r="AG84" i="3"/>
  <c r="AF84" i="3"/>
  <c r="AE84" i="3"/>
  <c r="AD84" i="3"/>
  <c r="AC84" i="3"/>
  <c r="AB84" i="3"/>
  <c r="U84" i="3"/>
  <c r="T84" i="3"/>
  <c r="S84" i="3"/>
  <c r="R84" i="3"/>
  <c r="Q84" i="3"/>
  <c r="P84" i="3"/>
  <c r="G84" i="3"/>
  <c r="I84" i="3" s="1"/>
  <c r="AG83" i="3"/>
  <c r="AF83" i="3"/>
  <c r="AE83" i="3"/>
  <c r="AD83" i="3"/>
  <c r="AC83" i="3"/>
  <c r="AB83" i="3"/>
  <c r="U83" i="3"/>
  <c r="T83" i="3"/>
  <c r="S83" i="3"/>
  <c r="R83" i="3"/>
  <c r="Q83" i="3"/>
  <c r="P83" i="3"/>
  <c r="G83" i="3"/>
  <c r="I83" i="3" s="1"/>
  <c r="AG82" i="3"/>
  <c r="AF82" i="3"/>
  <c r="AE82" i="3"/>
  <c r="AD82" i="3"/>
  <c r="AC82" i="3"/>
  <c r="AB82" i="3"/>
  <c r="U82" i="3"/>
  <c r="T82" i="3"/>
  <c r="S82" i="3"/>
  <c r="R82" i="3"/>
  <c r="Q82" i="3"/>
  <c r="P82" i="3"/>
  <c r="G82" i="3"/>
  <c r="I82" i="3" s="1"/>
  <c r="AG81" i="3"/>
  <c r="AF81" i="3"/>
  <c r="AE81" i="3"/>
  <c r="AD81" i="3"/>
  <c r="AC81" i="3"/>
  <c r="AB81" i="3"/>
  <c r="U81" i="3"/>
  <c r="T81" i="3"/>
  <c r="S81" i="3"/>
  <c r="R81" i="3"/>
  <c r="Q81" i="3"/>
  <c r="P81" i="3"/>
  <c r="G81" i="3"/>
  <c r="I81" i="3" s="1"/>
  <c r="AG80" i="3"/>
  <c r="AF80" i="3"/>
  <c r="AE80" i="3"/>
  <c r="AD80" i="3"/>
  <c r="AC80" i="3"/>
  <c r="AB80" i="3"/>
  <c r="U80" i="3"/>
  <c r="T80" i="3"/>
  <c r="S80" i="3"/>
  <c r="R80" i="3"/>
  <c r="Q80" i="3"/>
  <c r="P80" i="3"/>
  <c r="G80" i="3"/>
  <c r="I80" i="3" s="1"/>
  <c r="AG79" i="3"/>
  <c r="AF79" i="3"/>
  <c r="AE79" i="3"/>
  <c r="AD79" i="3"/>
  <c r="AC79" i="3"/>
  <c r="AB79" i="3"/>
  <c r="U79" i="3"/>
  <c r="T79" i="3"/>
  <c r="S79" i="3"/>
  <c r="R79" i="3"/>
  <c r="Q79" i="3"/>
  <c r="P79" i="3"/>
  <c r="G79" i="3"/>
  <c r="I79" i="3" s="1"/>
  <c r="AG78" i="3"/>
  <c r="AF78" i="3"/>
  <c r="AE78" i="3"/>
  <c r="AD78" i="3"/>
  <c r="AC78" i="3"/>
  <c r="AB78" i="3"/>
  <c r="U78" i="3"/>
  <c r="T78" i="3"/>
  <c r="S78" i="3"/>
  <c r="R78" i="3"/>
  <c r="Q78" i="3"/>
  <c r="P78" i="3"/>
  <c r="G78" i="3"/>
  <c r="I78" i="3" s="1"/>
  <c r="AG77" i="3"/>
  <c r="AF77" i="3"/>
  <c r="AE77" i="3"/>
  <c r="AD77" i="3"/>
  <c r="AC77" i="3"/>
  <c r="AB77" i="3"/>
  <c r="U77" i="3"/>
  <c r="T77" i="3"/>
  <c r="S77" i="3"/>
  <c r="R77" i="3"/>
  <c r="Q77" i="3"/>
  <c r="P77" i="3"/>
  <c r="G77" i="3"/>
  <c r="I77" i="3" s="1"/>
  <c r="AG76" i="3"/>
  <c r="AF76" i="3"/>
  <c r="AE76" i="3"/>
  <c r="AD76" i="3"/>
  <c r="AC76" i="3"/>
  <c r="AB76" i="3"/>
  <c r="U76" i="3"/>
  <c r="T76" i="3"/>
  <c r="S76" i="3"/>
  <c r="R76" i="3"/>
  <c r="Q76" i="3"/>
  <c r="P76" i="3"/>
  <c r="G76" i="3"/>
  <c r="I76" i="3" s="1"/>
  <c r="AG75" i="3"/>
  <c r="AF75" i="3"/>
  <c r="AE75" i="3"/>
  <c r="AD75" i="3"/>
  <c r="AC75" i="3"/>
  <c r="AB75" i="3"/>
  <c r="U75" i="3"/>
  <c r="T75" i="3"/>
  <c r="S75" i="3"/>
  <c r="R75" i="3"/>
  <c r="Q75" i="3"/>
  <c r="P75" i="3"/>
  <c r="G75" i="3"/>
  <c r="I75" i="3" s="1"/>
  <c r="AG74" i="3"/>
  <c r="AF74" i="3"/>
  <c r="AE74" i="3"/>
  <c r="AD74" i="3"/>
  <c r="AC74" i="3"/>
  <c r="AB74" i="3"/>
  <c r="U74" i="3"/>
  <c r="T74" i="3"/>
  <c r="S74" i="3"/>
  <c r="R74" i="3"/>
  <c r="Q74" i="3"/>
  <c r="P74" i="3"/>
  <c r="G74" i="3"/>
  <c r="I74" i="3" s="1"/>
  <c r="AG73" i="3"/>
  <c r="AF73" i="3"/>
  <c r="AE73" i="3"/>
  <c r="AD73" i="3"/>
  <c r="AC73" i="3"/>
  <c r="AB73" i="3"/>
  <c r="U73" i="3"/>
  <c r="T73" i="3"/>
  <c r="S73" i="3"/>
  <c r="R73" i="3"/>
  <c r="Q73" i="3"/>
  <c r="P73" i="3"/>
  <c r="G73" i="3"/>
  <c r="I73" i="3" s="1"/>
  <c r="AG72" i="3"/>
  <c r="AF72" i="3"/>
  <c r="AE72" i="3"/>
  <c r="AD72" i="3"/>
  <c r="AC72" i="3"/>
  <c r="AB72" i="3"/>
  <c r="U72" i="3"/>
  <c r="T72" i="3"/>
  <c r="S72" i="3"/>
  <c r="R72" i="3"/>
  <c r="Q72" i="3"/>
  <c r="P72" i="3"/>
  <c r="G72" i="3"/>
  <c r="I72" i="3" s="1"/>
  <c r="AG71" i="3"/>
  <c r="AF71" i="3"/>
  <c r="AE71" i="3"/>
  <c r="AD71" i="3"/>
  <c r="AC71" i="3"/>
  <c r="AB71" i="3"/>
  <c r="U71" i="3"/>
  <c r="T71" i="3"/>
  <c r="S71" i="3"/>
  <c r="R71" i="3"/>
  <c r="Q71" i="3"/>
  <c r="P71" i="3"/>
  <c r="G71" i="3"/>
  <c r="I71" i="3" s="1"/>
  <c r="AG70" i="3"/>
  <c r="AF70" i="3"/>
  <c r="AE70" i="3"/>
  <c r="AD70" i="3"/>
  <c r="AC70" i="3"/>
  <c r="AB70" i="3"/>
  <c r="U70" i="3"/>
  <c r="G70" i="3"/>
  <c r="I70" i="3" s="1"/>
  <c r="AG69" i="3"/>
  <c r="AF69" i="3"/>
  <c r="AE69" i="3"/>
  <c r="AD69" i="3"/>
  <c r="AC69" i="3"/>
  <c r="AB69" i="3"/>
  <c r="U69" i="3"/>
  <c r="T69" i="3"/>
  <c r="S69" i="3"/>
  <c r="R69" i="3"/>
  <c r="Q69" i="3"/>
  <c r="P69" i="3"/>
  <c r="G69" i="3"/>
  <c r="I69" i="3" s="1"/>
  <c r="AG68" i="3"/>
  <c r="AF68" i="3"/>
  <c r="AE68" i="3"/>
  <c r="AD68" i="3"/>
  <c r="AC68" i="3"/>
  <c r="AB68" i="3"/>
  <c r="U68" i="3"/>
  <c r="T68" i="3"/>
  <c r="S68" i="3"/>
  <c r="R68" i="3"/>
  <c r="Q68" i="3"/>
  <c r="P68" i="3"/>
  <c r="G68" i="3"/>
  <c r="I68" i="3" s="1"/>
  <c r="AG67" i="3"/>
  <c r="AF67" i="3"/>
  <c r="AE67" i="3"/>
  <c r="AD67" i="3"/>
  <c r="AC67" i="3"/>
  <c r="AB67" i="3"/>
  <c r="U67" i="3"/>
  <c r="T67" i="3"/>
  <c r="S67" i="3"/>
  <c r="R67" i="3"/>
  <c r="Q67" i="3"/>
  <c r="P67" i="3"/>
  <c r="G67" i="3"/>
  <c r="I67" i="3" s="1"/>
  <c r="AG66" i="3"/>
  <c r="AF66" i="3"/>
  <c r="AE66" i="3"/>
  <c r="AD66" i="3"/>
  <c r="AC66" i="3"/>
  <c r="AB66" i="3"/>
  <c r="U66" i="3"/>
  <c r="T66" i="3"/>
  <c r="S66" i="3"/>
  <c r="R66" i="3"/>
  <c r="Q66" i="3"/>
  <c r="P66" i="3"/>
  <c r="G66" i="3"/>
  <c r="I66" i="3" s="1"/>
  <c r="AG65" i="3"/>
  <c r="AF65" i="3"/>
  <c r="AE65" i="3"/>
  <c r="AD65" i="3"/>
  <c r="AC65" i="3"/>
  <c r="AB65" i="3"/>
  <c r="U65" i="3"/>
  <c r="T65" i="3"/>
  <c r="S65" i="3"/>
  <c r="R65" i="3"/>
  <c r="Q65" i="3"/>
  <c r="P65" i="3"/>
  <c r="G65" i="3"/>
  <c r="I65" i="3" s="1"/>
  <c r="AG64" i="3"/>
  <c r="AF64" i="3"/>
  <c r="AE64" i="3"/>
  <c r="AD64" i="3"/>
  <c r="AC64" i="3"/>
  <c r="AB64" i="3"/>
  <c r="U64" i="3"/>
  <c r="T64" i="3"/>
  <c r="S64" i="3"/>
  <c r="R64" i="3"/>
  <c r="Q64" i="3"/>
  <c r="P64" i="3"/>
  <c r="G64" i="3"/>
  <c r="I64" i="3" s="1"/>
  <c r="AG63" i="3"/>
  <c r="AF63" i="3"/>
  <c r="AE63" i="3"/>
  <c r="AD63" i="3"/>
  <c r="AC63" i="3"/>
  <c r="AB63" i="3"/>
  <c r="U63" i="3"/>
  <c r="T63" i="3"/>
  <c r="S63" i="3"/>
  <c r="R63" i="3"/>
  <c r="Q63" i="3"/>
  <c r="P63" i="3"/>
  <c r="G63" i="3"/>
  <c r="I63" i="3" s="1"/>
  <c r="AG62" i="3"/>
  <c r="AF62" i="3"/>
  <c r="AE62" i="3"/>
  <c r="AD62" i="3"/>
  <c r="AC62" i="3"/>
  <c r="AB62" i="3"/>
  <c r="U62" i="3"/>
  <c r="T62" i="3"/>
  <c r="S62" i="3"/>
  <c r="R62" i="3"/>
  <c r="Q62" i="3"/>
  <c r="P62" i="3"/>
  <c r="G62" i="3"/>
  <c r="I62" i="3" s="1"/>
  <c r="AG61" i="3"/>
  <c r="AF61" i="3"/>
  <c r="AE61" i="3"/>
  <c r="AD61" i="3"/>
  <c r="AC61" i="3"/>
  <c r="AB61" i="3"/>
  <c r="U61" i="3"/>
  <c r="T61" i="3"/>
  <c r="S61" i="3"/>
  <c r="R61" i="3"/>
  <c r="Q61" i="3"/>
  <c r="P61" i="3"/>
  <c r="G61" i="3"/>
  <c r="I61" i="3" s="1"/>
  <c r="AG60" i="3"/>
  <c r="AF60" i="3"/>
  <c r="AE60" i="3"/>
  <c r="AD60" i="3"/>
  <c r="AC60" i="3"/>
  <c r="AB60" i="3"/>
  <c r="U60" i="3"/>
  <c r="T60" i="3"/>
  <c r="S60" i="3"/>
  <c r="R60" i="3"/>
  <c r="Q60" i="3"/>
  <c r="P60" i="3"/>
  <c r="G60" i="3"/>
  <c r="I60" i="3" s="1"/>
  <c r="AG59" i="3"/>
  <c r="AF59" i="3"/>
  <c r="AE59" i="3"/>
  <c r="AD59" i="3"/>
  <c r="AC59" i="3"/>
  <c r="AB59" i="3"/>
  <c r="U59" i="3"/>
  <c r="T59" i="3"/>
  <c r="S59" i="3"/>
  <c r="R59" i="3"/>
  <c r="Q59" i="3"/>
  <c r="P59" i="3"/>
  <c r="G59" i="3"/>
  <c r="I59" i="3" s="1"/>
  <c r="AG58" i="3"/>
  <c r="AF58" i="3"/>
  <c r="AE58" i="3"/>
  <c r="AD58" i="3"/>
  <c r="AC58" i="3"/>
  <c r="AB58" i="3"/>
  <c r="U58" i="3"/>
  <c r="T58" i="3"/>
  <c r="S58" i="3"/>
  <c r="R58" i="3"/>
  <c r="Q58" i="3"/>
  <c r="P58" i="3"/>
  <c r="G58" i="3"/>
  <c r="I58" i="3" s="1"/>
  <c r="AG57" i="3"/>
  <c r="AF57" i="3"/>
  <c r="AE57" i="3"/>
  <c r="AD57" i="3"/>
  <c r="AC57" i="3"/>
  <c r="AB57" i="3"/>
  <c r="U57" i="3"/>
  <c r="T57" i="3"/>
  <c r="S57" i="3"/>
  <c r="R57" i="3"/>
  <c r="Q57" i="3"/>
  <c r="P57" i="3"/>
  <c r="G57" i="3"/>
  <c r="I57" i="3" s="1"/>
  <c r="AG56" i="3"/>
  <c r="AF56" i="3"/>
  <c r="AE56" i="3"/>
  <c r="AD56" i="3"/>
  <c r="AC56" i="3"/>
  <c r="AB56" i="3"/>
  <c r="U56" i="3"/>
  <c r="T56" i="3"/>
  <c r="S56" i="3"/>
  <c r="R56" i="3"/>
  <c r="Q56" i="3"/>
  <c r="P56" i="3"/>
  <c r="G56" i="3"/>
  <c r="I56" i="3" s="1"/>
  <c r="AG55" i="3"/>
  <c r="AF55" i="3"/>
  <c r="AE55" i="3"/>
  <c r="AD55" i="3"/>
  <c r="AC55" i="3"/>
  <c r="AB55" i="3"/>
  <c r="U55" i="3"/>
  <c r="T55" i="3"/>
  <c r="S55" i="3"/>
  <c r="R55" i="3"/>
  <c r="Q55" i="3"/>
  <c r="P55" i="3"/>
  <c r="G55" i="3"/>
  <c r="I55" i="3" s="1"/>
  <c r="AG54" i="3"/>
  <c r="AF54" i="3"/>
  <c r="AE54" i="3"/>
  <c r="AD54" i="3"/>
  <c r="AC54" i="3"/>
  <c r="AB54" i="3"/>
  <c r="U54" i="3"/>
  <c r="T54" i="3"/>
  <c r="S54" i="3"/>
  <c r="R54" i="3"/>
  <c r="Q54" i="3"/>
  <c r="P54" i="3"/>
  <c r="G54" i="3"/>
  <c r="I54" i="3" s="1"/>
  <c r="AG53" i="3"/>
  <c r="AF53" i="3"/>
  <c r="AE53" i="3"/>
  <c r="AD53" i="3"/>
  <c r="AC53" i="3"/>
  <c r="AB53" i="3"/>
  <c r="U53" i="3"/>
  <c r="T53" i="3"/>
  <c r="S53" i="3"/>
  <c r="R53" i="3"/>
  <c r="Q53" i="3"/>
  <c r="P53" i="3"/>
  <c r="G53" i="3"/>
  <c r="I53" i="3" s="1"/>
  <c r="AG52" i="3"/>
  <c r="AF52" i="3"/>
  <c r="AE52" i="3"/>
  <c r="AD52" i="3"/>
  <c r="AC52" i="3"/>
  <c r="AB52" i="3"/>
  <c r="U52" i="3"/>
  <c r="T52" i="3"/>
  <c r="S52" i="3"/>
  <c r="R52" i="3"/>
  <c r="Q52" i="3"/>
  <c r="P52" i="3"/>
  <c r="G52" i="3"/>
  <c r="I52" i="3" s="1"/>
  <c r="AG51" i="3"/>
  <c r="AF51" i="3"/>
  <c r="AE51" i="3"/>
  <c r="AD51" i="3"/>
  <c r="AC51" i="3"/>
  <c r="AB51" i="3"/>
  <c r="U51" i="3"/>
  <c r="T51" i="3"/>
  <c r="S51" i="3"/>
  <c r="R51" i="3"/>
  <c r="Q51" i="3"/>
  <c r="P51" i="3"/>
  <c r="G51" i="3"/>
  <c r="I51" i="3" s="1"/>
  <c r="AG50" i="3"/>
  <c r="AF50" i="3"/>
  <c r="AE50" i="3"/>
  <c r="AD50" i="3"/>
  <c r="AC50" i="3"/>
  <c r="AB50" i="3"/>
  <c r="U50" i="3"/>
  <c r="T50" i="3"/>
  <c r="S50" i="3"/>
  <c r="R50" i="3"/>
  <c r="Q50" i="3"/>
  <c r="P50" i="3"/>
  <c r="G50" i="3"/>
  <c r="I50" i="3" s="1"/>
  <c r="AG49" i="3"/>
  <c r="AF49" i="3"/>
  <c r="AE49" i="3"/>
  <c r="AD49" i="3"/>
  <c r="AC49" i="3"/>
  <c r="AB49" i="3"/>
  <c r="U49" i="3"/>
  <c r="T49" i="3"/>
  <c r="S49" i="3"/>
  <c r="R49" i="3"/>
  <c r="Q49" i="3"/>
  <c r="P49" i="3"/>
  <c r="G49" i="3"/>
  <c r="I49" i="3" s="1"/>
  <c r="AG48" i="3"/>
  <c r="AF48" i="3"/>
  <c r="AE48" i="3"/>
  <c r="AD48" i="3"/>
  <c r="AC48" i="3"/>
  <c r="AB48" i="3"/>
  <c r="U48" i="3"/>
  <c r="G48" i="3"/>
  <c r="I48" i="3" s="1"/>
  <c r="AG47" i="3"/>
  <c r="AF47" i="3"/>
  <c r="AE47" i="3"/>
  <c r="AD47" i="3"/>
  <c r="AC47" i="3"/>
  <c r="AB47" i="3"/>
  <c r="U47" i="3"/>
  <c r="T47" i="3"/>
  <c r="S47" i="3"/>
  <c r="R47" i="3"/>
  <c r="Q47" i="3"/>
  <c r="P47" i="3"/>
  <c r="G47" i="3"/>
  <c r="I47" i="3" s="1"/>
  <c r="AG46" i="3"/>
  <c r="AF46" i="3"/>
  <c r="AE46" i="3"/>
  <c r="AD46" i="3"/>
  <c r="AC46" i="3"/>
  <c r="AB46" i="3"/>
  <c r="U46" i="3"/>
  <c r="T46" i="3"/>
  <c r="S46" i="3"/>
  <c r="R46" i="3"/>
  <c r="Q46" i="3"/>
  <c r="P46" i="3"/>
  <c r="G46" i="3"/>
  <c r="I46" i="3" s="1"/>
  <c r="AG45" i="3"/>
  <c r="AF45" i="3"/>
  <c r="AE45" i="3"/>
  <c r="AD45" i="3"/>
  <c r="AC45" i="3"/>
  <c r="AB45" i="3"/>
  <c r="U45" i="3"/>
  <c r="T45" i="3"/>
  <c r="S45" i="3"/>
  <c r="R45" i="3"/>
  <c r="Q45" i="3"/>
  <c r="P45" i="3"/>
  <c r="G45" i="3"/>
  <c r="I45" i="3" s="1"/>
  <c r="AG44" i="3"/>
  <c r="AF44" i="3"/>
  <c r="AE44" i="3"/>
  <c r="AD44" i="3"/>
  <c r="AC44" i="3"/>
  <c r="AB44" i="3"/>
  <c r="U44" i="3"/>
  <c r="G44" i="3"/>
  <c r="I44" i="3" s="1"/>
  <c r="AG43" i="3"/>
  <c r="AF43" i="3"/>
  <c r="AE43" i="3"/>
  <c r="AD43" i="3"/>
  <c r="AC43" i="3"/>
  <c r="AB43" i="3"/>
  <c r="U43" i="3"/>
  <c r="T43" i="3"/>
  <c r="S43" i="3"/>
  <c r="R43" i="3"/>
  <c r="Q43" i="3"/>
  <c r="P43" i="3"/>
  <c r="G43" i="3"/>
  <c r="I43" i="3" s="1"/>
  <c r="AG42" i="3"/>
  <c r="AF42" i="3"/>
  <c r="AE42" i="3"/>
  <c r="AD42" i="3"/>
  <c r="AC42" i="3"/>
  <c r="AB42" i="3"/>
  <c r="U42" i="3"/>
  <c r="T42" i="3"/>
  <c r="S42" i="3"/>
  <c r="R42" i="3"/>
  <c r="Q42" i="3"/>
  <c r="P42" i="3"/>
  <c r="G42" i="3"/>
  <c r="I42" i="3" s="1"/>
  <c r="AG41" i="3"/>
  <c r="AF41" i="3"/>
  <c r="AE41" i="3"/>
  <c r="AD41" i="3"/>
  <c r="AC41" i="3"/>
  <c r="AB41" i="3"/>
  <c r="U41" i="3"/>
  <c r="T41" i="3"/>
  <c r="S41" i="3"/>
  <c r="R41" i="3"/>
  <c r="Q41" i="3"/>
  <c r="P41" i="3"/>
  <c r="G41" i="3"/>
  <c r="I41" i="3" s="1"/>
  <c r="AG40" i="3"/>
  <c r="AF40" i="3"/>
  <c r="AE40" i="3"/>
  <c r="AD40" i="3"/>
  <c r="AC40" i="3"/>
  <c r="AB40" i="3"/>
  <c r="U40" i="3"/>
  <c r="T40" i="3"/>
  <c r="S40" i="3"/>
  <c r="R40" i="3"/>
  <c r="Q40" i="3"/>
  <c r="P40" i="3"/>
  <c r="G40" i="3"/>
  <c r="I40" i="3" s="1"/>
  <c r="AG39" i="3"/>
  <c r="AF39" i="3"/>
  <c r="AE39" i="3"/>
  <c r="AD39" i="3"/>
  <c r="AC39" i="3"/>
  <c r="AB39" i="3"/>
  <c r="U39" i="3"/>
  <c r="T39" i="3"/>
  <c r="S39" i="3"/>
  <c r="R39" i="3"/>
  <c r="Q39" i="3"/>
  <c r="P39" i="3"/>
  <c r="G39" i="3"/>
  <c r="I39" i="3" s="1"/>
  <c r="AG38" i="3"/>
  <c r="AF38" i="3"/>
  <c r="AE38" i="3"/>
  <c r="AD38" i="3"/>
  <c r="AC38" i="3"/>
  <c r="AB38" i="3"/>
  <c r="U38" i="3"/>
  <c r="T38" i="3"/>
  <c r="S38" i="3"/>
  <c r="R38" i="3"/>
  <c r="Q38" i="3"/>
  <c r="P38" i="3"/>
  <c r="G38" i="3"/>
  <c r="I38" i="3" s="1"/>
  <c r="AG37" i="3"/>
  <c r="AF37" i="3"/>
  <c r="AE37" i="3"/>
  <c r="AD37" i="3"/>
  <c r="AC37" i="3"/>
  <c r="AB37" i="3"/>
  <c r="U37" i="3"/>
  <c r="T37" i="3"/>
  <c r="S37" i="3"/>
  <c r="R37" i="3"/>
  <c r="Q37" i="3"/>
  <c r="P37" i="3"/>
  <c r="G37" i="3"/>
  <c r="I37" i="3" s="1"/>
  <c r="AG36" i="3"/>
  <c r="AF36" i="3"/>
  <c r="AE36" i="3"/>
  <c r="AD36" i="3"/>
  <c r="AC36" i="3"/>
  <c r="AB36" i="3"/>
  <c r="U36" i="3"/>
  <c r="T36" i="3"/>
  <c r="S36" i="3"/>
  <c r="R36" i="3"/>
  <c r="Q36" i="3"/>
  <c r="P36" i="3"/>
  <c r="G36" i="3"/>
  <c r="I36" i="3" s="1"/>
  <c r="AG35" i="3"/>
  <c r="AF35" i="3"/>
  <c r="AE35" i="3"/>
  <c r="AD35" i="3"/>
  <c r="AC35" i="3"/>
  <c r="AB35" i="3"/>
  <c r="U35" i="3"/>
  <c r="T35" i="3"/>
  <c r="S35" i="3"/>
  <c r="R35" i="3"/>
  <c r="Q35" i="3"/>
  <c r="P35" i="3"/>
  <c r="G35" i="3"/>
  <c r="I35" i="3" s="1"/>
  <c r="AG34" i="3"/>
  <c r="AF34" i="3"/>
  <c r="AE34" i="3"/>
  <c r="AD34" i="3"/>
  <c r="AC34" i="3"/>
  <c r="AB34" i="3"/>
  <c r="U34" i="3"/>
  <c r="T34" i="3"/>
  <c r="S34" i="3"/>
  <c r="R34" i="3"/>
  <c r="Q34" i="3"/>
  <c r="P34" i="3"/>
  <c r="G34" i="3"/>
  <c r="I34" i="3" s="1"/>
  <c r="AG33" i="3"/>
  <c r="AF33" i="3"/>
  <c r="AE33" i="3"/>
  <c r="AD33" i="3"/>
  <c r="AC33" i="3"/>
  <c r="AB33" i="3"/>
  <c r="U33" i="3"/>
  <c r="T33" i="3"/>
  <c r="S33" i="3"/>
  <c r="R33" i="3"/>
  <c r="Q33" i="3"/>
  <c r="P33" i="3"/>
  <c r="G33" i="3"/>
  <c r="I33" i="3" s="1"/>
  <c r="AG32" i="3"/>
  <c r="AF32" i="3"/>
  <c r="AE32" i="3"/>
  <c r="AD32" i="3"/>
  <c r="AC32" i="3"/>
  <c r="AB32" i="3"/>
  <c r="U32" i="3"/>
  <c r="T32" i="3"/>
  <c r="S32" i="3"/>
  <c r="R32" i="3"/>
  <c r="Q32" i="3"/>
  <c r="P32" i="3"/>
  <c r="G32" i="3"/>
  <c r="I32" i="3" s="1"/>
  <c r="AG31" i="3"/>
  <c r="AF31" i="3"/>
  <c r="AE31" i="3"/>
  <c r="AD31" i="3"/>
  <c r="AC31" i="3"/>
  <c r="AB31" i="3"/>
  <c r="U31" i="3"/>
  <c r="T31" i="3"/>
  <c r="S31" i="3"/>
  <c r="R31" i="3"/>
  <c r="Q31" i="3"/>
  <c r="P31" i="3"/>
  <c r="G31" i="3"/>
  <c r="I31" i="3" s="1"/>
  <c r="AG30" i="3"/>
  <c r="AF30" i="3"/>
  <c r="AE30" i="3"/>
  <c r="AD30" i="3"/>
  <c r="AC30" i="3"/>
  <c r="AB30" i="3"/>
  <c r="U30" i="3"/>
  <c r="T30" i="3"/>
  <c r="S30" i="3"/>
  <c r="R30" i="3"/>
  <c r="Q30" i="3"/>
  <c r="P30" i="3"/>
  <c r="G30" i="3"/>
  <c r="I30" i="3" s="1"/>
  <c r="AG29" i="3"/>
  <c r="AF29" i="3"/>
  <c r="AE29" i="3"/>
  <c r="AD29" i="3"/>
  <c r="AC29" i="3"/>
  <c r="AB29" i="3"/>
  <c r="U29" i="3"/>
  <c r="T29" i="3"/>
  <c r="S29" i="3"/>
  <c r="R29" i="3"/>
  <c r="Q29" i="3"/>
  <c r="P29" i="3"/>
  <c r="G29" i="3"/>
  <c r="I29" i="3" s="1"/>
  <c r="AG28" i="3"/>
  <c r="AF28" i="3"/>
  <c r="AE28" i="3"/>
  <c r="AD28" i="3"/>
  <c r="AC28" i="3"/>
  <c r="AB28" i="3"/>
  <c r="U28" i="3"/>
  <c r="T28" i="3"/>
  <c r="S28" i="3"/>
  <c r="R28" i="3"/>
  <c r="Q28" i="3"/>
  <c r="P28" i="3"/>
  <c r="G28" i="3"/>
  <c r="I28" i="3" s="1"/>
  <c r="AG27" i="3"/>
  <c r="AF27" i="3"/>
  <c r="AE27" i="3"/>
  <c r="AD27" i="3"/>
  <c r="AC27" i="3"/>
  <c r="AB27" i="3"/>
  <c r="U27" i="3"/>
  <c r="T27" i="3"/>
  <c r="S27" i="3"/>
  <c r="R27" i="3"/>
  <c r="Q27" i="3"/>
  <c r="P27" i="3"/>
  <c r="G27" i="3"/>
  <c r="I27" i="3" s="1"/>
  <c r="AG26" i="3"/>
  <c r="AF26" i="3"/>
  <c r="AE26" i="3"/>
  <c r="AD26" i="3"/>
  <c r="AC26" i="3"/>
  <c r="AB26" i="3"/>
  <c r="U26" i="3"/>
  <c r="T26" i="3"/>
  <c r="S26" i="3"/>
  <c r="R26" i="3"/>
  <c r="Q26" i="3"/>
  <c r="P26" i="3"/>
  <c r="G26" i="3"/>
  <c r="I26" i="3" s="1"/>
  <c r="AG25" i="3"/>
  <c r="AF25" i="3"/>
  <c r="AE25" i="3"/>
  <c r="AD25" i="3"/>
  <c r="AC25" i="3"/>
  <c r="AB25" i="3"/>
  <c r="U25" i="3"/>
  <c r="T25" i="3"/>
  <c r="S25" i="3"/>
  <c r="R25" i="3"/>
  <c r="Q25" i="3"/>
  <c r="P25" i="3"/>
  <c r="G25" i="3"/>
  <c r="I25" i="3" s="1"/>
  <c r="AG24" i="3"/>
  <c r="AF24" i="3"/>
  <c r="AE24" i="3"/>
  <c r="AD24" i="3"/>
  <c r="AC24" i="3"/>
  <c r="AB24" i="3"/>
  <c r="U24" i="3"/>
  <c r="T24" i="3"/>
  <c r="S24" i="3"/>
  <c r="R24" i="3"/>
  <c r="Q24" i="3"/>
  <c r="P24" i="3"/>
  <c r="G24" i="3"/>
  <c r="I24" i="3" s="1"/>
  <c r="AG23" i="3"/>
  <c r="AF23" i="3"/>
  <c r="AE23" i="3"/>
  <c r="AD23" i="3"/>
  <c r="AC23" i="3"/>
  <c r="AB23" i="3"/>
  <c r="U23" i="3"/>
  <c r="T23" i="3"/>
  <c r="S23" i="3"/>
  <c r="R23" i="3"/>
  <c r="Q23" i="3"/>
  <c r="P23" i="3"/>
  <c r="G23" i="3"/>
  <c r="I23" i="3" s="1"/>
  <c r="AG22" i="3"/>
  <c r="AF22" i="3"/>
  <c r="AE22" i="3"/>
  <c r="AD22" i="3"/>
  <c r="AC22" i="3"/>
  <c r="AB22" i="3"/>
  <c r="U22" i="3"/>
  <c r="T22" i="3"/>
  <c r="S22" i="3"/>
  <c r="R22" i="3"/>
  <c r="Q22" i="3"/>
  <c r="P22" i="3"/>
  <c r="G22" i="3"/>
  <c r="I22" i="3" s="1"/>
  <c r="AG21" i="3"/>
  <c r="AF21" i="3"/>
  <c r="AE21" i="3"/>
  <c r="AD21" i="3"/>
  <c r="AC21" i="3"/>
  <c r="AB21" i="3"/>
  <c r="U21" i="3"/>
  <c r="T21" i="3"/>
  <c r="S21" i="3"/>
  <c r="R21" i="3"/>
  <c r="Q21" i="3"/>
  <c r="P21" i="3"/>
  <c r="G21" i="3"/>
  <c r="I21" i="3" s="1"/>
  <c r="AG20" i="3"/>
  <c r="AF20" i="3"/>
  <c r="AE20" i="3"/>
  <c r="AD20" i="3"/>
  <c r="AC20" i="3"/>
  <c r="AB20" i="3"/>
  <c r="U20" i="3"/>
  <c r="G20" i="3"/>
  <c r="I20" i="3" s="1"/>
  <c r="AG19" i="3"/>
  <c r="AF19" i="3"/>
  <c r="AE19" i="3"/>
  <c r="AD19" i="3"/>
  <c r="AC19" i="3"/>
  <c r="AB19" i="3"/>
  <c r="U19" i="3"/>
  <c r="T19" i="3"/>
  <c r="S19" i="3"/>
  <c r="R19" i="3"/>
  <c r="Q19" i="3"/>
  <c r="P19" i="3"/>
  <c r="G19" i="3"/>
  <c r="I19" i="3" s="1"/>
  <c r="AG18" i="3"/>
  <c r="AF18" i="3"/>
  <c r="AE18" i="3"/>
  <c r="AD18" i="3"/>
  <c r="AC18" i="3"/>
  <c r="AB18" i="3"/>
  <c r="U18" i="3"/>
  <c r="G18" i="3"/>
  <c r="I18" i="3" s="1"/>
  <c r="AG17" i="3"/>
  <c r="AF17" i="3"/>
  <c r="AE17" i="3"/>
  <c r="AD17" i="3"/>
  <c r="AC17" i="3"/>
  <c r="AB17" i="3"/>
  <c r="U17" i="3"/>
  <c r="T17" i="3"/>
  <c r="S17" i="3"/>
  <c r="R17" i="3"/>
  <c r="Q17" i="3"/>
  <c r="P17" i="3"/>
  <c r="G17" i="3"/>
  <c r="I17" i="3" s="1"/>
  <c r="AG16" i="3"/>
  <c r="AF16" i="3"/>
  <c r="AE16" i="3"/>
  <c r="AD16" i="3"/>
  <c r="AC16" i="3"/>
  <c r="AB16" i="3"/>
  <c r="U16" i="3"/>
  <c r="T16" i="3"/>
  <c r="S16" i="3"/>
  <c r="R16" i="3"/>
  <c r="Q16" i="3"/>
  <c r="P16" i="3"/>
  <c r="G16" i="3"/>
  <c r="I16" i="3" s="1"/>
  <c r="AG15" i="3"/>
  <c r="AF15" i="3"/>
  <c r="AE15" i="3"/>
  <c r="AD15" i="3"/>
  <c r="AC15" i="3"/>
  <c r="AB15" i="3"/>
  <c r="U15" i="3"/>
  <c r="T15" i="3"/>
  <c r="S15" i="3"/>
  <c r="R15" i="3"/>
  <c r="Q15" i="3"/>
  <c r="P15" i="3"/>
  <c r="G15" i="3"/>
  <c r="I15" i="3" s="1"/>
  <c r="AG14" i="3"/>
  <c r="AF14" i="3"/>
  <c r="AE14" i="3"/>
  <c r="AD14" i="3"/>
  <c r="AC14" i="3"/>
  <c r="AB14" i="3"/>
  <c r="U14" i="3"/>
  <c r="T14" i="3"/>
  <c r="S14" i="3"/>
  <c r="R14" i="3"/>
  <c r="Q14" i="3"/>
  <c r="P14" i="3"/>
  <c r="G14" i="3"/>
  <c r="I14" i="3" s="1"/>
  <c r="AG13" i="3"/>
  <c r="AF13" i="3"/>
  <c r="AE13" i="3"/>
  <c r="AD13" i="3"/>
  <c r="AC13" i="3"/>
  <c r="AB13" i="3"/>
  <c r="U13" i="3"/>
  <c r="T13" i="3"/>
  <c r="S13" i="3"/>
  <c r="R13" i="3"/>
  <c r="Q13" i="3"/>
  <c r="P13" i="3"/>
  <c r="G13" i="3"/>
  <c r="I13" i="3" s="1"/>
  <c r="AG12" i="3"/>
  <c r="AF12" i="3"/>
  <c r="AE12" i="3"/>
  <c r="AD12" i="3"/>
  <c r="AC12" i="3"/>
  <c r="AB12" i="3"/>
  <c r="U12" i="3"/>
  <c r="T12" i="3"/>
  <c r="S12" i="3"/>
  <c r="R12" i="3"/>
  <c r="Q12" i="3"/>
  <c r="P12" i="3"/>
  <c r="G12" i="3"/>
  <c r="I12" i="3" s="1"/>
  <c r="AG11" i="3"/>
  <c r="AF11" i="3"/>
  <c r="AE11" i="3"/>
  <c r="AD11" i="3"/>
  <c r="AC11" i="3"/>
  <c r="AB11" i="3"/>
  <c r="U11" i="3"/>
  <c r="T11" i="3"/>
  <c r="S11" i="3"/>
  <c r="R11" i="3"/>
  <c r="Q11" i="3"/>
  <c r="P11" i="3"/>
  <c r="G11" i="3"/>
  <c r="I11" i="3" s="1"/>
  <c r="AG10" i="3"/>
  <c r="AF10" i="3"/>
  <c r="AE10" i="3"/>
  <c r="AD10" i="3"/>
  <c r="AC10" i="3"/>
  <c r="AB10" i="3"/>
  <c r="U10" i="3"/>
  <c r="T10" i="3"/>
  <c r="S10" i="3"/>
  <c r="R10" i="3"/>
  <c r="Q10" i="3"/>
  <c r="P10" i="3"/>
  <c r="G10" i="3"/>
  <c r="I10" i="3" s="1"/>
  <c r="AG9" i="3"/>
  <c r="AF9" i="3"/>
  <c r="AE9" i="3"/>
  <c r="AD9" i="3"/>
  <c r="AC9" i="3"/>
  <c r="AB9" i="3"/>
  <c r="U9" i="3"/>
  <c r="G9" i="3"/>
  <c r="I9" i="3" s="1"/>
  <c r="AG8" i="3"/>
  <c r="AF8" i="3"/>
  <c r="AE8" i="3"/>
  <c r="AD8" i="3"/>
  <c r="AC8" i="3"/>
  <c r="AB8" i="3"/>
  <c r="U8" i="3"/>
  <c r="T8" i="3"/>
  <c r="S8" i="3"/>
  <c r="R8" i="3"/>
  <c r="Q8" i="3"/>
  <c r="P8" i="3"/>
  <c r="G8" i="3"/>
  <c r="I8" i="3" s="1"/>
  <c r="AG7" i="3"/>
  <c r="AF7" i="3"/>
  <c r="AE7" i="3"/>
  <c r="AD7" i="3"/>
  <c r="AC7" i="3"/>
  <c r="AB7" i="3"/>
  <c r="U7" i="3"/>
  <c r="T7" i="3"/>
  <c r="S7" i="3"/>
  <c r="R7" i="3"/>
  <c r="Q7" i="3"/>
  <c r="P7" i="3"/>
  <c r="G7" i="3"/>
  <c r="I7" i="3" s="1"/>
  <c r="AG6" i="3"/>
  <c r="AF6" i="3"/>
  <c r="AE6" i="3"/>
  <c r="AD6" i="3"/>
  <c r="AC6" i="3"/>
  <c r="AB6" i="3"/>
  <c r="U6" i="3"/>
  <c r="T6" i="3"/>
  <c r="S6" i="3"/>
  <c r="R6" i="3"/>
  <c r="Q6" i="3"/>
  <c r="P6" i="3"/>
  <c r="G6" i="3"/>
  <c r="I6" i="3" s="1"/>
  <c r="AG5" i="3"/>
  <c r="AF5" i="3"/>
  <c r="AE5" i="3"/>
  <c r="AD5" i="3"/>
  <c r="AC5" i="3"/>
  <c r="AB5" i="3"/>
  <c r="U5" i="3"/>
  <c r="T5" i="3"/>
  <c r="S5" i="3"/>
  <c r="R5" i="3"/>
  <c r="Q5" i="3"/>
  <c r="P5" i="3"/>
  <c r="G5" i="3"/>
  <c r="I5" i="3" s="1"/>
  <c r="AG4" i="3"/>
  <c r="AF4" i="3"/>
  <c r="AE4" i="3"/>
  <c r="AD4" i="3"/>
  <c r="AC4" i="3"/>
  <c r="AB4" i="3"/>
  <c r="U4" i="3"/>
  <c r="T4" i="3"/>
  <c r="S4" i="3"/>
  <c r="R4" i="3"/>
  <c r="Q4" i="3"/>
  <c r="P4" i="3"/>
  <c r="G4" i="3"/>
  <c r="I4" i="3" s="1"/>
  <c r="AG3" i="3"/>
  <c r="AF3" i="3"/>
  <c r="AE3" i="3"/>
  <c r="AD3" i="3"/>
  <c r="AC3" i="3"/>
  <c r="AB3" i="3"/>
  <c r="U3" i="3"/>
  <c r="G3" i="3"/>
  <c r="I3" i="3" s="1"/>
  <c r="AG2" i="3"/>
  <c r="Z2" i="3"/>
  <c r="Y2" i="3"/>
  <c r="X2" i="3"/>
  <c r="W2" i="3"/>
  <c r="V2" i="3"/>
  <c r="U2" i="3"/>
  <c r="T2" i="3"/>
  <c r="S2" i="3"/>
  <c r="R2" i="3"/>
  <c r="Q2" i="3"/>
  <c r="P2" i="3"/>
  <c r="G2" i="3"/>
  <c r="I2" i="3" s="1"/>
  <c r="AC2" i="3" l="1"/>
  <c r="B37" i="6"/>
  <c r="I37" i="6"/>
  <c r="C37" i="6"/>
  <c r="AD2" i="3"/>
  <c r="C38" i="6"/>
  <c r="B38" i="6"/>
  <c r="I38" i="6"/>
  <c r="L28" i="6"/>
  <c r="M28" i="6" s="1"/>
  <c r="E37" i="6"/>
  <c r="F37" i="6" s="1"/>
  <c r="L37" i="6"/>
  <c r="M37" i="6" s="1"/>
  <c r="AE2" i="3"/>
  <c r="B39" i="6"/>
  <c r="I39" i="6"/>
  <c r="C39" i="6"/>
  <c r="AF2" i="3"/>
  <c r="B40" i="6"/>
  <c r="I40" i="6"/>
  <c r="C40" i="6"/>
  <c r="L30" i="6"/>
  <c r="M30" i="6" s="1"/>
  <c r="L29" i="6"/>
  <c r="L31" i="6"/>
  <c r="M31" i="6" s="1"/>
  <c r="AB2" i="3"/>
  <c r="C36" i="6"/>
  <c r="B36" i="6"/>
  <c r="I36" i="6"/>
  <c r="L27" i="6"/>
  <c r="M27" i="6" s="1"/>
  <c r="L32" i="6"/>
  <c r="E30" i="6"/>
  <c r="F30" i="6" s="1"/>
  <c r="E31" i="6"/>
  <c r="F31" i="6" s="1"/>
  <c r="M32" i="6"/>
  <c r="E32" i="6"/>
  <c r="F32" i="6" s="1"/>
  <c r="E27" i="6"/>
  <c r="F27" i="6" s="1"/>
  <c r="E28" i="6"/>
  <c r="F28" i="6" s="1"/>
  <c r="M29" i="6"/>
  <c r="E29" i="6"/>
  <c r="F29" i="6" s="1"/>
  <c r="F1" i="1"/>
  <c r="AI499" i="1"/>
  <c r="AH499" i="1"/>
  <c r="AG499" i="1"/>
  <c r="AF499" i="1"/>
  <c r="AE499" i="1"/>
  <c r="AD499" i="1"/>
  <c r="AI498" i="1"/>
  <c r="AH498" i="1"/>
  <c r="AG498" i="1"/>
  <c r="AF498" i="1"/>
  <c r="AE498" i="1"/>
  <c r="AD498" i="1"/>
  <c r="AI497" i="1"/>
  <c r="AH497" i="1"/>
  <c r="AG497" i="1"/>
  <c r="AF497" i="1"/>
  <c r="AE497" i="1"/>
  <c r="AD497" i="1"/>
  <c r="AI496" i="1"/>
  <c r="AH496" i="1"/>
  <c r="AG496" i="1"/>
  <c r="AF496" i="1"/>
  <c r="AE496" i="1"/>
  <c r="AD496" i="1"/>
  <c r="AI495" i="1"/>
  <c r="AH495" i="1"/>
  <c r="AG495" i="1"/>
  <c r="AF495" i="1"/>
  <c r="AE495" i="1"/>
  <c r="AD495" i="1"/>
  <c r="AI494" i="1"/>
  <c r="AH494" i="1"/>
  <c r="AG494" i="1"/>
  <c r="AF494" i="1"/>
  <c r="AE494" i="1"/>
  <c r="AD494" i="1"/>
  <c r="AI493" i="1"/>
  <c r="AH493" i="1"/>
  <c r="AG493" i="1"/>
  <c r="AF493" i="1"/>
  <c r="AE493" i="1"/>
  <c r="AD493" i="1"/>
  <c r="AI492" i="1"/>
  <c r="AH492" i="1"/>
  <c r="AG492" i="1"/>
  <c r="AF492" i="1"/>
  <c r="AE492" i="1"/>
  <c r="AD492" i="1"/>
  <c r="AI491" i="1"/>
  <c r="AH491" i="1"/>
  <c r="AG491" i="1"/>
  <c r="AF491" i="1"/>
  <c r="AE491" i="1"/>
  <c r="AD491" i="1"/>
  <c r="AI490" i="1"/>
  <c r="AH490" i="1"/>
  <c r="AG490" i="1"/>
  <c r="AF490" i="1"/>
  <c r="AE490" i="1"/>
  <c r="AD490" i="1"/>
  <c r="AI489" i="1"/>
  <c r="AH489" i="1"/>
  <c r="AG489" i="1"/>
  <c r="AF489" i="1"/>
  <c r="AE489" i="1"/>
  <c r="AD489" i="1"/>
  <c r="AI488" i="1"/>
  <c r="AH488" i="1"/>
  <c r="AG488" i="1"/>
  <c r="AF488" i="1"/>
  <c r="AE488" i="1"/>
  <c r="AD488" i="1"/>
  <c r="AI487" i="1"/>
  <c r="AH487" i="1"/>
  <c r="AG487" i="1"/>
  <c r="AF487" i="1"/>
  <c r="AE487" i="1"/>
  <c r="AD487" i="1"/>
  <c r="AI486" i="1"/>
  <c r="AH486" i="1"/>
  <c r="AG486" i="1"/>
  <c r="AF486" i="1"/>
  <c r="AE486" i="1"/>
  <c r="AD486" i="1"/>
  <c r="AI485" i="1"/>
  <c r="AH485" i="1"/>
  <c r="AG485" i="1"/>
  <c r="AF485" i="1"/>
  <c r="AE485" i="1"/>
  <c r="AD485" i="1"/>
  <c r="AI484" i="1"/>
  <c r="AH484" i="1"/>
  <c r="AG484" i="1"/>
  <c r="AF484" i="1"/>
  <c r="AE484" i="1"/>
  <c r="AD484" i="1"/>
  <c r="AI483" i="1"/>
  <c r="AH483" i="1"/>
  <c r="AG483" i="1"/>
  <c r="AF483" i="1"/>
  <c r="AE483" i="1"/>
  <c r="AD483" i="1"/>
  <c r="AI482" i="1"/>
  <c r="AH482" i="1"/>
  <c r="AG482" i="1"/>
  <c r="AF482" i="1"/>
  <c r="AE482" i="1"/>
  <c r="AD482" i="1"/>
  <c r="AI481" i="1"/>
  <c r="AH481" i="1"/>
  <c r="AG481" i="1"/>
  <c r="AF481" i="1"/>
  <c r="AE481" i="1"/>
  <c r="AD481" i="1"/>
  <c r="AI480" i="1"/>
  <c r="AH480" i="1"/>
  <c r="AG480" i="1"/>
  <c r="AF480" i="1"/>
  <c r="AE480" i="1"/>
  <c r="AD480" i="1"/>
  <c r="AI479" i="1"/>
  <c r="AH479" i="1"/>
  <c r="AG479" i="1"/>
  <c r="AF479" i="1"/>
  <c r="AE479" i="1"/>
  <c r="AD479" i="1"/>
  <c r="AI478" i="1"/>
  <c r="AH478" i="1"/>
  <c r="AG478" i="1"/>
  <c r="AF478" i="1"/>
  <c r="AE478" i="1"/>
  <c r="AD478" i="1"/>
  <c r="AI477" i="1"/>
  <c r="AH477" i="1"/>
  <c r="AG477" i="1"/>
  <c r="AF477" i="1"/>
  <c r="AE477" i="1"/>
  <c r="AD477" i="1"/>
  <c r="AI476" i="1"/>
  <c r="AH476" i="1"/>
  <c r="AG476" i="1"/>
  <c r="AF476" i="1"/>
  <c r="AE476" i="1"/>
  <c r="AD476" i="1"/>
  <c r="AI475" i="1"/>
  <c r="AH475" i="1"/>
  <c r="AG475" i="1"/>
  <c r="AF475" i="1"/>
  <c r="AE475" i="1"/>
  <c r="AD475" i="1"/>
  <c r="AI474" i="1"/>
  <c r="AH474" i="1"/>
  <c r="AG474" i="1"/>
  <c r="AF474" i="1"/>
  <c r="AE474" i="1"/>
  <c r="AD474" i="1"/>
  <c r="AI473" i="1"/>
  <c r="AH473" i="1"/>
  <c r="AG473" i="1"/>
  <c r="AF473" i="1"/>
  <c r="AE473" i="1"/>
  <c r="AD473" i="1"/>
  <c r="AI472" i="1"/>
  <c r="AH472" i="1"/>
  <c r="AG472" i="1"/>
  <c r="AF472" i="1"/>
  <c r="AE472" i="1"/>
  <c r="AD472" i="1"/>
  <c r="AI471" i="1"/>
  <c r="AH471" i="1"/>
  <c r="AG471" i="1"/>
  <c r="AF471" i="1"/>
  <c r="AE471" i="1"/>
  <c r="AD471" i="1"/>
  <c r="AI470" i="1"/>
  <c r="AH470" i="1"/>
  <c r="AG470" i="1"/>
  <c r="AF470" i="1"/>
  <c r="AE470" i="1"/>
  <c r="AD470" i="1"/>
  <c r="AI469" i="1"/>
  <c r="AH469" i="1"/>
  <c r="AG469" i="1"/>
  <c r="AF469" i="1"/>
  <c r="AE469" i="1"/>
  <c r="AD469" i="1"/>
  <c r="AI468" i="1"/>
  <c r="AH468" i="1"/>
  <c r="AG468" i="1"/>
  <c r="AF468" i="1"/>
  <c r="AE468" i="1"/>
  <c r="AD468" i="1"/>
  <c r="AI467" i="1"/>
  <c r="AH467" i="1"/>
  <c r="AG467" i="1"/>
  <c r="AF467" i="1"/>
  <c r="AE467" i="1"/>
  <c r="AD467" i="1"/>
  <c r="AI466" i="1"/>
  <c r="AH466" i="1"/>
  <c r="AG466" i="1"/>
  <c r="AF466" i="1"/>
  <c r="AE466" i="1"/>
  <c r="AD466" i="1"/>
  <c r="AI465" i="1"/>
  <c r="AH465" i="1"/>
  <c r="AG465" i="1"/>
  <c r="AF465" i="1"/>
  <c r="AE465" i="1"/>
  <c r="AD465" i="1"/>
  <c r="AI464" i="1"/>
  <c r="AH464" i="1"/>
  <c r="AG464" i="1"/>
  <c r="AF464" i="1"/>
  <c r="AE464" i="1"/>
  <c r="AD464" i="1"/>
  <c r="AI463" i="1"/>
  <c r="AH463" i="1"/>
  <c r="AG463" i="1"/>
  <c r="AF463" i="1"/>
  <c r="AE463" i="1"/>
  <c r="AD463" i="1"/>
  <c r="AI462" i="1"/>
  <c r="AH462" i="1"/>
  <c r="AG462" i="1"/>
  <c r="AF462" i="1"/>
  <c r="AE462" i="1"/>
  <c r="AD462" i="1"/>
  <c r="AI461" i="1"/>
  <c r="AH461" i="1"/>
  <c r="AG461" i="1"/>
  <c r="AF461" i="1"/>
  <c r="AE461" i="1"/>
  <c r="AD461" i="1"/>
  <c r="AI460" i="1"/>
  <c r="AH460" i="1"/>
  <c r="AG460" i="1"/>
  <c r="AF460" i="1"/>
  <c r="AE460" i="1"/>
  <c r="AD460" i="1"/>
  <c r="AI459" i="1"/>
  <c r="AH459" i="1"/>
  <c r="AG459" i="1"/>
  <c r="AF459" i="1"/>
  <c r="AE459" i="1"/>
  <c r="AD459" i="1"/>
  <c r="AI458" i="1"/>
  <c r="AH458" i="1"/>
  <c r="AG458" i="1"/>
  <c r="AF458" i="1"/>
  <c r="AE458" i="1"/>
  <c r="AD458" i="1"/>
  <c r="AI457" i="1"/>
  <c r="AH457" i="1"/>
  <c r="AG457" i="1"/>
  <c r="AF457" i="1"/>
  <c r="AE457" i="1"/>
  <c r="AD457" i="1"/>
  <c r="AI456" i="1"/>
  <c r="AH456" i="1"/>
  <c r="AG456" i="1"/>
  <c r="AF456" i="1"/>
  <c r="AE456" i="1"/>
  <c r="AD456" i="1"/>
  <c r="AI455" i="1"/>
  <c r="AH455" i="1"/>
  <c r="AG455" i="1"/>
  <c r="AF455" i="1"/>
  <c r="AE455" i="1"/>
  <c r="AD455" i="1"/>
  <c r="AI454" i="1"/>
  <c r="AH454" i="1"/>
  <c r="AG454" i="1"/>
  <c r="AF454" i="1"/>
  <c r="AE454" i="1"/>
  <c r="AD454" i="1"/>
  <c r="AI453" i="1"/>
  <c r="AH453" i="1"/>
  <c r="AG453" i="1"/>
  <c r="AF453" i="1"/>
  <c r="AE453" i="1"/>
  <c r="AD453" i="1"/>
  <c r="AI452" i="1"/>
  <c r="AH452" i="1"/>
  <c r="AG452" i="1"/>
  <c r="AF452" i="1"/>
  <c r="AE452" i="1"/>
  <c r="AD452" i="1"/>
  <c r="AI451" i="1"/>
  <c r="AH451" i="1"/>
  <c r="AG451" i="1"/>
  <c r="AF451" i="1"/>
  <c r="AE451" i="1"/>
  <c r="AD451" i="1"/>
  <c r="AI450" i="1"/>
  <c r="AH450" i="1"/>
  <c r="AG450" i="1"/>
  <c r="AF450" i="1"/>
  <c r="AE450" i="1"/>
  <c r="AD450" i="1"/>
  <c r="AI449" i="1"/>
  <c r="AH449" i="1"/>
  <c r="AG449" i="1"/>
  <c r="AF449" i="1"/>
  <c r="AE449" i="1"/>
  <c r="AD449" i="1"/>
  <c r="AI448" i="1"/>
  <c r="AH448" i="1"/>
  <c r="AG448" i="1"/>
  <c r="AF448" i="1"/>
  <c r="AE448" i="1"/>
  <c r="AD448" i="1"/>
  <c r="AI447" i="1"/>
  <c r="AH447" i="1"/>
  <c r="AG447" i="1"/>
  <c r="AF447" i="1"/>
  <c r="AE447" i="1"/>
  <c r="AD447" i="1"/>
  <c r="AI446" i="1"/>
  <c r="AH446" i="1"/>
  <c r="AG446" i="1"/>
  <c r="AF446" i="1"/>
  <c r="AE446" i="1"/>
  <c r="AD446" i="1"/>
  <c r="AI445" i="1"/>
  <c r="AH445" i="1"/>
  <c r="AG445" i="1"/>
  <c r="AF445" i="1"/>
  <c r="AE445" i="1"/>
  <c r="AD445" i="1"/>
  <c r="AI444" i="1"/>
  <c r="AH444" i="1"/>
  <c r="AG444" i="1"/>
  <c r="AF444" i="1"/>
  <c r="AE444" i="1"/>
  <c r="AD444" i="1"/>
  <c r="AI443" i="1"/>
  <c r="AH443" i="1"/>
  <c r="AG443" i="1"/>
  <c r="AF443" i="1"/>
  <c r="AE443" i="1"/>
  <c r="AD443" i="1"/>
  <c r="AI442" i="1"/>
  <c r="AH442" i="1"/>
  <c r="AG442" i="1"/>
  <c r="AF442" i="1"/>
  <c r="AE442" i="1"/>
  <c r="AD442" i="1"/>
  <c r="AI441" i="1"/>
  <c r="AH441" i="1"/>
  <c r="AG441" i="1"/>
  <c r="AF441" i="1"/>
  <c r="AE441" i="1"/>
  <c r="AD441" i="1"/>
  <c r="AI440" i="1"/>
  <c r="AH440" i="1"/>
  <c r="AG440" i="1"/>
  <c r="AF440" i="1"/>
  <c r="AE440" i="1"/>
  <c r="AD440" i="1"/>
  <c r="AI439" i="1"/>
  <c r="AH439" i="1"/>
  <c r="AG439" i="1"/>
  <c r="AF439" i="1"/>
  <c r="AE439" i="1"/>
  <c r="AD439" i="1"/>
  <c r="AI438" i="1"/>
  <c r="AH438" i="1"/>
  <c r="AG438" i="1"/>
  <c r="AF438" i="1"/>
  <c r="AE438" i="1"/>
  <c r="AD438" i="1"/>
  <c r="AI437" i="1"/>
  <c r="AH437" i="1"/>
  <c r="AG437" i="1"/>
  <c r="AF437" i="1"/>
  <c r="AE437" i="1"/>
  <c r="AD437" i="1"/>
  <c r="AI436" i="1"/>
  <c r="AH436" i="1"/>
  <c r="AG436" i="1"/>
  <c r="AF436" i="1"/>
  <c r="AE436" i="1"/>
  <c r="AD436" i="1"/>
  <c r="AI435" i="1"/>
  <c r="AH435" i="1"/>
  <c r="AG435" i="1"/>
  <c r="AF435" i="1"/>
  <c r="AE435" i="1"/>
  <c r="AD435" i="1"/>
  <c r="AI434" i="1"/>
  <c r="AH434" i="1"/>
  <c r="AG434" i="1"/>
  <c r="AF434" i="1"/>
  <c r="AE434" i="1"/>
  <c r="AD434" i="1"/>
  <c r="AI433" i="1"/>
  <c r="AH433" i="1"/>
  <c r="AG433" i="1"/>
  <c r="AF433" i="1"/>
  <c r="AE433" i="1"/>
  <c r="AD433" i="1"/>
  <c r="AI432" i="1"/>
  <c r="AH432" i="1"/>
  <c r="AG432" i="1"/>
  <c r="AF432" i="1"/>
  <c r="AE432" i="1"/>
  <c r="AD432" i="1"/>
  <c r="AI431" i="1"/>
  <c r="AH431" i="1"/>
  <c r="AG431" i="1"/>
  <c r="AF431" i="1"/>
  <c r="AE431" i="1"/>
  <c r="AD431" i="1"/>
  <c r="AI430" i="1"/>
  <c r="AH430" i="1"/>
  <c r="AG430" i="1"/>
  <c r="AF430" i="1"/>
  <c r="AE430" i="1"/>
  <c r="AD430" i="1"/>
  <c r="AI429" i="1"/>
  <c r="AH429" i="1"/>
  <c r="AG429" i="1"/>
  <c r="AF429" i="1"/>
  <c r="AE429" i="1"/>
  <c r="AD429" i="1"/>
  <c r="AI428" i="1"/>
  <c r="AH428" i="1"/>
  <c r="AG428" i="1"/>
  <c r="AF428" i="1"/>
  <c r="AE428" i="1"/>
  <c r="AD428" i="1"/>
  <c r="AI427" i="1"/>
  <c r="AH427" i="1"/>
  <c r="AG427" i="1"/>
  <c r="AF427" i="1"/>
  <c r="AE427" i="1"/>
  <c r="AD427" i="1"/>
  <c r="AI426" i="1"/>
  <c r="AH426" i="1"/>
  <c r="AG426" i="1"/>
  <c r="AF426" i="1"/>
  <c r="AE426" i="1"/>
  <c r="AD426" i="1"/>
  <c r="AI425" i="1"/>
  <c r="AH425" i="1"/>
  <c r="AG425" i="1"/>
  <c r="AF425" i="1"/>
  <c r="AE425" i="1"/>
  <c r="AD425" i="1"/>
  <c r="AI424" i="1"/>
  <c r="AH424" i="1"/>
  <c r="AG424" i="1"/>
  <c r="AF424" i="1"/>
  <c r="AE424" i="1"/>
  <c r="AD424" i="1"/>
  <c r="AI423" i="1"/>
  <c r="AH423" i="1"/>
  <c r="AG423" i="1"/>
  <c r="AF423" i="1"/>
  <c r="AE423" i="1"/>
  <c r="AD423" i="1"/>
  <c r="AI422" i="1"/>
  <c r="AH422" i="1"/>
  <c r="AG422" i="1"/>
  <c r="AF422" i="1"/>
  <c r="AE422" i="1"/>
  <c r="AD422" i="1"/>
  <c r="AI421" i="1"/>
  <c r="AH421" i="1"/>
  <c r="AG421" i="1"/>
  <c r="AF421" i="1"/>
  <c r="AE421" i="1"/>
  <c r="AD421" i="1"/>
  <c r="AI420" i="1"/>
  <c r="AH420" i="1"/>
  <c r="AG420" i="1"/>
  <c r="AF420" i="1"/>
  <c r="AE420" i="1"/>
  <c r="AD420" i="1"/>
  <c r="AI419" i="1"/>
  <c r="AH419" i="1"/>
  <c r="AG419" i="1"/>
  <c r="AF419" i="1"/>
  <c r="AE419" i="1"/>
  <c r="AD419" i="1"/>
  <c r="AI418" i="1"/>
  <c r="AH418" i="1"/>
  <c r="AG418" i="1"/>
  <c r="AF418" i="1"/>
  <c r="AE418" i="1"/>
  <c r="AD418" i="1"/>
  <c r="AI417" i="1"/>
  <c r="AH417" i="1"/>
  <c r="AG417" i="1"/>
  <c r="AF417" i="1"/>
  <c r="AE417" i="1"/>
  <c r="AD417" i="1"/>
  <c r="AI416" i="1"/>
  <c r="AH416" i="1"/>
  <c r="AG416" i="1"/>
  <c r="AF416" i="1"/>
  <c r="AE416" i="1"/>
  <c r="AD416" i="1"/>
  <c r="AI415" i="1"/>
  <c r="AH415" i="1"/>
  <c r="AG415" i="1"/>
  <c r="AF415" i="1"/>
  <c r="AE415" i="1"/>
  <c r="AD415" i="1"/>
  <c r="AI414" i="1"/>
  <c r="AH414" i="1"/>
  <c r="AG414" i="1"/>
  <c r="AF414" i="1"/>
  <c r="AE414" i="1"/>
  <c r="AD414" i="1"/>
  <c r="AI413" i="1"/>
  <c r="AH413" i="1"/>
  <c r="AG413" i="1"/>
  <c r="AF413" i="1"/>
  <c r="AE413" i="1"/>
  <c r="AD413" i="1"/>
  <c r="AI412" i="1"/>
  <c r="AH412" i="1"/>
  <c r="AG412" i="1"/>
  <c r="AF412" i="1"/>
  <c r="AE412" i="1"/>
  <c r="AD412" i="1"/>
  <c r="AI411" i="1"/>
  <c r="AH411" i="1"/>
  <c r="AG411" i="1"/>
  <c r="AF411" i="1"/>
  <c r="AE411" i="1"/>
  <c r="AD411" i="1"/>
  <c r="AI410" i="1"/>
  <c r="AH410" i="1"/>
  <c r="AG410" i="1"/>
  <c r="AF410" i="1"/>
  <c r="AE410" i="1"/>
  <c r="AD410" i="1"/>
  <c r="AI409" i="1"/>
  <c r="AH409" i="1"/>
  <c r="AG409" i="1"/>
  <c r="AF409" i="1"/>
  <c r="AE409" i="1"/>
  <c r="AD409" i="1"/>
  <c r="AI408" i="1"/>
  <c r="AH408" i="1"/>
  <c r="AG408" i="1"/>
  <c r="AF408" i="1"/>
  <c r="AE408" i="1"/>
  <c r="AD408" i="1"/>
  <c r="AI407" i="1"/>
  <c r="AH407" i="1"/>
  <c r="AG407" i="1"/>
  <c r="AF407" i="1"/>
  <c r="AE407" i="1"/>
  <c r="AD407" i="1"/>
  <c r="AI406" i="1"/>
  <c r="AH406" i="1"/>
  <c r="AG406" i="1"/>
  <c r="AF406" i="1"/>
  <c r="AE406" i="1"/>
  <c r="AD406" i="1"/>
  <c r="AI405" i="1"/>
  <c r="AH405" i="1"/>
  <c r="AG405" i="1"/>
  <c r="AF405" i="1"/>
  <c r="AE405" i="1"/>
  <c r="AD405" i="1"/>
  <c r="AI404" i="1"/>
  <c r="AH404" i="1"/>
  <c r="AG404" i="1"/>
  <c r="AF404" i="1"/>
  <c r="AE404" i="1"/>
  <c r="AD404" i="1"/>
  <c r="AI403" i="1"/>
  <c r="AH403" i="1"/>
  <c r="AG403" i="1"/>
  <c r="AF403" i="1"/>
  <c r="AE403" i="1"/>
  <c r="AD403" i="1"/>
  <c r="AI402" i="1"/>
  <c r="AH402" i="1"/>
  <c r="AG402" i="1"/>
  <c r="AF402" i="1"/>
  <c r="AE402" i="1"/>
  <c r="AD402" i="1"/>
  <c r="AI401" i="1"/>
  <c r="AH401" i="1"/>
  <c r="AG401" i="1"/>
  <c r="AF401" i="1"/>
  <c r="AE401" i="1"/>
  <c r="AD401" i="1"/>
  <c r="AI400" i="1"/>
  <c r="AH400" i="1"/>
  <c r="AG400" i="1"/>
  <c r="AF400" i="1"/>
  <c r="AE400" i="1"/>
  <c r="AD400" i="1"/>
  <c r="AI399" i="1"/>
  <c r="AH399" i="1"/>
  <c r="AG399" i="1"/>
  <c r="AF399" i="1"/>
  <c r="AE399" i="1"/>
  <c r="AD399" i="1"/>
  <c r="AI398" i="1"/>
  <c r="AH398" i="1"/>
  <c r="AG398" i="1"/>
  <c r="AF398" i="1"/>
  <c r="AE398" i="1"/>
  <c r="AD398" i="1"/>
  <c r="AI397" i="1"/>
  <c r="AH397" i="1"/>
  <c r="AG397" i="1"/>
  <c r="AF397" i="1"/>
  <c r="AE397" i="1"/>
  <c r="AD397" i="1"/>
  <c r="AI396" i="1"/>
  <c r="AH396" i="1"/>
  <c r="AG396" i="1"/>
  <c r="AF396" i="1"/>
  <c r="AE396" i="1"/>
  <c r="AD396" i="1"/>
  <c r="AI395" i="1"/>
  <c r="AH395" i="1"/>
  <c r="AG395" i="1"/>
  <c r="AF395" i="1"/>
  <c r="AE395" i="1"/>
  <c r="AD395" i="1"/>
  <c r="AI394" i="1"/>
  <c r="AH394" i="1"/>
  <c r="AG394" i="1"/>
  <c r="AF394" i="1"/>
  <c r="AE394" i="1"/>
  <c r="AD394" i="1"/>
  <c r="AI393" i="1"/>
  <c r="AH393" i="1"/>
  <c r="AG393" i="1"/>
  <c r="AF393" i="1"/>
  <c r="AE393" i="1"/>
  <c r="AD393" i="1"/>
  <c r="AI392" i="1"/>
  <c r="AH392" i="1"/>
  <c r="AG392" i="1"/>
  <c r="AF392" i="1"/>
  <c r="AE392" i="1"/>
  <c r="AD392" i="1"/>
  <c r="AI391" i="1"/>
  <c r="AH391" i="1"/>
  <c r="AG391" i="1"/>
  <c r="AF391" i="1"/>
  <c r="AE391" i="1"/>
  <c r="AD391" i="1"/>
  <c r="AI390" i="1"/>
  <c r="AH390" i="1"/>
  <c r="AG390" i="1"/>
  <c r="AF390" i="1"/>
  <c r="AE390" i="1"/>
  <c r="AD390" i="1"/>
  <c r="AI389" i="1"/>
  <c r="AH389" i="1"/>
  <c r="AG389" i="1"/>
  <c r="AF389" i="1"/>
  <c r="AE389" i="1"/>
  <c r="AD389" i="1"/>
  <c r="AI388" i="1"/>
  <c r="AH388" i="1"/>
  <c r="AG388" i="1"/>
  <c r="AF388" i="1"/>
  <c r="AE388" i="1"/>
  <c r="AD388" i="1"/>
  <c r="AI387" i="1"/>
  <c r="AH387" i="1"/>
  <c r="AG387" i="1"/>
  <c r="AF387" i="1"/>
  <c r="AE387" i="1"/>
  <c r="AD387" i="1"/>
  <c r="AI386" i="1"/>
  <c r="AH386" i="1"/>
  <c r="AG386" i="1"/>
  <c r="AF386" i="1"/>
  <c r="AE386" i="1"/>
  <c r="AD386" i="1"/>
  <c r="AI385" i="1"/>
  <c r="AH385" i="1"/>
  <c r="AG385" i="1"/>
  <c r="AF385" i="1"/>
  <c r="AE385" i="1"/>
  <c r="AD385" i="1"/>
  <c r="AI384" i="1"/>
  <c r="AH384" i="1"/>
  <c r="AG384" i="1"/>
  <c r="AF384" i="1"/>
  <c r="AE384" i="1"/>
  <c r="AD384" i="1"/>
  <c r="AI383" i="1"/>
  <c r="AH383" i="1"/>
  <c r="AG383" i="1"/>
  <c r="AF383" i="1"/>
  <c r="AE383" i="1"/>
  <c r="AD383" i="1"/>
  <c r="AI382" i="1"/>
  <c r="AH382" i="1"/>
  <c r="AG382" i="1"/>
  <c r="AF382" i="1"/>
  <c r="AE382" i="1"/>
  <c r="AD382" i="1"/>
  <c r="AI381" i="1"/>
  <c r="AH381" i="1"/>
  <c r="AG381" i="1"/>
  <c r="AF381" i="1"/>
  <c r="AE381" i="1"/>
  <c r="AD381" i="1"/>
  <c r="AI380" i="1"/>
  <c r="AH380" i="1"/>
  <c r="AG380" i="1"/>
  <c r="AF380" i="1"/>
  <c r="AE380" i="1"/>
  <c r="AD380" i="1"/>
  <c r="AI379" i="1"/>
  <c r="AH379" i="1"/>
  <c r="AG379" i="1"/>
  <c r="AF379" i="1"/>
  <c r="AE379" i="1"/>
  <c r="AD379" i="1"/>
  <c r="AI378" i="1"/>
  <c r="AH378" i="1"/>
  <c r="AG378" i="1"/>
  <c r="AF378" i="1"/>
  <c r="AE378" i="1"/>
  <c r="AD378" i="1"/>
  <c r="AI377" i="1"/>
  <c r="AH377" i="1"/>
  <c r="AG377" i="1"/>
  <c r="AF377" i="1"/>
  <c r="AE377" i="1"/>
  <c r="AD377" i="1"/>
  <c r="AI376" i="1"/>
  <c r="AH376" i="1"/>
  <c r="AG376" i="1"/>
  <c r="AF376" i="1"/>
  <c r="AE376" i="1"/>
  <c r="AD376" i="1"/>
  <c r="AI375" i="1"/>
  <c r="AH375" i="1"/>
  <c r="AG375" i="1"/>
  <c r="AF375" i="1"/>
  <c r="AE375" i="1"/>
  <c r="AD375" i="1"/>
  <c r="AI374" i="1"/>
  <c r="AH374" i="1"/>
  <c r="AG374" i="1"/>
  <c r="AF374" i="1"/>
  <c r="AE374" i="1"/>
  <c r="AD374" i="1"/>
  <c r="AI373" i="1"/>
  <c r="AH373" i="1"/>
  <c r="AG373" i="1"/>
  <c r="AF373" i="1"/>
  <c r="AE373" i="1"/>
  <c r="AD373" i="1"/>
  <c r="AI372" i="1"/>
  <c r="AH372" i="1"/>
  <c r="AG372" i="1"/>
  <c r="AF372" i="1"/>
  <c r="AE372" i="1"/>
  <c r="AD372" i="1"/>
  <c r="AI371" i="1"/>
  <c r="AH371" i="1"/>
  <c r="AG371" i="1"/>
  <c r="AF371" i="1"/>
  <c r="AE371" i="1"/>
  <c r="AD371" i="1"/>
  <c r="AI370" i="1"/>
  <c r="AH370" i="1"/>
  <c r="AG370" i="1"/>
  <c r="AF370" i="1"/>
  <c r="AE370" i="1"/>
  <c r="AD370" i="1"/>
  <c r="AI369" i="1"/>
  <c r="AH369" i="1"/>
  <c r="AG369" i="1"/>
  <c r="AF369" i="1"/>
  <c r="AE369" i="1"/>
  <c r="AD369" i="1"/>
  <c r="AI368" i="1"/>
  <c r="AH368" i="1"/>
  <c r="AG368" i="1"/>
  <c r="AF368" i="1"/>
  <c r="AE368" i="1"/>
  <c r="AD368" i="1"/>
  <c r="AI367" i="1"/>
  <c r="AH367" i="1"/>
  <c r="AG367" i="1"/>
  <c r="AF367" i="1"/>
  <c r="AE367" i="1"/>
  <c r="AD367" i="1"/>
  <c r="AI366" i="1"/>
  <c r="AH366" i="1"/>
  <c r="AG366" i="1"/>
  <c r="AF366" i="1"/>
  <c r="AE366" i="1"/>
  <c r="AD366" i="1"/>
  <c r="AI365" i="1"/>
  <c r="AH365" i="1"/>
  <c r="AG365" i="1"/>
  <c r="AF365" i="1"/>
  <c r="AE365" i="1"/>
  <c r="AD365" i="1"/>
  <c r="AI364" i="1"/>
  <c r="AH364" i="1"/>
  <c r="AG364" i="1"/>
  <c r="AF364" i="1"/>
  <c r="AE364" i="1"/>
  <c r="AD364" i="1"/>
  <c r="AI363" i="1"/>
  <c r="AH363" i="1"/>
  <c r="AG363" i="1"/>
  <c r="AF363" i="1"/>
  <c r="AE363" i="1"/>
  <c r="AD363" i="1"/>
  <c r="AI362" i="1"/>
  <c r="AH362" i="1"/>
  <c r="AG362" i="1"/>
  <c r="AF362" i="1"/>
  <c r="AE362" i="1"/>
  <c r="AD362" i="1"/>
  <c r="AI361" i="1"/>
  <c r="AH361" i="1"/>
  <c r="AG361" i="1"/>
  <c r="AF361" i="1"/>
  <c r="AE361" i="1"/>
  <c r="AD361" i="1"/>
  <c r="AI360" i="1"/>
  <c r="AH360" i="1"/>
  <c r="AG360" i="1"/>
  <c r="AF360" i="1"/>
  <c r="AE360" i="1"/>
  <c r="AD360" i="1"/>
  <c r="AI359" i="1"/>
  <c r="AH359" i="1"/>
  <c r="AG359" i="1"/>
  <c r="AF359" i="1"/>
  <c r="AE359" i="1"/>
  <c r="AD359" i="1"/>
  <c r="AI358" i="1"/>
  <c r="AH358" i="1"/>
  <c r="AG358" i="1"/>
  <c r="AF358" i="1"/>
  <c r="AE358" i="1"/>
  <c r="AD358" i="1"/>
  <c r="AI357" i="1"/>
  <c r="AH357" i="1"/>
  <c r="AG357" i="1"/>
  <c r="AF357" i="1"/>
  <c r="AE357" i="1"/>
  <c r="AD357" i="1"/>
  <c r="AI356" i="1"/>
  <c r="AH356" i="1"/>
  <c r="AG356" i="1"/>
  <c r="AF356" i="1"/>
  <c r="AE356" i="1"/>
  <c r="AD356" i="1"/>
  <c r="AI355" i="1"/>
  <c r="AH355" i="1"/>
  <c r="AG355" i="1"/>
  <c r="AF355" i="1"/>
  <c r="AE355" i="1"/>
  <c r="AD355" i="1"/>
  <c r="AI354" i="1"/>
  <c r="AH354" i="1"/>
  <c r="AG354" i="1"/>
  <c r="AF354" i="1"/>
  <c r="AE354" i="1"/>
  <c r="AD354" i="1"/>
  <c r="AI353" i="1"/>
  <c r="AH353" i="1"/>
  <c r="AG353" i="1"/>
  <c r="AF353" i="1"/>
  <c r="AE353" i="1"/>
  <c r="AD353" i="1"/>
  <c r="AI352" i="1"/>
  <c r="AH352" i="1"/>
  <c r="AG352" i="1"/>
  <c r="AF352" i="1"/>
  <c r="AE352" i="1"/>
  <c r="AD352" i="1"/>
  <c r="AI351" i="1"/>
  <c r="AH351" i="1"/>
  <c r="AG351" i="1"/>
  <c r="AF351" i="1"/>
  <c r="AE351" i="1"/>
  <c r="AD351" i="1"/>
  <c r="AI350" i="1"/>
  <c r="AH350" i="1"/>
  <c r="AG350" i="1"/>
  <c r="AF350" i="1"/>
  <c r="AE350" i="1"/>
  <c r="AD350" i="1"/>
  <c r="AI349" i="1"/>
  <c r="AH349" i="1"/>
  <c r="AG349" i="1"/>
  <c r="AF349" i="1"/>
  <c r="AE349" i="1"/>
  <c r="AD349" i="1"/>
  <c r="AI348" i="1"/>
  <c r="AH348" i="1"/>
  <c r="AG348" i="1"/>
  <c r="AF348" i="1"/>
  <c r="AE348" i="1"/>
  <c r="AD348" i="1"/>
  <c r="AI347" i="1"/>
  <c r="AH347" i="1"/>
  <c r="AG347" i="1"/>
  <c r="AF347" i="1"/>
  <c r="AE347" i="1"/>
  <c r="AD347" i="1"/>
  <c r="AI346" i="1"/>
  <c r="AH346" i="1"/>
  <c r="AG346" i="1"/>
  <c r="AF346" i="1"/>
  <c r="AE346" i="1"/>
  <c r="AD346" i="1"/>
  <c r="AI345" i="1"/>
  <c r="AH345" i="1"/>
  <c r="AG345" i="1"/>
  <c r="AF345" i="1"/>
  <c r="AE345" i="1"/>
  <c r="AD345" i="1"/>
  <c r="AI344" i="1"/>
  <c r="AH344" i="1"/>
  <c r="AG344" i="1"/>
  <c r="AF344" i="1"/>
  <c r="AE344" i="1"/>
  <c r="AD344" i="1"/>
  <c r="AI343" i="1"/>
  <c r="AH343" i="1"/>
  <c r="AG343" i="1"/>
  <c r="AF343" i="1"/>
  <c r="AE343" i="1"/>
  <c r="AD343" i="1"/>
  <c r="AI342" i="1"/>
  <c r="AH342" i="1"/>
  <c r="AG342" i="1"/>
  <c r="AF342" i="1"/>
  <c r="AE342" i="1"/>
  <c r="AD342" i="1"/>
  <c r="AI341" i="1"/>
  <c r="AH341" i="1"/>
  <c r="AG341" i="1"/>
  <c r="AF341" i="1"/>
  <c r="AE341" i="1"/>
  <c r="AD341" i="1"/>
  <c r="AI340" i="1"/>
  <c r="AH340" i="1"/>
  <c r="AG340" i="1"/>
  <c r="AF340" i="1"/>
  <c r="AE340" i="1"/>
  <c r="AD340" i="1"/>
  <c r="AI339" i="1"/>
  <c r="AH339" i="1"/>
  <c r="AG339" i="1"/>
  <c r="AF339" i="1"/>
  <c r="AE339" i="1"/>
  <c r="AD339" i="1"/>
  <c r="AI338" i="1"/>
  <c r="AH338" i="1"/>
  <c r="AG338" i="1"/>
  <c r="AF338" i="1"/>
  <c r="AE338" i="1"/>
  <c r="AD338" i="1"/>
  <c r="AI337" i="1"/>
  <c r="AH337" i="1"/>
  <c r="AG337" i="1"/>
  <c r="AF337" i="1"/>
  <c r="AE337" i="1"/>
  <c r="AD337" i="1"/>
  <c r="AI336" i="1"/>
  <c r="AH336" i="1"/>
  <c r="AG336" i="1"/>
  <c r="AF336" i="1"/>
  <c r="AE336" i="1"/>
  <c r="AD336" i="1"/>
  <c r="AI335" i="1"/>
  <c r="AH335" i="1"/>
  <c r="AG335" i="1"/>
  <c r="AF335" i="1"/>
  <c r="AE335" i="1"/>
  <c r="AD335" i="1"/>
  <c r="AI334" i="1"/>
  <c r="AH334" i="1"/>
  <c r="AG334" i="1"/>
  <c r="AF334" i="1"/>
  <c r="AE334" i="1"/>
  <c r="AD334" i="1"/>
  <c r="AI333" i="1"/>
  <c r="AH333" i="1"/>
  <c r="AG333" i="1"/>
  <c r="AF333" i="1"/>
  <c r="AE333" i="1"/>
  <c r="AD333" i="1"/>
  <c r="AI332" i="1"/>
  <c r="AH332" i="1"/>
  <c r="AG332" i="1"/>
  <c r="AF332" i="1"/>
  <c r="AE332" i="1"/>
  <c r="AD332" i="1"/>
  <c r="AI331" i="1"/>
  <c r="AH331" i="1"/>
  <c r="AG331" i="1"/>
  <c r="AF331" i="1"/>
  <c r="AE331" i="1"/>
  <c r="AD331" i="1"/>
  <c r="AI330" i="1"/>
  <c r="AH330" i="1"/>
  <c r="AG330" i="1"/>
  <c r="AF330" i="1"/>
  <c r="AE330" i="1"/>
  <c r="AD330" i="1"/>
  <c r="AI329" i="1"/>
  <c r="AH329" i="1"/>
  <c r="AG329" i="1"/>
  <c r="AF329" i="1"/>
  <c r="AE329" i="1"/>
  <c r="AD329" i="1"/>
  <c r="AI328" i="1"/>
  <c r="AH328" i="1"/>
  <c r="AG328" i="1"/>
  <c r="AF328" i="1"/>
  <c r="AE328" i="1"/>
  <c r="AD328" i="1"/>
  <c r="AI327" i="1"/>
  <c r="AH327" i="1"/>
  <c r="AG327" i="1"/>
  <c r="AF327" i="1"/>
  <c r="AE327" i="1"/>
  <c r="AD327" i="1"/>
  <c r="AI326" i="1"/>
  <c r="AH326" i="1"/>
  <c r="AG326" i="1"/>
  <c r="AF326" i="1"/>
  <c r="AE326" i="1"/>
  <c r="AD326" i="1"/>
  <c r="AI325" i="1"/>
  <c r="AH325" i="1"/>
  <c r="AG325" i="1"/>
  <c r="AF325" i="1"/>
  <c r="AE325" i="1"/>
  <c r="AD325" i="1"/>
  <c r="AI324" i="1"/>
  <c r="AH324" i="1"/>
  <c r="AG324" i="1"/>
  <c r="AF324" i="1"/>
  <c r="AE324" i="1"/>
  <c r="AD324" i="1"/>
  <c r="AI323" i="1"/>
  <c r="AH323" i="1"/>
  <c r="AG323" i="1"/>
  <c r="AF323" i="1"/>
  <c r="AE323" i="1"/>
  <c r="AD323" i="1"/>
  <c r="AI322" i="1"/>
  <c r="AH322" i="1"/>
  <c r="AG322" i="1"/>
  <c r="AF322" i="1"/>
  <c r="AE322" i="1"/>
  <c r="AD322" i="1"/>
  <c r="AI321" i="1"/>
  <c r="AH321" i="1"/>
  <c r="AG321" i="1"/>
  <c r="AF321" i="1"/>
  <c r="AE321" i="1"/>
  <c r="AD321" i="1"/>
  <c r="AI320" i="1"/>
  <c r="AH320" i="1"/>
  <c r="AG320" i="1"/>
  <c r="AF320" i="1"/>
  <c r="AE320" i="1"/>
  <c r="AD320" i="1"/>
  <c r="AI319" i="1"/>
  <c r="AH319" i="1"/>
  <c r="AG319" i="1"/>
  <c r="AF319" i="1"/>
  <c r="AE319" i="1"/>
  <c r="AD319" i="1"/>
  <c r="AI318" i="1"/>
  <c r="AH318" i="1"/>
  <c r="AG318" i="1"/>
  <c r="AF318" i="1"/>
  <c r="AE318" i="1"/>
  <c r="AD318" i="1"/>
  <c r="AI317" i="1"/>
  <c r="AH317" i="1"/>
  <c r="AG317" i="1"/>
  <c r="AF317" i="1"/>
  <c r="AE317" i="1"/>
  <c r="AD317" i="1"/>
  <c r="AI316" i="1"/>
  <c r="AH316" i="1"/>
  <c r="AG316" i="1"/>
  <c r="AF316" i="1"/>
  <c r="AE316" i="1"/>
  <c r="AD316" i="1"/>
  <c r="AI315" i="1"/>
  <c r="AH315" i="1"/>
  <c r="AG315" i="1"/>
  <c r="AF315" i="1"/>
  <c r="AE315" i="1"/>
  <c r="AD315" i="1"/>
  <c r="AI314" i="1"/>
  <c r="AH314" i="1"/>
  <c r="AG314" i="1"/>
  <c r="AF314" i="1"/>
  <c r="AE314" i="1"/>
  <c r="AD314" i="1"/>
  <c r="AI313" i="1"/>
  <c r="AH313" i="1"/>
  <c r="AG313" i="1"/>
  <c r="AF313" i="1"/>
  <c r="AE313" i="1"/>
  <c r="AD313" i="1"/>
  <c r="AI312" i="1"/>
  <c r="AH312" i="1"/>
  <c r="AG312" i="1"/>
  <c r="AF312" i="1"/>
  <c r="AE312" i="1"/>
  <c r="AD312" i="1"/>
  <c r="AI311" i="1"/>
  <c r="AH311" i="1"/>
  <c r="AG311" i="1"/>
  <c r="AF311" i="1"/>
  <c r="AE311" i="1"/>
  <c r="AD311" i="1"/>
  <c r="AI310" i="1"/>
  <c r="AH310" i="1"/>
  <c r="AG310" i="1"/>
  <c r="AF310" i="1"/>
  <c r="AE310" i="1"/>
  <c r="AD310" i="1"/>
  <c r="AI309" i="1"/>
  <c r="AH309" i="1"/>
  <c r="AG309" i="1"/>
  <c r="AF309" i="1"/>
  <c r="AE309" i="1"/>
  <c r="AD309" i="1"/>
  <c r="AI308" i="1"/>
  <c r="AH308" i="1"/>
  <c r="AG308" i="1"/>
  <c r="AF308" i="1"/>
  <c r="AE308" i="1"/>
  <c r="AD308" i="1"/>
  <c r="AI307" i="1"/>
  <c r="AH307" i="1"/>
  <c r="AG307" i="1"/>
  <c r="AF307" i="1"/>
  <c r="AE307" i="1"/>
  <c r="AD307" i="1"/>
  <c r="AI306" i="1"/>
  <c r="AH306" i="1"/>
  <c r="AG306" i="1"/>
  <c r="AF306" i="1"/>
  <c r="AE306" i="1"/>
  <c r="AD306" i="1"/>
  <c r="AI305" i="1"/>
  <c r="AH305" i="1"/>
  <c r="AG305" i="1"/>
  <c r="AF305" i="1"/>
  <c r="AE305" i="1"/>
  <c r="AD305" i="1"/>
  <c r="AI304" i="1"/>
  <c r="AH304" i="1"/>
  <c r="AG304" i="1"/>
  <c r="AF304" i="1"/>
  <c r="AE304" i="1"/>
  <c r="AD304" i="1"/>
  <c r="AI303" i="1"/>
  <c r="AH303" i="1"/>
  <c r="AG303" i="1"/>
  <c r="AF303" i="1"/>
  <c r="AE303" i="1"/>
  <c r="AD303" i="1"/>
  <c r="AI302" i="1"/>
  <c r="AH302" i="1"/>
  <c r="AG302" i="1"/>
  <c r="AF302" i="1"/>
  <c r="AE302" i="1"/>
  <c r="AD302" i="1"/>
  <c r="AI301" i="1"/>
  <c r="AH301" i="1"/>
  <c r="AG301" i="1"/>
  <c r="AF301" i="1"/>
  <c r="AE301" i="1"/>
  <c r="AD301" i="1"/>
  <c r="AI300" i="1"/>
  <c r="AH300" i="1"/>
  <c r="AG300" i="1"/>
  <c r="AF300" i="1"/>
  <c r="AE300" i="1"/>
  <c r="AD300" i="1"/>
  <c r="AI299" i="1"/>
  <c r="AH299" i="1"/>
  <c r="AG299" i="1"/>
  <c r="AF299" i="1"/>
  <c r="AE299" i="1"/>
  <c r="AD299" i="1"/>
  <c r="AI298" i="1"/>
  <c r="AH298" i="1"/>
  <c r="AG298" i="1"/>
  <c r="AF298" i="1"/>
  <c r="AE298" i="1"/>
  <c r="AD298" i="1"/>
  <c r="AI297" i="1"/>
  <c r="AH297" i="1"/>
  <c r="AG297" i="1"/>
  <c r="AF297" i="1"/>
  <c r="AE297" i="1"/>
  <c r="AD297" i="1"/>
  <c r="AI296" i="1"/>
  <c r="AH296" i="1"/>
  <c r="AG296" i="1"/>
  <c r="AF296" i="1"/>
  <c r="AE296" i="1"/>
  <c r="AD296" i="1"/>
  <c r="AI295" i="1"/>
  <c r="AH295" i="1"/>
  <c r="AG295" i="1"/>
  <c r="AF295" i="1"/>
  <c r="AE295" i="1"/>
  <c r="AD295" i="1"/>
  <c r="AI294" i="1"/>
  <c r="AH294" i="1"/>
  <c r="AG294" i="1"/>
  <c r="AF294" i="1"/>
  <c r="AE294" i="1"/>
  <c r="AD294" i="1"/>
  <c r="AI293" i="1"/>
  <c r="AH293" i="1"/>
  <c r="AG293" i="1"/>
  <c r="AF293" i="1"/>
  <c r="AE293" i="1"/>
  <c r="AD293" i="1"/>
  <c r="AI292" i="1"/>
  <c r="AH292" i="1"/>
  <c r="AG292" i="1"/>
  <c r="AF292" i="1"/>
  <c r="AE292" i="1"/>
  <c r="AD292" i="1"/>
  <c r="AI291" i="1"/>
  <c r="AH291" i="1"/>
  <c r="AG291" i="1"/>
  <c r="AF291" i="1"/>
  <c r="AE291" i="1"/>
  <c r="AD291" i="1"/>
  <c r="AI290" i="1"/>
  <c r="AH290" i="1"/>
  <c r="AG290" i="1"/>
  <c r="AF290" i="1"/>
  <c r="AE290" i="1"/>
  <c r="AD290" i="1"/>
  <c r="AI289" i="1"/>
  <c r="AH289" i="1"/>
  <c r="AG289" i="1"/>
  <c r="AF289" i="1"/>
  <c r="AE289" i="1"/>
  <c r="AD289" i="1"/>
  <c r="AI288" i="1"/>
  <c r="AH288" i="1"/>
  <c r="AG288" i="1"/>
  <c r="AF288" i="1"/>
  <c r="AE288" i="1"/>
  <c r="AD288" i="1"/>
  <c r="AI287" i="1"/>
  <c r="AH287" i="1"/>
  <c r="AG287" i="1"/>
  <c r="AF287" i="1"/>
  <c r="AE287" i="1"/>
  <c r="AD287" i="1"/>
  <c r="AI286" i="1"/>
  <c r="AH286" i="1"/>
  <c r="AG286" i="1"/>
  <c r="AF286" i="1"/>
  <c r="AE286" i="1"/>
  <c r="AD286" i="1"/>
  <c r="AI285" i="1"/>
  <c r="AH285" i="1"/>
  <c r="AG285" i="1"/>
  <c r="AF285" i="1"/>
  <c r="AE285" i="1"/>
  <c r="AD285" i="1"/>
  <c r="AI284" i="1"/>
  <c r="AH284" i="1"/>
  <c r="AG284" i="1"/>
  <c r="AF284" i="1"/>
  <c r="AE284" i="1"/>
  <c r="AD284" i="1"/>
  <c r="AI283" i="1"/>
  <c r="AH283" i="1"/>
  <c r="AG283" i="1"/>
  <c r="AF283" i="1"/>
  <c r="AE283" i="1"/>
  <c r="AD283" i="1"/>
  <c r="AI282" i="1"/>
  <c r="AH282" i="1"/>
  <c r="AG282" i="1"/>
  <c r="AF282" i="1"/>
  <c r="AE282" i="1"/>
  <c r="AD282" i="1"/>
  <c r="AI281" i="1"/>
  <c r="AH281" i="1"/>
  <c r="AG281" i="1"/>
  <c r="AF281" i="1"/>
  <c r="AE281" i="1"/>
  <c r="AD281" i="1"/>
  <c r="AI280" i="1"/>
  <c r="AH280" i="1"/>
  <c r="AG280" i="1"/>
  <c r="AF280" i="1"/>
  <c r="AE280" i="1"/>
  <c r="AD280" i="1"/>
  <c r="AI279" i="1"/>
  <c r="AH279" i="1"/>
  <c r="AG279" i="1"/>
  <c r="AF279" i="1"/>
  <c r="AE279" i="1"/>
  <c r="AD279" i="1"/>
  <c r="AI278" i="1"/>
  <c r="AH278" i="1"/>
  <c r="AG278" i="1"/>
  <c r="AF278" i="1"/>
  <c r="AE278" i="1"/>
  <c r="AD278" i="1"/>
  <c r="AI277" i="1"/>
  <c r="AH277" i="1"/>
  <c r="AG277" i="1"/>
  <c r="AF277" i="1"/>
  <c r="AE277" i="1"/>
  <c r="AD277" i="1"/>
  <c r="AI276" i="1"/>
  <c r="AH276" i="1"/>
  <c r="AG276" i="1"/>
  <c r="AF276" i="1"/>
  <c r="AE276" i="1"/>
  <c r="AD276" i="1"/>
  <c r="AI275" i="1"/>
  <c r="AH275" i="1"/>
  <c r="AG275" i="1"/>
  <c r="AF275" i="1"/>
  <c r="AE275" i="1"/>
  <c r="AD275" i="1"/>
  <c r="AI274" i="1"/>
  <c r="AH274" i="1"/>
  <c r="AG274" i="1"/>
  <c r="AF274" i="1"/>
  <c r="AE274" i="1"/>
  <c r="AD274" i="1"/>
  <c r="AI273" i="1"/>
  <c r="AH273" i="1"/>
  <c r="AG273" i="1"/>
  <c r="AF273" i="1"/>
  <c r="AE273" i="1"/>
  <c r="AD273" i="1"/>
  <c r="AI272" i="1"/>
  <c r="AH272" i="1"/>
  <c r="AG272" i="1"/>
  <c r="AF272" i="1"/>
  <c r="AE272" i="1"/>
  <c r="AD272" i="1"/>
  <c r="AI271" i="1"/>
  <c r="AH271" i="1"/>
  <c r="AG271" i="1"/>
  <c r="AF271" i="1"/>
  <c r="AE271" i="1"/>
  <c r="AD271" i="1"/>
  <c r="AI270" i="1"/>
  <c r="AH270" i="1"/>
  <c r="AG270" i="1"/>
  <c r="AF270" i="1"/>
  <c r="AE270" i="1"/>
  <c r="AD270" i="1"/>
  <c r="AI269" i="1"/>
  <c r="AH269" i="1"/>
  <c r="AG269" i="1"/>
  <c r="AF269" i="1"/>
  <c r="AE269" i="1"/>
  <c r="AD269" i="1"/>
  <c r="AI268" i="1"/>
  <c r="AH268" i="1"/>
  <c r="AG268" i="1"/>
  <c r="AF268" i="1"/>
  <c r="AE268" i="1"/>
  <c r="AD268" i="1"/>
  <c r="AI267" i="1"/>
  <c r="AH267" i="1"/>
  <c r="AG267" i="1"/>
  <c r="AF267" i="1"/>
  <c r="AE267" i="1"/>
  <c r="AD267" i="1"/>
  <c r="AI266" i="1"/>
  <c r="AH266" i="1"/>
  <c r="AG266" i="1"/>
  <c r="AF266" i="1"/>
  <c r="AE266" i="1"/>
  <c r="AD266" i="1"/>
  <c r="AI265" i="1"/>
  <c r="AH265" i="1"/>
  <c r="AG265" i="1"/>
  <c r="AF265" i="1"/>
  <c r="AE265" i="1"/>
  <c r="AD265" i="1"/>
  <c r="AI264" i="1"/>
  <c r="AH264" i="1"/>
  <c r="AG264" i="1"/>
  <c r="AF264" i="1"/>
  <c r="AE264" i="1"/>
  <c r="AD264" i="1"/>
  <c r="AI263" i="1"/>
  <c r="AH263" i="1"/>
  <c r="AG263" i="1"/>
  <c r="AF263" i="1"/>
  <c r="AE263" i="1"/>
  <c r="AD263" i="1"/>
  <c r="AI262" i="1"/>
  <c r="AH262" i="1"/>
  <c r="AG262" i="1"/>
  <c r="AF262" i="1"/>
  <c r="AE262" i="1"/>
  <c r="AD262" i="1"/>
  <c r="AI261" i="1"/>
  <c r="AH261" i="1"/>
  <c r="AG261" i="1"/>
  <c r="AF261" i="1"/>
  <c r="AE261" i="1"/>
  <c r="AD261" i="1"/>
  <c r="AI260" i="1"/>
  <c r="AH260" i="1"/>
  <c r="AG260" i="1"/>
  <c r="AF260" i="1"/>
  <c r="AE260" i="1"/>
  <c r="AD260" i="1"/>
  <c r="AI259" i="1"/>
  <c r="AH259" i="1"/>
  <c r="AG259" i="1"/>
  <c r="AF259" i="1"/>
  <c r="AE259" i="1"/>
  <c r="AD259" i="1"/>
  <c r="AI258" i="1"/>
  <c r="AH258" i="1"/>
  <c r="AG258" i="1"/>
  <c r="AF258" i="1"/>
  <c r="AE258" i="1"/>
  <c r="AD258" i="1"/>
  <c r="AI257" i="1"/>
  <c r="AH257" i="1"/>
  <c r="AG257" i="1"/>
  <c r="AF257" i="1"/>
  <c r="AE257" i="1"/>
  <c r="AD257" i="1"/>
  <c r="AI256" i="1"/>
  <c r="AH256" i="1"/>
  <c r="AG256" i="1"/>
  <c r="AF256" i="1"/>
  <c r="AE256" i="1"/>
  <c r="AD256" i="1"/>
  <c r="AI255" i="1"/>
  <c r="AH255" i="1"/>
  <c r="AG255" i="1"/>
  <c r="AF255" i="1"/>
  <c r="AE255" i="1"/>
  <c r="AD255" i="1"/>
  <c r="AI254" i="1"/>
  <c r="AH254" i="1"/>
  <c r="AG254" i="1"/>
  <c r="AF254" i="1"/>
  <c r="AE254" i="1"/>
  <c r="AD254" i="1"/>
  <c r="AI253" i="1"/>
  <c r="AH253" i="1"/>
  <c r="AG253" i="1"/>
  <c r="AF253" i="1"/>
  <c r="AE253" i="1"/>
  <c r="AD253" i="1"/>
  <c r="AI252" i="1"/>
  <c r="AH252" i="1"/>
  <c r="AG252" i="1"/>
  <c r="AF252" i="1"/>
  <c r="AE252" i="1"/>
  <c r="AD252" i="1"/>
  <c r="AI251" i="1"/>
  <c r="AH251" i="1"/>
  <c r="AG251" i="1"/>
  <c r="AF251" i="1"/>
  <c r="AE251" i="1"/>
  <c r="AD251" i="1"/>
  <c r="AI250" i="1"/>
  <c r="AH250" i="1"/>
  <c r="AG250" i="1"/>
  <c r="AF250" i="1"/>
  <c r="AE250" i="1"/>
  <c r="AD250" i="1"/>
  <c r="AI249" i="1"/>
  <c r="AH249" i="1"/>
  <c r="AG249" i="1"/>
  <c r="AF249" i="1"/>
  <c r="AE249" i="1"/>
  <c r="AD249" i="1"/>
  <c r="AI248" i="1"/>
  <c r="AH248" i="1"/>
  <c r="AG248" i="1"/>
  <c r="AF248" i="1"/>
  <c r="AE248" i="1"/>
  <c r="AD248" i="1"/>
  <c r="AI247" i="1"/>
  <c r="AH247" i="1"/>
  <c r="AG247" i="1"/>
  <c r="AF247" i="1"/>
  <c r="AE247" i="1"/>
  <c r="AD247" i="1"/>
  <c r="AI246" i="1"/>
  <c r="AH246" i="1"/>
  <c r="AG246" i="1"/>
  <c r="AF246" i="1"/>
  <c r="AE246" i="1"/>
  <c r="AD246" i="1"/>
  <c r="AI245" i="1"/>
  <c r="AH245" i="1"/>
  <c r="AG245" i="1"/>
  <c r="AF245" i="1"/>
  <c r="AE245" i="1"/>
  <c r="AD245" i="1"/>
  <c r="AI244" i="1"/>
  <c r="AH244" i="1"/>
  <c r="AG244" i="1"/>
  <c r="AF244" i="1"/>
  <c r="AE244" i="1"/>
  <c r="AD244" i="1"/>
  <c r="AI243" i="1"/>
  <c r="AH243" i="1"/>
  <c r="AG243" i="1"/>
  <c r="AF243" i="1"/>
  <c r="AE243" i="1"/>
  <c r="AD243" i="1"/>
  <c r="AI242" i="1"/>
  <c r="AH242" i="1"/>
  <c r="AG242" i="1"/>
  <c r="AF242" i="1"/>
  <c r="AE242" i="1"/>
  <c r="AD242" i="1"/>
  <c r="AI241" i="1"/>
  <c r="AH241" i="1"/>
  <c r="AG241" i="1"/>
  <c r="AF241" i="1"/>
  <c r="AE241" i="1"/>
  <c r="AD241" i="1"/>
  <c r="AI240" i="1"/>
  <c r="AH240" i="1"/>
  <c r="AG240" i="1"/>
  <c r="AF240" i="1"/>
  <c r="AE240" i="1"/>
  <c r="AD240" i="1"/>
  <c r="AI239" i="1"/>
  <c r="AH239" i="1"/>
  <c r="AG239" i="1"/>
  <c r="AF239" i="1"/>
  <c r="AE239" i="1"/>
  <c r="AD239" i="1"/>
  <c r="AI238" i="1"/>
  <c r="AH238" i="1"/>
  <c r="AG238" i="1"/>
  <c r="AF238" i="1"/>
  <c r="AE238" i="1"/>
  <c r="AD238" i="1"/>
  <c r="AI237" i="1"/>
  <c r="AH237" i="1"/>
  <c r="AG237" i="1"/>
  <c r="AF237" i="1"/>
  <c r="AE237" i="1"/>
  <c r="AD237" i="1"/>
  <c r="AI236" i="1"/>
  <c r="AH236" i="1"/>
  <c r="AG236" i="1"/>
  <c r="AF236" i="1"/>
  <c r="AE236" i="1"/>
  <c r="AD236" i="1"/>
  <c r="AI235" i="1"/>
  <c r="AH235" i="1"/>
  <c r="AG235" i="1"/>
  <c r="AF235" i="1"/>
  <c r="AE235" i="1"/>
  <c r="AD235" i="1"/>
  <c r="AI234" i="1"/>
  <c r="AH234" i="1"/>
  <c r="AG234" i="1"/>
  <c r="AF234" i="1"/>
  <c r="AE234" i="1"/>
  <c r="AD234" i="1"/>
  <c r="AI233" i="1"/>
  <c r="AH233" i="1"/>
  <c r="AG233" i="1"/>
  <c r="AF233" i="1"/>
  <c r="AE233" i="1"/>
  <c r="AD233" i="1"/>
  <c r="AI232" i="1"/>
  <c r="AH232" i="1"/>
  <c r="AG232" i="1"/>
  <c r="AF232" i="1"/>
  <c r="AE232" i="1"/>
  <c r="AD232" i="1"/>
  <c r="AI231" i="1"/>
  <c r="AH231" i="1"/>
  <c r="AG231" i="1"/>
  <c r="AF231" i="1"/>
  <c r="AE231" i="1"/>
  <c r="AD231" i="1"/>
  <c r="AI230" i="1"/>
  <c r="AH230" i="1"/>
  <c r="AG230" i="1"/>
  <c r="AF230" i="1"/>
  <c r="AE230" i="1"/>
  <c r="AD230" i="1"/>
  <c r="AI229" i="1"/>
  <c r="AH229" i="1"/>
  <c r="AG229" i="1"/>
  <c r="AF229" i="1"/>
  <c r="AE229" i="1"/>
  <c r="AD229" i="1"/>
  <c r="AI228" i="1"/>
  <c r="AH228" i="1"/>
  <c r="AG228" i="1"/>
  <c r="AF228" i="1"/>
  <c r="AE228" i="1"/>
  <c r="AD228" i="1"/>
  <c r="AI227" i="1"/>
  <c r="AH227" i="1"/>
  <c r="AG227" i="1"/>
  <c r="AF227" i="1"/>
  <c r="AE227" i="1"/>
  <c r="AD227" i="1"/>
  <c r="AI226" i="1"/>
  <c r="AH226" i="1"/>
  <c r="AG226" i="1"/>
  <c r="AF226" i="1"/>
  <c r="AE226" i="1"/>
  <c r="AD226" i="1"/>
  <c r="AI225" i="1"/>
  <c r="AH225" i="1"/>
  <c r="AG225" i="1"/>
  <c r="AF225" i="1"/>
  <c r="AE225" i="1"/>
  <c r="AD225" i="1"/>
  <c r="AI224" i="1"/>
  <c r="AH224" i="1"/>
  <c r="AG224" i="1"/>
  <c r="AF224" i="1"/>
  <c r="AE224" i="1"/>
  <c r="AD224" i="1"/>
  <c r="AI223" i="1"/>
  <c r="AH223" i="1"/>
  <c r="AG223" i="1"/>
  <c r="AF223" i="1"/>
  <c r="AE223" i="1"/>
  <c r="AD223" i="1"/>
  <c r="AI222" i="1"/>
  <c r="AH222" i="1"/>
  <c r="AG222" i="1"/>
  <c r="AF222" i="1"/>
  <c r="AE222" i="1"/>
  <c r="AD222" i="1"/>
  <c r="AI221" i="1"/>
  <c r="AH221" i="1"/>
  <c r="AG221" i="1"/>
  <c r="AF221" i="1"/>
  <c r="AE221" i="1"/>
  <c r="AD221" i="1"/>
  <c r="AI220" i="1"/>
  <c r="AH220" i="1"/>
  <c r="AG220" i="1"/>
  <c r="AF220" i="1"/>
  <c r="AE220" i="1"/>
  <c r="AD220" i="1"/>
  <c r="AI219" i="1"/>
  <c r="AH219" i="1"/>
  <c r="AG219" i="1"/>
  <c r="AF219" i="1"/>
  <c r="AE219" i="1"/>
  <c r="AD219" i="1"/>
  <c r="AI218" i="1"/>
  <c r="AH218" i="1"/>
  <c r="AG218" i="1"/>
  <c r="AF218" i="1"/>
  <c r="AE218" i="1"/>
  <c r="AD218" i="1"/>
  <c r="AI217" i="1"/>
  <c r="AH217" i="1"/>
  <c r="AG217" i="1"/>
  <c r="AF217" i="1"/>
  <c r="AE217" i="1"/>
  <c r="AD217" i="1"/>
  <c r="AI216" i="1"/>
  <c r="AH216" i="1"/>
  <c r="AG216" i="1"/>
  <c r="AF216" i="1"/>
  <c r="AE216" i="1"/>
  <c r="AD216" i="1"/>
  <c r="AI215" i="1"/>
  <c r="AH215" i="1"/>
  <c r="AG215" i="1"/>
  <c r="AF215" i="1"/>
  <c r="AE215" i="1"/>
  <c r="AD215" i="1"/>
  <c r="AI214" i="1"/>
  <c r="AH214" i="1"/>
  <c r="AG214" i="1"/>
  <c r="AF214" i="1"/>
  <c r="AE214" i="1"/>
  <c r="AD214" i="1"/>
  <c r="AI213" i="1"/>
  <c r="AH213" i="1"/>
  <c r="AG213" i="1"/>
  <c r="AF213" i="1"/>
  <c r="AE213" i="1"/>
  <c r="AD213" i="1"/>
  <c r="AI212" i="1"/>
  <c r="AH212" i="1"/>
  <c r="AG212" i="1"/>
  <c r="AF212" i="1"/>
  <c r="AE212" i="1"/>
  <c r="AD212" i="1"/>
  <c r="AI211" i="1"/>
  <c r="AH211" i="1"/>
  <c r="AG211" i="1"/>
  <c r="AF211" i="1"/>
  <c r="AE211" i="1"/>
  <c r="AD211" i="1"/>
  <c r="AI210" i="1"/>
  <c r="AH210" i="1"/>
  <c r="AG210" i="1"/>
  <c r="AF210" i="1"/>
  <c r="AE210" i="1"/>
  <c r="AD210" i="1"/>
  <c r="AI209" i="1"/>
  <c r="AH209" i="1"/>
  <c r="AG209" i="1"/>
  <c r="AF209" i="1"/>
  <c r="AE209" i="1"/>
  <c r="AD209" i="1"/>
  <c r="AI208" i="1"/>
  <c r="AH208" i="1"/>
  <c r="AG208" i="1"/>
  <c r="AF208" i="1"/>
  <c r="AE208" i="1"/>
  <c r="AD208" i="1"/>
  <c r="AI207" i="1"/>
  <c r="AH207" i="1"/>
  <c r="AG207" i="1"/>
  <c r="AF207" i="1"/>
  <c r="AE207" i="1"/>
  <c r="AD207" i="1"/>
  <c r="AI206" i="1"/>
  <c r="AH206" i="1"/>
  <c r="AG206" i="1"/>
  <c r="AF206" i="1"/>
  <c r="AE206" i="1"/>
  <c r="AD206" i="1"/>
  <c r="AI205" i="1"/>
  <c r="AH205" i="1"/>
  <c r="AG205" i="1"/>
  <c r="AF205" i="1"/>
  <c r="AE205" i="1"/>
  <c r="AD205" i="1"/>
  <c r="AI204" i="1"/>
  <c r="AH204" i="1"/>
  <c r="AG204" i="1"/>
  <c r="AF204" i="1"/>
  <c r="AE204" i="1"/>
  <c r="AD204" i="1"/>
  <c r="AI203" i="1"/>
  <c r="AH203" i="1"/>
  <c r="AG203" i="1"/>
  <c r="AF203" i="1"/>
  <c r="AE203" i="1"/>
  <c r="AD203" i="1"/>
  <c r="AI202" i="1"/>
  <c r="AH202" i="1"/>
  <c r="AG202" i="1"/>
  <c r="AF202" i="1"/>
  <c r="AE202" i="1"/>
  <c r="AD202" i="1"/>
  <c r="AI201" i="1"/>
  <c r="AH201" i="1"/>
  <c r="AG201" i="1"/>
  <c r="AF201" i="1"/>
  <c r="AE201" i="1"/>
  <c r="AD201" i="1"/>
  <c r="AI200" i="1"/>
  <c r="AH200" i="1"/>
  <c r="AG200" i="1"/>
  <c r="AF200" i="1"/>
  <c r="AE200" i="1"/>
  <c r="AD200" i="1"/>
  <c r="AI199" i="1"/>
  <c r="AH199" i="1"/>
  <c r="AG199" i="1"/>
  <c r="AF199" i="1"/>
  <c r="AE199" i="1"/>
  <c r="AD199" i="1"/>
  <c r="AI198" i="1"/>
  <c r="AH198" i="1"/>
  <c r="AG198" i="1"/>
  <c r="AF198" i="1"/>
  <c r="AE198" i="1"/>
  <c r="AD198" i="1"/>
  <c r="AI197" i="1"/>
  <c r="AH197" i="1"/>
  <c r="AG197" i="1"/>
  <c r="AF197" i="1"/>
  <c r="AE197" i="1"/>
  <c r="AD197" i="1"/>
  <c r="AI196" i="1"/>
  <c r="AH196" i="1"/>
  <c r="AG196" i="1"/>
  <c r="AF196" i="1"/>
  <c r="AE196" i="1"/>
  <c r="AD196" i="1"/>
  <c r="AI195" i="1"/>
  <c r="AH195" i="1"/>
  <c r="AG195" i="1"/>
  <c r="AF195" i="1"/>
  <c r="AE195" i="1"/>
  <c r="AD195" i="1"/>
  <c r="AI194" i="1"/>
  <c r="AH194" i="1"/>
  <c r="AG194" i="1"/>
  <c r="AF194" i="1"/>
  <c r="AE194" i="1"/>
  <c r="AD194" i="1"/>
  <c r="AI193" i="1"/>
  <c r="AH193" i="1"/>
  <c r="AG193" i="1"/>
  <c r="AF193" i="1"/>
  <c r="AE193" i="1"/>
  <c r="AD193" i="1"/>
  <c r="AI192" i="1"/>
  <c r="AH192" i="1"/>
  <c r="AG192" i="1"/>
  <c r="AF192" i="1"/>
  <c r="AE192" i="1"/>
  <c r="AD192" i="1"/>
  <c r="AI191" i="1"/>
  <c r="AH191" i="1"/>
  <c r="AG191" i="1"/>
  <c r="AF191" i="1"/>
  <c r="AE191" i="1"/>
  <c r="AD191" i="1"/>
  <c r="AI190" i="1"/>
  <c r="AH190" i="1"/>
  <c r="AG190" i="1"/>
  <c r="AF190" i="1"/>
  <c r="AE190" i="1"/>
  <c r="AD190" i="1"/>
  <c r="AI189" i="1"/>
  <c r="AH189" i="1"/>
  <c r="AG189" i="1"/>
  <c r="AF189" i="1"/>
  <c r="AE189" i="1"/>
  <c r="AD189" i="1"/>
  <c r="AI188" i="1"/>
  <c r="AH188" i="1"/>
  <c r="AG188" i="1"/>
  <c r="AF188" i="1"/>
  <c r="AE188" i="1"/>
  <c r="AD188" i="1"/>
  <c r="AI187" i="1"/>
  <c r="AH187" i="1"/>
  <c r="AG187" i="1"/>
  <c r="AF187" i="1"/>
  <c r="AE187" i="1"/>
  <c r="AD187" i="1"/>
  <c r="AI186" i="1"/>
  <c r="AH186" i="1"/>
  <c r="AG186" i="1"/>
  <c r="AF186" i="1"/>
  <c r="AE186" i="1"/>
  <c r="AD186" i="1"/>
  <c r="AI185" i="1"/>
  <c r="AH185" i="1"/>
  <c r="AG185" i="1"/>
  <c r="AF185" i="1"/>
  <c r="AE185" i="1"/>
  <c r="AD185" i="1"/>
  <c r="AI184" i="1"/>
  <c r="AH184" i="1"/>
  <c r="AG184" i="1"/>
  <c r="AF184" i="1"/>
  <c r="AE184" i="1"/>
  <c r="AD184" i="1"/>
  <c r="AI183" i="1"/>
  <c r="AH183" i="1"/>
  <c r="AG183" i="1"/>
  <c r="AF183" i="1"/>
  <c r="AE183" i="1"/>
  <c r="AD183" i="1"/>
  <c r="AI182" i="1"/>
  <c r="AH182" i="1"/>
  <c r="AG182" i="1"/>
  <c r="AF182" i="1"/>
  <c r="AE182" i="1"/>
  <c r="AD182" i="1"/>
  <c r="AI181" i="1"/>
  <c r="AH181" i="1"/>
  <c r="AG181" i="1"/>
  <c r="AF181" i="1"/>
  <c r="AE181" i="1"/>
  <c r="AD181" i="1"/>
  <c r="AI180" i="1"/>
  <c r="AH180" i="1"/>
  <c r="AG180" i="1"/>
  <c r="AF180" i="1"/>
  <c r="AE180" i="1"/>
  <c r="AD180" i="1"/>
  <c r="AI179" i="1"/>
  <c r="AH179" i="1"/>
  <c r="AG179" i="1"/>
  <c r="AF179" i="1"/>
  <c r="AE179" i="1"/>
  <c r="AD179" i="1"/>
  <c r="AI178" i="1"/>
  <c r="AH178" i="1"/>
  <c r="AG178" i="1"/>
  <c r="AF178" i="1"/>
  <c r="AE178" i="1"/>
  <c r="AD178" i="1"/>
  <c r="AI177" i="1"/>
  <c r="AH177" i="1"/>
  <c r="AG177" i="1"/>
  <c r="AF177" i="1"/>
  <c r="AE177" i="1"/>
  <c r="AD177" i="1"/>
  <c r="AI176" i="1"/>
  <c r="AH176" i="1"/>
  <c r="AG176" i="1"/>
  <c r="AF176" i="1"/>
  <c r="AE176" i="1"/>
  <c r="AD176" i="1"/>
  <c r="AI175" i="1"/>
  <c r="AH175" i="1"/>
  <c r="AG175" i="1"/>
  <c r="AF175" i="1"/>
  <c r="AE175" i="1"/>
  <c r="AD175" i="1"/>
  <c r="AI174" i="1"/>
  <c r="AH174" i="1"/>
  <c r="AG174" i="1"/>
  <c r="AF174" i="1"/>
  <c r="AE174" i="1"/>
  <c r="AD174" i="1"/>
  <c r="AI173" i="1"/>
  <c r="AH173" i="1"/>
  <c r="AG173" i="1"/>
  <c r="AF173" i="1"/>
  <c r="AE173" i="1"/>
  <c r="AD173" i="1"/>
  <c r="AI172" i="1"/>
  <c r="AH172" i="1"/>
  <c r="AG172" i="1"/>
  <c r="AF172" i="1"/>
  <c r="AE172" i="1"/>
  <c r="AD172" i="1"/>
  <c r="AI171" i="1"/>
  <c r="AH171" i="1"/>
  <c r="AG171" i="1"/>
  <c r="AF171" i="1"/>
  <c r="AE171" i="1"/>
  <c r="AD171" i="1"/>
  <c r="AI170" i="1"/>
  <c r="AH170" i="1"/>
  <c r="AG170" i="1"/>
  <c r="AF170" i="1"/>
  <c r="AE170" i="1"/>
  <c r="AD170" i="1"/>
  <c r="AI169" i="1"/>
  <c r="AH169" i="1"/>
  <c r="AG169" i="1"/>
  <c r="AF169" i="1"/>
  <c r="AE169" i="1"/>
  <c r="AD169" i="1"/>
  <c r="AI168" i="1"/>
  <c r="AH168" i="1"/>
  <c r="AG168" i="1"/>
  <c r="AF168" i="1"/>
  <c r="AE168" i="1"/>
  <c r="AD168" i="1"/>
  <c r="AI167" i="1"/>
  <c r="AH167" i="1"/>
  <c r="AG167" i="1"/>
  <c r="AF167" i="1"/>
  <c r="AE167" i="1"/>
  <c r="AD167" i="1"/>
  <c r="AI166" i="1"/>
  <c r="AH166" i="1"/>
  <c r="AG166" i="1"/>
  <c r="AF166" i="1"/>
  <c r="AE166" i="1"/>
  <c r="AD166" i="1"/>
  <c r="AI165" i="1"/>
  <c r="AH165" i="1"/>
  <c r="AG165" i="1"/>
  <c r="AF165" i="1"/>
  <c r="AE165" i="1"/>
  <c r="AD165" i="1"/>
  <c r="AI164" i="1"/>
  <c r="AH164" i="1"/>
  <c r="AG164" i="1"/>
  <c r="AF164" i="1"/>
  <c r="AE164" i="1"/>
  <c r="AD164" i="1"/>
  <c r="AI163" i="1"/>
  <c r="AH163" i="1"/>
  <c r="AG163" i="1"/>
  <c r="AF163" i="1"/>
  <c r="AE163" i="1"/>
  <c r="AD163" i="1"/>
  <c r="AI162" i="1"/>
  <c r="AH162" i="1"/>
  <c r="AG162" i="1"/>
  <c r="AF162" i="1"/>
  <c r="AE162" i="1"/>
  <c r="AD162" i="1"/>
  <c r="AI161" i="1"/>
  <c r="AH161" i="1"/>
  <c r="AG161" i="1"/>
  <c r="AF161" i="1"/>
  <c r="AE161" i="1"/>
  <c r="AD161" i="1"/>
  <c r="AI160" i="1"/>
  <c r="AH160" i="1"/>
  <c r="AG160" i="1"/>
  <c r="AF160" i="1"/>
  <c r="AE160" i="1"/>
  <c r="AD160" i="1"/>
  <c r="AI159" i="1"/>
  <c r="AH159" i="1"/>
  <c r="AG159" i="1"/>
  <c r="AF159" i="1"/>
  <c r="AE159" i="1"/>
  <c r="AD159" i="1"/>
  <c r="AI158" i="1"/>
  <c r="AH158" i="1"/>
  <c r="AG158" i="1"/>
  <c r="AF158" i="1"/>
  <c r="AE158" i="1"/>
  <c r="AD158" i="1"/>
  <c r="AI157" i="1"/>
  <c r="AH157" i="1"/>
  <c r="AG157" i="1"/>
  <c r="AF157" i="1"/>
  <c r="AE157" i="1"/>
  <c r="AD157" i="1"/>
  <c r="AI156" i="1"/>
  <c r="AH156" i="1"/>
  <c r="AG156" i="1"/>
  <c r="AF156" i="1"/>
  <c r="AE156" i="1"/>
  <c r="AD156" i="1"/>
  <c r="AI155" i="1"/>
  <c r="AH155" i="1"/>
  <c r="AG155" i="1"/>
  <c r="AF155" i="1"/>
  <c r="AE155" i="1"/>
  <c r="AD155" i="1"/>
  <c r="AI154" i="1"/>
  <c r="AH154" i="1"/>
  <c r="AG154" i="1"/>
  <c r="AF154" i="1"/>
  <c r="AE154" i="1"/>
  <c r="AD154" i="1"/>
  <c r="AI153" i="1"/>
  <c r="AH153" i="1"/>
  <c r="AG153" i="1"/>
  <c r="AF153" i="1"/>
  <c r="AE153" i="1"/>
  <c r="AD153" i="1"/>
  <c r="AI152" i="1"/>
  <c r="AH152" i="1"/>
  <c r="AG152" i="1"/>
  <c r="AF152" i="1"/>
  <c r="AE152" i="1"/>
  <c r="AD152" i="1"/>
  <c r="AI151" i="1"/>
  <c r="AH151" i="1"/>
  <c r="AG151" i="1"/>
  <c r="AF151" i="1"/>
  <c r="AE151" i="1"/>
  <c r="AD151" i="1"/>
  <c r="AI150" i="1"/>
  <c r="AH150" i="1"/>
  <c r="AG150" i="1"/>
  <c r="AF150" i="1"/>
  <c r="AE150" i="1"/>
  <c r="AD150" i="1"/>
  <c r="AI149" i="1"/>
  <c r="AH149" i="1"/>
  <c r="AG149" i="1"/>
  <c r="AF149" i="1"/>
  <c r="AE149" i="1"/>
  <c r="AD149" i="1"/>
  <c r="AI148" i="1"/>
  <c r="AH148" i="1"/>
  <c r="AG148" i="1"/>
  <c r="AF148" i="1"/>
  <c r="AE148" i="1"/>
  <c r="AD148" i="1"/>
  <c r="AI147" i="1"/>
  <c r="AH147" i="1"/>
  <c r="AG147" i="1"/>
  <c r="AF147" i="1"/>
  <c r="AE147" i="1"/>
  <c r="AD147" i="1"/>
  <c r="AI146" i="1"/>
  <c r="AH146" i="1"/>
  <c r="AG146" i="1"/>
  <c r="AF146" i="1"/>
  <c r="AE146" i="1"/>
  <c r="AD146" i="1"/>
  <c r="AI145" i="1"/>
  <c r="AH145" i="1"/>
  <c r="AG145" i="1"/>
  <c r="AF145" i="1"/>
  <c r="AE145" i="1"/>
  <c r="AD145" i="1"/>
  <c r="AI144" i="1"/>
  <c r="AH144" i="1"/>
  <c r="AG144" i="1"/>
  <c r="AF144" i="1"/>
  <c r="AE144" i="1"/>
  <c r="AD144" i="1"/>
  <c r="AI143" i="1"/>
  <c r="AH143" i="1"/>
  <c r="AG143" i="1"/>
  <c r="AF143" i="1"/>
  <c r="AE143" i="1"/>
  <c r="AD143" i="1"/>
  <c r="AI142" i="1"/>
  <c r="AH142" i="1"/>
  <c r="AG142" i="1"/>
  <c r="AF142" i="1"/>
  <c r="AE142" i="1"/>
  <c r="AD142" i="1"/>
  <c r="AI141" i="1"/>
  <c r="AH141" i="1"/>
  <c r="AG141" i="1"/>
  <c r="AF141" i="1"/>
  <c r="AE141" i="1"/>
  <c r="AD141" i="1"/>
  <c r="AI140" i="1"/>
  <c r="AH140" i="1"/>
  <c r="AG140" i="1"/>
  <c r="AF140" i="1"/>
  <c r="AE140" i="1"/>
  <c r="AD140" i="1"/>
  <c r="AI139" i="1"/>
  <c r="AH139" i="1"/>
  <c r="AG139" i="1"/>
  <c r="AF139" i="1"/>
  <c r="AE139" i="1"/>
  <c r="AD139" i="1"/>
  <c r="AI138" i="1"/>
  <c r="AH138" i="1"/>
  <c r="AG138" i="1"/>
  <c r="AF138" i="1"/>
  <c r="AE138" i="1"/>
  <c r="AD138" i="1"/>
  <c r="AI137" i="1"/>
  <c r="AH137" i="1"/>
  <c r="AG137" i="1"/>
  <c r="AF137" i="1"/>
  <c r="AE137" i="1"/>
  <c r="AD137" i="1"/>
  <c r="AI136" i="1"/>
  <c r="AH136" i="1"/>
  <c r="AG136" i="1"/>
  <c r="AF136" i="1"/>
  <c r="AE136" i="1"/>
  <c r="AD136" i="1"/>
  <c r="AI135" i="1"/>
  <c r="AH135" i="1"/>
  <c r="AG135" i="1"/>
  <c r="AF135" i="1"/>
  <c r="AE135" i="1"/>
  <c r="AD135" i="1"/>
  <c r="AI134" i="1"/>
  <c r="AH134" i="1"/>
  <c r="AG134" i="1"/>
  <c r="AF134" i="1"/>
  <c r="AE134" i="1"/>
  <c r="AD134" i="1"/>
  <c r="AI133" i="1"/>
  <c r="AH133" i="1"/>
  <c r="AG133" i="1"/>
  <c r="AF133" i="1"/>
  <c r="AE133" i="1"/>
  <c r="AD133" i="1"/>
  <c r="AI132" i="1"/>
  <c r="AH132" i="1"/>
  <c r="AG132" i="1"/>
  <c r="AF132" i="1"/>
  <c r="AE132" i="1"/>
  <c r="AD132" i="1"/>
  <c r="AI131" i="1"/>
  <c r="AH131" i="1"/>
  <c r="AG131" i="1"/>
  <c r="AF131" i="1"/>
  <c r="AE131" i="1"/>
  <c r="AD131" i="1"/>
  <c r="AI130" i="1"/>
  <c r="AH130" i="1"/>
  <c r="AG130" i="1"/>
  <c r="AF130" i="1"/>
  <c r="AE130" i="1"/>
  <c r="AD130" i="1"/>
  <c r="AI129" i="1"/>
  <c r="AH129" i="1"/>
  <c r="AG129" i="1"/>
  <c r="AF129" i="1"/>
  <c r="AE129" i="1"/>
  <c r="AD129" i="1"/>
  <c r="AI128" i="1"/>
  <c r="AH128" i="1"/>
  <c r="AG128" i="1"/>
  <c r="AF128" i="1"/>
  <c r="AE128" i="1"/>
  <c r="AD128" i="1"/>
  <c r="AI127" i="1"/>
  <c r="AH127" i="1"/>
  <c r="AG127" i="1"/>
  <c r="AF127" i="1"/>
  <c r="AE127" i="1"/>
  <c r="AD127" i="1"/>
  <c r="AI126" i="1"/>
  <c r="AH126" i="1"/>
  <c r="AG126" i="1"/>
  <c r="AF126" i="1"/>
  <c r="AE126" i="1"/>
  <c r="AD126" i="1"/>
  <c r="AI125" i="1"/>
  <c r="AH125" i="1"/>
  <c r="AG125" i="1"/>
  <c r="AF125" i="1"/>
  <c r="AE125" i="1"/>
  <c r="AD125" i="1"/>
  <c r="AI124" i="1"/>
  <c r="AH124" i="1"/>
  <c r="AG124" i="1"/>
  <c r="AF124" i="1"/>
  <c r="AE124" i="1"/>
  <c r="AD124" i="1"/>
  <c r="AI123" i="1"/>
  <c r="AH123" i="1"/>
  <c r="AG123" i="1"/>
  <c r="AF123" i="1"/>
  <c r="AE123" i="1"/>
  <c r="AD123" i="1"/>
  <c r="AI122" i="1"/>
  <c r="AH122" i="1"/>
  <c r="AG122" i="1"/>
  <c r="AF122" i="1"/>
  <c r="AE122" i="1"/>
  <c r="AD122" i="1"/>
  <c r="AI121" i="1"/>
  <c r="AH121" i="1"/>
  <c r="AG121" i="1"/>
  <c r="AF121" i="1"/>
  <c r="AE121" i="1"/>
  <c r="AD121" i="1"/>
  <c r="AI120" i="1"/>
  <c r="AH120" i="1"/>
  <c r="AG120" i="1"/>
  <c r="AF120" i="1"/>
  <c r="AE120" i="1"/>
  <c r="AD120" i="1"/>
  <c r="AI119" i="1"/>
  <c r="AH119" i="1"/>
  <c r="AG119" i="1"/>
  <c r="AF119" i="1"/>
  <c r="AE119" i="1"/>
  <c r="AD119" i="1"/>
  <c r="AI118" i="1"/>
  <c r="AH118" i="1"/>
  <c r="AG118" i="1"/>
  <c r="AF118" i="1"/>
  <c r="AE118" i="1"/>
  <c r="AD118" i="1"/>
  <c r="AI117" i="1"/>
  <c r="AH117" i="1"/>
  <c r="AG117" i="1"/>
  <c r="AF117" i="1"/>
  <c r="AE117" i="1"/>
  <c r="AD117" i="1"/>
  <c r="AI116" i="1"/>
  <c r="AH116" i="1"/>
  <c r="AG116" i="1"/>
  <c r="AF116" i="1"/>
  <c r="AE116" i="1"/>
  <c r="AD116" i="1"/>
  <c r="AI115" i="1"/>
  <c r="AH115" i="1"/>
  <c r="AG115" i="1"/>
  <c r="AF115" i="1"/>
  <c r="AE115" i="1"/>
  <c r="AD115" i="1"/>
  <c r="AI114" i="1"/>
  <c r="AH114" i="1"/>
  <c r="AG114" i="1"/>
  <c r="AF114" i="1"/>
  <c r="AE114" i="1"/>
  <c r="AD114" i="1"/>
  <c r="AI113" i="1"/>
  <c r="AH113" i="1"/>
  <c r="AG113" i="1"/>
  <c r="AF113" i="1"/>
  <c r="AE113" i="1"/>
  <c r="AD113" i="1"/>
  <c r="AI112" i="1"/>
  <c r="AH112" i="1"/>
  <c r="AG112" i="1"/>
  <c r="AF112" i="1"/>
  <c r="AE112" i="1"/>
  <c r="AD112" i="1"/>
  <c r="AI111" i="1"/>
  <c r="AH111" i="1"/>
  <c r="AG111" i="1"/>
  <c r="AF111" i="1"/>
  <c r="AE111" i="1"/>
  <c r="AD111" i="1"/>
  <c r="AI110" i="1"/>
  <c r="AH110" i="1"/>
  <c r="AG110" i="1"/>
  <c r="AF110" i="1"/>
  <c r="AE110" i="1"/>
  <c r="AD110" i="1"/>
  <c r="AI109" i="1"/>
  <c r="AH109" i="1"/>
  <c r="AG109" i="1"/>
  <c r="AF109" i="1"/>
  <c r="AE109" i="1"/>
  <c r="AD109" i="1"/>
  <c r="AI108" i="1"/>
  <c r="AH108" i="1"/>
  <c r="AG108" i="1"/>
  <c r="AF108" i="1"/>
  <c r="AE108" i="1"/>
  <c r="AD108" i="1"/>
  <c r="AI107" i="1"/>
  <c r="AH107" i="1"/>
  <c r="AG107" i="1"/>
  <c r="AF107" i="1"/>
  <c r="AE107" i="1"/>
  <c r="AD107" i="1"/>
  <c r="AI106" i="1"/>
  <c r="AH106" i="1"/>
  <c r="AG106" i="1"/>
  <c r="AF106" i="1"/>
  <c r="AE106" i="1"/>
  <c r="AD106" i="1"/>
  <c r="AI105" i="1"/>
  <c r="AH105" i="1"/>
  <c r="AG105" i="1"/>
  <c r="AF105" i="1"/>
  <c r="AE105" i="1"/>
  <c r="AD105" i="1"/>
  <c r="AI104" i="1"/>
  <c r="AH104" i="1"/>
  <c r="AG104" i="1"/>
  <c r="AF104" i="1"/>
  <c r="AE104" i="1"/>
  <c r="AD104" i="1"/>
  <c r="AI103" i="1"/>
  <c r="AH103" i="1"/>
  <c r="AG103" i="1"/>
  <c r="AF103" i="1"/>
  <c r="AE103" i="1"/>
  <c r="AD103" i="1"/>
  <c r="AI102" i="1"/>
  <c r="AH102" i="1"/>
  <c r="AG102" i="1"/>
  <c r="AF102" i="1"/>
  <c r="AE102" i="1"/>
  <c r="AD102" i="1"/>
  <c r="AI101" i="1"/>
  <c r="AH101" i="1"/>
  <c r="AG101" i="1"/>
  <c r="AF101" i="1"/>
  <c r="AE101" i="1"/>
  <c r="AD101" i="1"/>
  <c r="AI100" i="1"/>
  <c r="AH100" i="1"/>
  <c r="AG100" i="1"/>
  <c r="AF100" i="1"/>
  <c r="AE100" i="1"/>
  <c r="AD100" i="1"/>
  <c r="AI99" i="1"/>
  <c r="AH99" i="1"/>
  <c r="AG99" i="1"/>
  <c r="AF99" i="1"/>
  <c r="AE99" i="1"/>
  <c r="AD99" i="1"/>
  <c r="AI98" i="1"/>
  <c r="AH98" i="1"/>
  <c r="AG98" i="1"/>
  <c r="AF98" i="1"/>
  <c r="AE98" i="1"/>
  <c r="AD98" i="1"/>
  <c r="AI97" i="1"/>
  <c r="AH97" i="1"/>
  <c r="AG97" i="1"/>
  <c r="AF97" i="1"/>
  <c r="AE97" i="1"/>
  <c r="AD97" i="1"/>
  <c r="AI96" i="1"/>
  <c r="AH96" i="1"/>
  <c r="AG96" i="1"/>
  <c r="AF96" i="1"/>
  <c r="AE96" i="1"/>
  <c r="AD96" i="1"/>
  <c r="AI95" i="1"/>
  <c r="AH95" i="1"/>
  <c r="AG95" i="1"/>
  <c r="AF95" i="1"/>
  <c r="AE95" i="1"/>
  <c r="AD95" i="1"/>
  <c r="AI94" i="1"/>
  <c r="AH94" i="1"/>
  <c r="AG94" i="1"/>
  <c r="AF94" i="1"/>
  <c r="AE94" i="1"/>
  <c r="AD94" i="1"/>
  <c r="AI93" i="1"/>
  <c r="AH93" i="1"/>
  <c r="AG93" i="1"/>
  <c r="AF93" i="1"/>
  <c r="AE93" i="1"/>
  <c r="AD93" i="1"/>
  <c r="AI92" i="1"/>
  <c r="AH92" i="1"/>
  <c r="AG92" i="1"/>
  <c r="AF92" i="1"/>
  <c r="AE92" i="1"/>
  <c r="AD92" i="1"/>
  <c r="AI91" i="1"/>
  <c r="AH91" i="1"/>
  <c r="AG91" i="1"/>
  <c r="AF91" i="1"/>
  <c r="AE91" i="1"/>
  <c r="AD91" i="1"/>
  <c r="AI90" i="1"/>
  <c r="AH90" i="1"/>
  <c r="AG90" i="1"/>
  <c r="AF90" i="1"/>
  <c r="AE90" i="1"/>
  <c r="AD90" i="1"/>
  <c r="AI89" i="1"/>
  <c r="AH89" i="1"/>
  <c r="AG89" i="1"/>
  <c r="AF89" i="1"/>
  <c r="AE89" i="1"/>
  <c r="AD89" i="1"/>
  <c r="AI88" i="1"/>
  <c r="AH88" i="1"/>
  <c r="AG88" i="1"/>
  <c r="AF88" i="1"/>
  <c r="AE88" i="1"/>
  <c r="AD88" i="1"/>
  <c r="AI87" i="1"/>
  <c r="AH87" i="1"/>
  <c r="AG87" i="1"/>
  <c r="AF87" i="1"/>
  <c r="AE87" i="1"/>
  <c r="AD87" i="1"/>
  <c r="AI86" i="1"/>
  <c r="AH86" i="1"/>
  <c r="AG86" i="1"/>
  <c r="AF86" i="1"/>
  <c r="AE86" i="1"/>
  <c r="AD86" i="1"/>
  <c r="AI85" i="1"/>
  <c r="AH85" i="1"/>
  <c r="AG85" i="1"/>
  <c r="AF85" i="1"/>
  <c r="AE85" i="1"/>
  <c r="AD85" i="1"/>
  <c r="AI84" i="1"/>
  <c r="AH84" i="1"/>
  <c r="AG84" i="1"/>
  <c r="AF84" i="1"/>
  <c r="AE84" i="1"/>
  <c r="AD84" i="1"/>
  <c r="AI83" i="1"/>
  <c r="AH83" i="1"/>
  <c r="AG83" i="1"/>
  <c r="AF83" i="1"/>
  <c r="AE83" i="1"/>
  <c r="AD83" i="1"/>
  <c r="AI82" i="1"/>
  <c r="AH82" i="1"/>
  <c r="AG82" i="1"/>
  <c r="AF82" i="1"/>
  <c r="AE82" i="1"/>
  <c r="AD82" i="1"/>
  <c r="AI81" i="1"/>
  <c r="AH81" i="1"/>
  <c r="AG81" i="1"/>
  <c r="AF81" i="1"/>
  <c r="AE81" i="1"/>
  <c r="AD81" i="1"/>
  <c r="AI80" i="1"/>
  <c r="AH80" i="1"/>
  <c r="AG80" i="1"/>
  <c r="AF80" i="1"/>
  <c r="AE80" i="1"/>
  <c r="AD80" i="1"/>
  <c r="AI79" i="1"/>
  <c r="AH79" i="1"/>
  <c r="AG79" i="1"/>
  <c r="AF79" i="1"/>
  <c r="AE79" i="1"/>
  <c r="AD79" i="1"/>
  <c r="AI78" i="1"/>
  <c r="AH78" i="1"/>
  <c r="AG78" i="1"/>
  <c r="AF78" i="1"/>
  <c r="AE78" i="1"/>
  <c r="AD78" i="1"/>
  <c r="AI77" i="1"/>
  <c r="AH77" i="1"/>
  <c r="AG77" i="1"/>
  <c r="AF77" i="1"/>
  <c r="AE77" i="1"/>
  <c r="AD77" i="1"/>
  <c r="AI76" i="1"/>
  <c r="AH76" i="1"/>
  <c r="AG76" i="1"/>
  <c r="AF76" i="1"/>
  <c r="AE76" i="1"/>
  <c r="AD76" i="1"/>
  <c r="AI75" i="1"/>
  <c r="AH75" i="1"/>
  <c r="AG75" i="1"/>
  <c r="AF75" i="1"/>
  <c r="AE75" i="1"/>
  <c r="AD75" i="1"/>
  <c r="AI74" i="1"/>
  <c r="AH74" i="1"/>
  <c r="AG74" i="1"/>
  <c r="AF74" i="1"/>
  <c r="AE74" i="1"/>
  <c r="AD74" i="1"/>
  <c r="AI73" i="1"/>
  <c r="AH73" i="1"/>
  <c r="AG73" i="1"/>
  <c r="AF73" i="1"/>
  <c r="AE73" i="1"/>
  <c r="AD73" i="1"/>
  <c r="AI72" i="1"/>
  <c r="AH72" i="1"/>
  <c r="AG72" i="1"/>
  <c r="AF72" i="1"/>
  <c r="AE72" i="1"/>
  <c r="AD72" i="1"/>
  <c r="AI71" i="1"/>
  <c r="AH71" i="1"/>
  <c r="AG71" i="1"/>
  <c r="AF71" i="1"/>
  <c r="AE71" i="1"/>
  <c r="AD71" i="1"/>
  <c r="AI70" i="1"/>
  <c r="AH70" i="1"/>
  <c r="AG70" i="1"/>
  <c r="AF70" i="1"/>
  <c r="AE70" i="1"/>
  <c r="AD70" i="1"/>
  <c r="AI69" i="1"/>
  <c r="AH69" i="1"/>
  <c r="AG69" i="1"/>
  <c r="AF69" i="1"/>
  <c r="AE69" i="1"/>
  <c r="AD69" i="1"/>
  <c r="AI68" i="1"/>
  <c r="AH68" i="1"/>
  <c r="AG68" i="1"/>
  <c r="AF68" i="1"/>
  <c r="AE68" i="1"/>
  <c r="AD68" i="1"/>
  <c r="AI67" i="1"/>
  <c r="AH67" i="1"/>
  <c r="AG67" i="1"/>
  <c r="AF67" i="1"/>
  <c r="AE67" i="1"/>
  <c r="AD67" i="1"/>
  <c r="AI66" i="1"/>
  <c r="AH66" i="1"/>
  <c r="AG66" i="1"/>
  <c r="AF66" i="1"/>
  <c r="AE66" i="1"/>
  <c r="AD66" i="1"/>
  <c r="AI65" i="1"/>
  <c r="AH65" i="1"/>
  <c r="AG65" i="1"/>
  <c r="AF65" i="1"/>
  <c r="AE65" i="1"/>
  <c r="AD65" i="1"/>
  <c r="AI64" i="1"/>
  <c r="AH64" i="1"/>
  <c r="AG64" i="1"/>
  <c r="AF64" i="1"/>
  <c r="AE64" i="1"/>
  <c r="AD64" i="1"/>
  <c r="AI63" i="1"/>
  <c r="AH63" i="1"/>
  <c r="AG63" i="1"/>
  <c r="AF63" i="1"/>
  <c r="AE63" i="1"/>
  <c r="AD63" i="1"/>
  <c r="AI62" i="1"/>
  <c r="AH62" i="1"/>
  <c r="AG62" i="1"/>
  <c r="AF62" i="1"/>
  <c r="AE62" i="1"/>
  <c r="AD62" i="1"/>
  <c r="AI61" i="1"/>
  <c r="AH61" i="1"/>
  <c r="AG61" i="1"/>
  <c r="AF61" i="1"/>
  <c r="AE61" i="1"/>
  <c r="AD61" i="1"/>
  <c r="AI60" i="1"/>
  <c r="AH60" i="1"/>
  <c r="AG60" i="1"/>
  <c r="AF60" i="1"/>
  <c r="AE60" i="1"/>
  <c r="AD60" i="1"/>
  <c r="AI59" i="1"/>
  <c r="AH59" i="1"/>
  <c r="AG59" i="1"/>
  <c r="AF59" i="1"/>
  <c r="AE59" i="1"/>
  <c r="AD59" i="1"/>
  <c r="AI58" i="1"/>
  <c r="AH58" i="1"/>
  <c r="AG58" i="1"/>
  <c r="AF58" i="1"/>
  <c r="AE58" i="1"/>
  <c r="AD58" i="1"/>
  <c r="AI57" i="1"/>
  <c r="AH57" i="1"/>
  <c r="AG57" i="1"/>
  <c r="AF57" i="1"/>
  <c r="AE57" i="1"/>
  <c r="AD57" i="1"/>
  <c r="AI56" i="1"/>
  <c r="AH56" i="1"/>
  <c r="AG56" i="1"/>
  <c r="AF56" i="1"/>
  <c r="AE56" i="1"/>
  <c r="AD56" i="1"/>
  <c r="AI55" i="1"/>
  <c r="AH55" i="1"/>
  <c r="AG55" i="1"/>
  <c r="AF55" i="1"/>
  <c r="AE55" i="1"/>
  <c r="AD55" i="1"/>
  <c r="AI54" i="1"/>
  <c r="AH54" i="1"/>
  <c r="AG54" i="1"/>
  <c r="AF54" i="1"/>
  <c r="AE54" i="1"/>
  <c r="AD54" i="1"/>
  <c r="AI53" i="1"/>
  <c r="AH53" i="1"/>
  <c r="AG53" i="1"/>
  <c r="AF53" i="1"/>
  <c r="AE53" i="1"/>
  <c r="AD53" i="1"/>
  <c r="AI52" i="1"/>
  <c r="AH52" i="1"/>
  <c r="AG52" i="1"/>
  <c r="AF52" i="1"/>
  <c r="AE52" i="1"/>
  <c r="AD52" i="1"/>
  <c r="AI51" i="1"/>
  <c r="AH51" i="1"/>
  <c r="AG51" i="1"/>
  <c r="AF51" i="1"/>
  <c r="AE51" i="1"/>
  <c r="AD51" i="1"/>
  <c r="AI50" i="1"/>
  <c r="AH50" i="1"/>
  <c r="AG50" i="1"/>
  <c r="AF50" i="1"/>
  <c r="AE50" i="1"/>
  <c r="AD50" i="1"/>
  <c r="AI49" i="1"/>
  <c r="AH49" i="1"/>
  <c r="AG49" i="1"/>
  <c r="AF49" i="1"/>
  <c r="AE49" i="1"/>
  <c r="AD49" i="1"/>
  <c r="AI48" i="1"/>
  <c r="AH48" i="1"/>
  <c r="AG48" i="1"/>
  <c r="AF48" i="1"/>
  <c r="AE48" i="1"/>
  <c r="AD48" i="1"/>
  <c r="AI47" i="1"/>
  <c r="AH47" i="1"/>
  <c r="AG47" i="1"/>
  <c r="AF47" i="1"/>
  <c r="AE47" i="1"/>
  <c r="AD47" i="1"/>
  <c r="AI46" i="1"/>
  <c r="AH46" i="1"/>
  <c r="AG46" i="1"/>
  <c r="AF46" i="1"/>
  <c r="AE46" i="1"/>
  <c r="AD46" i="1"/>
  <c r="AI45" i="1"/>
  <c r="AH45" i="1"/>
  <c r="AG45" i="1"/>
  <c r="AF45" i="1"/>
  <c r="AE45" i="1"/>
  <c r="AD45" i="1"/>
  <c r="AI44" i="1"/>
  <c r="AH44" i="1"/>
  <c r="AG44" i="1"/>
  <c r="AF44" i="1"/>
  <c r="AE44" i="1"/>
  <c r="AD44" i="1"/>
  <c r="AI43" i="1"/>
  <c r="AH43" i="1"/>
  <c r="AG43" i="1"/>
  <c r="AF43" i="1"/>
  <c r="AE43" i="1"/>
  <c r="AD43" i="1"/>
  <c r="AI42" i="1"/>
  <c r="AH42" i="1"/>
  <c r="AG42" i="1"/>
  <c r="AF42" i="1"/>
  <c r="AE42" i="1"/>
  <c r="AD42" i="1"/>
  <c r="AI41" i="1"/>
  <c r="AH41" i="1"/>
  <c r="AG41" i="1"/>
  <c r="AF41" i="1"/>
  <c r="AE41" i="1"/>
  <c r="AD41" i="1"/>
  <c r="AI40" i="1"/>
  <c r="AH40" i="1"/>
  <c r="AG40" i="1"/>
  <c r="AF40" i="1"/>
  <c r="AE40" i="1"/>
  <c r="AD40" i="1"/>
  <c r="AI39" i="1"/>
  <c r="AH39" i="1"/>
  <c r="AG39" i="1"/>
  <c r="AF39" i="1"/>
  <c r="AE39" i="1"/>
  <c r="AD39" i="1"/>
  <c r="AI38" i="1"/>
  <c r="AH38" i="1"/>
  <c r="AG38" i="1"/>
  <c r="AF38" i="1"/>
  <c r="AE38" i="1"/>
  <c r="AD38" i="1"/>
  <c r="AI37" i="1"/>
  <c r="AH37" i="1"/>
  <c r="AG37" i="1"/>
  <c r="AF37" i="1"/>
  <c r="AE37" i="1"/>
  <c r="AD37" i="1"/>
  <c r="AI36" i="1"/>
  <c r="AH36" i="1"/>
  <c r="AG36" i="1"/>
  <c r="AF36" i="1"/>
  <c r="AE36" i="1"/>
  <c r="AD36" i="1"/>
  <c r="AI35" i="1"/>
  <c r="AH35" i="1"/>
  <c r="AG35" i="1"/>
  <c r="AF35" i="1"/>
  <c r="AE35" i="1"/>
  <c r="AD35" i="1"/>
  <c r="AI34" i="1"/>
  <c r="AH34" i="1"/>
  <c r="AG34" i="1"/>
  <c r="AF34" i="1"/>
  <c r="AE34" i="1"/>
  <c r="AD34" i="1"/>
  <c r="AI33" i="1"/>
  <c r="AH33" i="1"/>
  <c r="AG33" i="1"/>
  <c r="AF33" i="1"/>
  <c r="AE33" i="1"/>
  <c r="AD33" i="1"/>
  <c r="AI32" i="1"/>
  <c r="AH32" i="1"/>
  <c r="AG32" i="1"/>
  <c r="AF32" i="1"/>
  <c r="AE32" i="1"/>
  <c r="AD32" i="1"/>
  <c r="AI31" i="1"/>
  <c r="AH31" i="1"/>
  <c r="AG31" i="1"/>
  <c r="AF31" i="1"/>
  <c r="AE31" i="1"/>
  <c r="AD31" i="1"/>
  <c r="AI30" i="1"/>
  <c r="AH30" i="1"/>
  <c r="AG30" i="1"/>
  <c r="AF30" i="1"/>
  <c r="AE30" i="1"/>
  <c r="AD30" i="1"/>
  <c r="AI29" i="1"/>
  <c r="AH29" i="1"/>
  <c r="AG29" i="1"/>
  <c r="AF29" i="1"/>
  <c r="AE29" i="1"/>
  <c r="AD29" i="1"/>
  <c r="AI28" i="1"/>
  <c r="AH28" i="1"/>
  <c r="AG28" i="1"/>
  <c r="AF28" i="1"/>
  <c r="AE28" i="1"/>
  <c r="AD28" i="1"/>
  <c r="AI27" i="1"/>
  <c r="AH27" i="1"/>
  <c r="AG27" i="1"/>
  <c r="AF27" i="1"/>
  <c r="AE27" i="1"/>
  <c r="AD27" i="1"/>
  <c r="AI26" i="1"/>
  <c r="AH26" i="1"/>
  <c r="AG26" i="1"/>
  <c r="AF26" i="1"/>
  <c r="AE26" i="1"/>
  <c r="AD26" i="1"/>
  <c r="AI25" i="1"/>
  <c r="AH25" i="1"/>
  <c r="AG25" i="1"/>
  <c r="AF25" i="1"/>
  <c r="AE25" i="1"/>
  <c r="AD25" i="1"/>
  <c r="AI24" i="1"/>
  <c r="AH24" i="1"/>
  <c r="AG24" i="1"/>
  <c r="AF24" i="1"/>
  <c r="AE24" i="1"/>
  <c r="AD24" i="1"/>
  <c r="AI23" i="1"/>
  <c r="AH23" i="1"/>
  <c r="AG23" i="1"/>
  <c r="AF23" i="1"/>
  <c r="AE23" i="1"/>
  <c r="AD23" i="1"/>
  <c r="AI22" i="1"/>
  <c r="AH22" i="1"/>
  <c r="AG22" i="1"/>
  <c r="AF22" i="1"/>
  <c r="AE22" i="1"/>
  <c r="AD22" i="1"/>
  <c r="AI21" i="1"/>
  <c r="AH21" i="1"/>
  <c r="AG21" i="1"/>
  <c r="AF21" i="1"/>
  <c r="AE21" i="1"/>
  <c r="AD21" i="1"/>
  <c r="AI20" i="1"/>
  <c r="AH20" i="1"/>
  <c r="AG20" i="1"/>
  <c r="AF20" i="1"/>
  <c r="AE20" i="1"/>
  <c r="AD20" i="1"/>
  <c r="AI19" i="1"/>
  <c r="AH19" i="1"/>
  <c r="AG19" i="1"/>
  <c r="AF19" i="1"/>
  <c r="AE19" i="1"/>
  <c r="AD19" i="1"/>
  <c r="AI18" i="1"/>
  <c r="AH18" i="1"/>
  <c r="AG18" i="1"/>
  <c r="AF18" i="1"/>
  <c r="AE18" i="1"/>
  <c r="AD18" i="1"/>
  <c r="AI17" i="1"/>
  <c r="AH17" i="1"/>
  <c r="AG17" i="1"/>
  <c r="AF17" i="1"/>
  <c r="AE17" i="1"/>
  <c r="AD17" i="1"/>
  <c r="AI16" i="1"/>
  <c r="AH16" i="1"/>
  <c r="AG16" i="1"/>
  <c r="AF16" i="1"/>
  <c r="AE16" i="1"/>
  <c r="AD16" i="1"/>
  <c r="AI15" i="1"/>
  <c r="AH15" i="1"/>
  <c r="AG15" i="1"/>
  <c r="AF15" i="1"/>
  <c r="AE15" i="1"/>
  <c r="AD15" i="1"/>
  <c r="AI14" i="1"/>
  <c r="AH14" i="1"/>
  <c r="AG14" i="1"/>
  <c r="AF14" i="1"/>
  <c r="AE14" i="1"/>
  <c r="AD14" i="1"/>
  <c r="AI13" i="1"/>
  <c r="AH13" i="1"/>
  <c r="AG13" i="1"/>
  <c r="AF13" i="1"/>
  <c r="AE13" i="1"/>
  <c r="AD13" i="1"/>
  <c r="AI12" i="1"/>
  <c r="AH12" i="1"/>
  <c r="AG12" i="1"/>
  <c r="AF12" i="1"/>
  <c r="AE12" i="1"/>
  <c r="AD12" i="1"/>
  <c r="AI11" i="1"/>
  <c r="AH11" i="1"/>
  <c r="AG11" i="1"/>
  <c r="AF11" i="1"/>
  <c r="AE11" i="1"/>
  <c r="AD11" i="1"/>
  <c r="AI10" i="1"/>
  <c r="AH10" i="1"/>
  <c r="AG10" i="1"/>
  <c r="AF10" i="1"/>
  <c r="AE10" i="1"/>
  <c r="AD10" i="1"/>
  <c r="AI9" i="1"/>
  <c r="AH9" i="1"/>
  <c r="AG9" i="1"/>
  <c r="AF9" i="1"/>
  <c r="AE9" i="1"/>
  <c r="AD9" i="1"/>
  <c r="AI8" i="1"/>
  <c r="AH8" i="1"/>
  <c r="AG8" i="1"/>
  <c r="AF8" i="1"/>
  <c r="AE8" i="1"/>
  <c r="AD8" i="1"/>
  <c r="AI7" i="1"/>
  <c r="AH7" i="1"/>
  <c r="AG7" i="1"/>
  <c r="AF7" i="1"/>
  <c r="AE7" i="1"/>
  <c r="AD7" i="1"/>
  <c r="AI6" i="1"/>
  <c r="AH6" i="1"/>
  <c r="AG6" i="1"/>
  <c r="AF6" i="1"/>
  <c r="AE6" i="1"/>
  <c r="AD6" i="1"/>
  <c r="AI5" i="1"/>
  <c r="AH5" i="1"/>
  <c r="AG5" i="1"/>
  <c r="AF5" i="1"/>
  <c r="AE5" i="1"/>
  <c r="AD5" i="1"/>
  <c r="AI4" i="1"/>
  <c r="AH4" i="1"/>
  <c r="AG4" i="1"/>
  <c r="AF4" i="1"/>
  <c r="AE4" i="1"/>
  <c r="AD4" i="1"/>
  <c r="AI3" i="1"/>
  <c r="AR1" i="1" l="1"/>
  <c r="AB1" i="1" l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N1" i="1"/>
  <c r="E499" i="1"/>
  <c r="G499" i="1" s="1"/>
  <c r="E498" i="1"/>
  <c r="G498" i="1" s="1"/>
  <c r="E497" i="1"/>
  <c r="G497" i="1" s="1"/>
  <c r="U1" i="1" l="1"/>
  <c r="AP1" i="1" l="1"/>
  <c r="M1" i="1"/>
  <c r="L1" i="1"/>
  <c r="K1" i="1"/>
  <c r="J1" i="1"/>
  <c r="I1" i="1"/>
  <c r="AN1" i="1"/>
  <c r="AO1" i="1"/>
  <c r="E319" i="1" l="1"/>
  <c r="G319" i="1" s="1"/>
  <c r="E253" i="1"/>
  <c r="G253" i="1" s="1"/>
  <c r="E197" i="1"/>
  <c r="G197" i="1" s="1"/>
  <c r="E269" i="1"/>
  <c r="G269" i="1" s="1"/>
  <c r="E228" i="1"/>
  <c r="G228" i="1" s="1"/>
  <c r="E371" i="1"/>
  <c r="G371" i="1" s="1"/>
  <c r="E408" i="1"/>
  <c r="G408" i="1" s="1"/>
  <c r="E251" i="1"/>
  <c r="G251" i="1" s="1"/>
  <c r="E404" i="1"/>
  <c r="G404" i="1" s="1"/>
  <c r="E252" i="1"/>
  <c r="G252" i="1" s="1"/>
  <c r="E112" i="1"/>
  <c r="G112" i="1" s="1"/>
  <c r="E316" i="1"/>
  <c r="G316" i="1" s="1"/>
  <c r="E322" i="1"/>
  <c r="G322" i="1" s="1"/>
  <c r="E474" i="1"/>
  <c r="G474" i="1" s="1"/>
  <c r="E428" i="1"/>
  <c r="G428" i="1" s="1"/>
  <c r="E180" i="1"/>
  <c r="G180" i="1" s="1"/>
  <c r="E384" i="1"/>
  <c r="G384" i="1" s="1"/>
  <c r="E205" i="1"/>
  <c r="G205" i="1" s="1"/>
  <c r="E315" i="1"/>
  <c r="G315" i="1" s="1"/>
  <c r="E184" i="1"/>
  <c r="G184" i="1" s="1"/>
  <c r="E107" i="1"/>
  <c r="G107" i="1" s="1"/>
  <c r="E115" i="1"/>
  <c r="G115" i="1" s="1"/>
  <c r="E139" i="1"/>
  <c r="G139" i="1" s="1"/>
  <c r="E21" i="1"/>
  <c r="G21" i="1" s="1"/>
  <c r="E45" i="1"/>
  <c r="G45" i="1" s="1"/>
  <c r="E226" i="1"/>
  <c r="G226" i="1" s="1"/>
  <c r="E4" i="1"/>
  <c r="G4" i="1" s="1"/>
  <c r="E222" i="1"/>
  <c r="G222" i="1" s="1"/>
  <c r="E304" i="1"/>
  <c r="G304" i="1" s="1"/>
  <c r="E71" i="1"/>
  <c r="G71" i="1" s="1"/>
  <c r="E164" i="1"/>
  <c r="G164" i="1" s="1"/>
  <c r="E93" i="1"/>
  <c r="G93" i="1" s="1"/>
  <c r="E278" i="1"/>
  <c r="G278" i="1" s="1"/>
  <c r="E369" i="1"/>
  <c r="G369" i="1" s="1"/>
  <c r="E294" i="1"/>
  <c r="G294" i="1" s="1"/>
  <c r="E177" i="1"/>
  <c r="G177" i="1" s="1"/>
  <c r="E10" i="1"/>
  <c r="G10" i="1" s="1"/>
  <c r="E157" i="1"/>
  <c r="G157" i="1" s="1"/>
  <c r="E397" i="1"/>
  <c r="G397" i="1" s="1"/>
  <c r="E120" i="1"/>
  <c r="G120" i="1" s="1"/>
  <c r="E357" i="1"/>
  <c r="G357" i="1" s="1"/>
  <c r="E19" i="1"/>
  <c r="G19" i="1" s="1"/>
  <c r="E49" i="1"/>
  <c r="G49" i="1" s="1"/>
  <c r="E386" i="1"/>
  <c r="E65" i="1"/>
  <c r="E89" i="1"/>
  <c r="E140" i="1"/>
  <c r="E334" i="1"/>
  <c r="E33" i="1"/>
  <c r="E249" i="1"/>
  <c r="E44" i="1"/>
  <c r="E359" i="1"/>
  <c r="E41" i="1"/>
  <c r="E72" i="1"/>
  <c r="E29" i="1"/>
  <c r="E125" i="1"/>
  <c r="E423" i="1"/>
  <c r="E266" i="1"/>
  <c r="E355" i="1"/>
  <c r="E296" i="1"/>
  <c r="E392" i="1"/>
  <c r="E411" i="1"/>
  <c r="E438" i="1"/>
  <c r="E172" i="1"/>
  <c r="E233" i="1"/>
  <c r="E144" i="1"/>
  <c r="E136" i="1"/>
  <c r="E25" i="1"/>
  <c r="E173" i="1"/>
  <c r="E53" i="1"/>
  <c r="E478" i="1"/>
  <c r="E370" i="1"/>
  <c r="E463" i="1"/>
  <c r="E484" i="1"/>
  <c r="E159" i="1"/>
  <c r="E189" i="1"/>
  <c r="E264" i="1"/>
  <c r="E94" i="1"/>
  <c r="E431" i="1"/>
  <c r="E488" i="1"/>
  <c r="E223" i="1"/>
  <c r="E178" i="1"/>
  <c r="E482" i="1"/>
  <c r="E238" i="1"/>
  <c r="E443" i="1"/>
  <c r="E8" i="1"/>
  <c r="E54" i="1"/>
  <c r="E460" i="1"/>
  <c r="E483" i="1"/>
  <c r="E307" i="1"/>
  <c r="E447" i="1"/>
  <c r="E121" i="1"/>
  <c r="E119" i="1"/>
  <c r="E134" i="1"/>
  <c r="E407" i="1"/>
  <c r="E406" i="1"/>
  <c r="E458" i="1"/>
  <c r="E491" i="1"/>
  <c r="E314" i="1"/>
  <c r="E28" i="1"/>
  <c r="E63" i="1"/>
  <c r="E190" i="1"/>
  <c r="E425" i="1"/>
  <c r="E389" i="1"/>
  <c r="E492" i="1"/>
  <c r="E97" i="1"/>
  <c r="E200" i="1"/>
  <c r="E338" i="1"/>
  <c r="E433" i="1"/>
  <c r="E132" i="1"/>
  <c r="E201" i="1"/>
  <c r="E445" i="1"/>
  <c r="E457" i="1"/>
  <c r="E471" i="1"/>
  <c r="E462" i="1"/>
  <c r="E292" i="1"/>
  <c r="E323" i="1"/>
  <c r="E246" i="1"/>
  <c r="E124" i="1"/>
  <c r="E394" i="1"/>
  <c r="E401" i="1"/>
  <c r="E23" i="1"/>
  <c r="E171" i="1"/>
  <c r="E167" i="1"/>
  <c r="E47" i="1"/>
  <c r="E174" i="1"/>
  <c r="E61" i="1"/>
  <c r="E400" i="1"/>
  <c r="E398" i="1"/>
  <c r="E306" i="1"/>
  <c r="E32" i="1"/>
  <c r="E399" i="1"/>
  <c r="E85" i="1"/>
  <c r="E256" i="1"/>
  <c r="E335" i="1"/>
  <c r="E103" i="1"/>
  <c r="E75" i="1"/>
  <c r="E250" i="1"/>
  <c r="E209" i="1"/>
  <c r="E480" i="1"/>
  <c r="E83" i="1"/>
  <c r="E60" i="1"/>
  <c r="E495" i="1"/>
  <c r="E442" i="1"/>
  <c r="E417" i="1"/>
  <c r="E405" i="1"/>
  <c r="E79" i="1"/>
  <c r="E461" i="1"/>
  <c r="E448" i="1"/>
  <c r="E247" i="1"/>
  <c r="E430" i="1"/>
  <c r="E434" i="1"/>
  <c r="E494" i="1"/>
  <c r="E116" i="1"/>
  <c r="E450" i="1"/>
  <c r="E220" i="1"/>
  <c r="E239" i="1"/>
  <c r="E88" i="1"/>
  <c r="E110" i="1"/>
  <c r="E362" i="1"/>
  <c r="E218" i="1"/>
  <c r="E380" i="1"/>
  <c r="E208" i="1"/>
  <c r="E341" i="1"/>
  <c r="E182" i="1"/>
  <c r="E255" i="1"/>
  <c r="E320" i="1"/>
  <c r="E153" i="1"/>
  <c r="E364" i="1"/>
  <c r="E176" i="1"/>
  <c r="E329" i="1"/>
  <c r="E352" i="1"/>
  <c r="E496" i="1"/>
  <c r="E416" i="1"/>
  <c r="E348" i="1"/>
  <c r="E346" i="1"/>
  <c r="E420" i="1"/>
  <c r="E284" i="1"/>
  <c r="E373" i="1"/>
  <c r="E13" i="1"/>
  <c r="E439" i="1"/>
  <c r="E300" i="1"/>
  <c r="E326" i="1"/>
  <c r="E262" i="1"/>
  <c r="E476" i="1"/>
  <c r="E57" i="1"/>
  <c r="E367" i="1"/>
  <c r="E473" i="1"/>
  <c r="E51" i="1"/>
  <c r="E358" i="1"/>
  <c r="E393" i="1"/>
  <c r="E349" i="1"/>
  <c r="E161" i="1"/>
  <c r="E383" i="1"/>
  <c r="E354" i="1"/>
  <c r="E283" i="1"/>
  <c r="E293" i="1"/>
  <c r="E363" i="1"/>
  <c r="E185" i="1"/>
  <c r="E229" i="1"/>
  <c r="E379" i="1"/>
  <c r="E291" i="1"/>
  <c r="E487" i="1"/>
  <c r="E151" i="1"/>
  <c r="E206" i="1"/>
  <c r="E67" i="1"/>
  <c r="E142" i="1"/>
  <c r="E204" i="1"/>
  <c r="E122" i="1"/>
  <c r="E146" i="1"/>
  <c r="E440" i="1"/>
  <c r="E353" i="1"/>
  <c r="E221" i="1"/>
  <c r="E186" i="1"/>
  <c r="E152" i="1"/>
  <c r="E165" i="1"/>
  <c r="E387" i="1"/>
  <c r="E479" i="1"/>
  <c r="E412" i="1"/>
  <c r="E234" i="1"/>
  <c r="E270" i="1"/>
  <c r="E377" i="1"/>
  <c r="E375" i="1"/>
  <c r="E195" i="1"/>
  <c r="E219" i="1"/>
  <c r="E194" i="1"/>
  <c r="E96" i="1"/>
  <c r="E138" i="1"/>
  <c r="E242" i="1"/>
  <c r="E426" i="1"/>
  <c r="E235" i="1"/>
  <c r="E55" i="1"/>
  <c r="E236" i="1"/>
  <c r="E50" i="1"/>
  <c r="E59" i="1"/>
  <c r="E106" i="1"/>
  <c r="E374" i="1"/>
  <c r="E244" i="1"/>
  <c r="E331" i="1"/>
  <c r="E282" i="1"/>
  <c r="E257" i="1"/>
  <c r="E224" i="1"/>
  <c r="E230" i="1"/>
  <c r="E66" i="1"/>
  <c r="E451" i="1"/>
  <c r="E418" i="1"/>
  <c r="E109" i="1"/>
  <c r="E468" i="1"/>
  <c r="E118" i="1"/>
  <c r="E415" i="1"/>
  <c r="E169" i="1"/>
  <c r="E163" i="1"/>
  <c r="E248" i="1"/>
  <c r="E150" i="1"/>
  <c r="E303" i="1"/>
  <c r="E297" i="1"/>
  <c r="E493" i="1"/>
  <c r="E421" i="1"/>
  <c r="E325" i="1"/>
  <c r="E276" i="1"/>
  <c r="E105" i="1"/>
  <c r="E175" i="1"/>
  <c r="E403" i="1"/>
  <c r="E74" i="1"/>
  <c r="E368" i="1"/>
  <c r="E62" i="1"/>
  <c r="E410" i="1"/>
  <c r="E274" i="1"/>
  <c r="E188" i="1"/>
  <c r="E202" i="1"/>
  <c r="E273" i="1"/>
  <c r="E7" i="1"/>
  <c r="E481" i="1"/>
  <c r="E449" i="1"/>
  <c r="E422" i="1"/>
  <c r="E227" i="1"/>
  <c r="E267" i="1"/>
  <c r="E470" i="1"/>
  <c r="E298" i="1"/>
  <c r="E168" i="1"/>
  <c r="E214" i="1"/>
  <c r="E243" i="1"/>
  <c r="E130" i="1"/>
  <c r="E145" i="1"/>
  <c r="E98" i="1"/>
  <c r="E131" i="1"/>
  <c r="E356" i="1"/>
  <c r="E127" i="1"/>
  <c r="E490" i="1"/>
  <c r="E192" i="1"/>
  <c r="E99" i="1"/>
  <c r="E427" i="1"/>
  <c r="E441" i="1"/>
  <c r="E187" i="1"/>
  <c r="E148" i="1"/>
  <c r="E435" i="1"/>
  <c r="E318" i="1"/>
  <c r="E446" i="1"/>
  <c r="E154" i="1"/>
  <c r="E42" i="1"/>
  <c r="E409" i="1"/>
  <c r="E77" i="1"/>
  <c r="E466" i="1"/>
  <c r="E345" i="1"/>
  <c r="E285" i="1"/>
  <c r="E333" i="1"/>
  <c r="E310" i="1"/>
  <c r="E467" i="1"/>
  <c r="E454" i="1"/>
  <c r="E210" i="1"/>
  <c r="E108" i="1"/>
  <c r="E126" i="1"/>
  <c r="E299" i="1"/>
  <c r="E166" i="1"/>
  <c r="E337" i="1"/>
  <c r="E101" i="1"/>
  <c r="E343" i="1"/>
  <c r="E360" i="1"/>
  <c r="E456" i="1"/>
  <c r="E286" i="1"/>
  <c r="E432" i="1"/>
  <c r="E258" i="1"/>
  <c r="E324" i="1"/>
  <c r="E414" i="1"/>
  <c r="E327" i="1"/>
  <c r="E313" i="1"/>
  <c r="E351" i="1"/>
  <c r="E5" i="1"/>
  <c r="E305" i="1"/>
  <c r="E225" i="1"/>
  <c r="E12" i="1"/>
  <c r="E388" i="1"/>
  <c r="E56" i="1"/>
  <c r="E181" i="1"/>
  <c r="E95" i="1"/>
  <c r="E260" i="1"/>
  <c r="E382" i="1"/>
  <c r="E453" i="1"/>
  <c r="E20" i="1"/>
  <c r="E73" i="1"/>
  <c r="E78" i="1"/>
  <c r="E281" i="1"/>
  <c r="E64" i="1"/>
  <c r="E402" i="1"/>
  <c r="E390" i="1"/>
  <c r="E265" i="1"/>
  <c r="E117" i="1"/>
  <c r="E240" i="1"/>
  <c r="E199" i="1"/>
  <c r="E86" i="1"/>
  <c r="E268" i="1"/>
  <c r="E308" i="1"/>
  <c r="E162" i="1"/>
  <c r="E123" i="1"/>
  <c r="E413" i="1"/>
  <c r="E330" i="1"/>
  <c r="E84" i="1"/>
  <c r="E424" i="1"/>
  <c r="E332" i="1"/>
  <c r="E104" i="1"/>
  <c r="E91" i="1"/>
  <c r="E395" i="1"/>
  <c r="E133" i="1"/>
  <c r="E485" i="1"/>
  <c r="E477" i="1"/>
  <c r="E366" i="1"/>
  <c r="E170" i="1"/>
  <c r="E378" i="1"/>
  <c r="E196" i="1"/>
  <c r="E429" i="1"/>
  <c r="E38" i="1"/>
  <c r="E232" i="1"/>
  <c r="E35" i="1"/>
  <c r="E39" i="1"/>
  <c r="E465" i="1"/>
  <c r="E279" i="1"/>
  <c r="E155" i="1"/>
  <c r="E459" i="1"/>
  <c r="E76" i="1"/>
  <c r="E213" i="1"/>
  <c r="E396" i="1"/>
  <c r="E141" i="1"/>
  <c r="E48" i="1"/>
  <c r="E52" i="1"/>
  <c r="E472" i="1"/>
  <c r="E102" i="1"/>
  <c r="E207" i="1"/>
  <c r="E309" i="1"/>
  <c r="E100" i="1"/>
  <c r="E82" i="1"/>
  <c r="E87" i="1"/>
  <c r="E436" i="1"/>
  <c r="E277" i="1"/>
  <c r="E340" i="1"/>
  <c r="E295" i="1"/>
  <c r="E129" i="1"/>
  <c r="E231" i="1"/>
  <c r="E149" i="1"/>
  <c r="E259" i="1"/>
  <c r="E15" i="1"/>
  <c r="E198" i="1"/>
  <c r="E376" i="1"/>
  <c r="E114" i="1"/>
  <c r="E344" i="1"/>
  <c r="E486" i="1"/>
  <c r="E80" i="1"/>
  <c r="E135" i="1"/>
  <c r="E160" i="1"/>
  <c r="E280" i="1"/>
  <c r="E321" i="1"/>
  <c r="E22" i="1"/>
  <c r="E216" i="1"/>
  <c r="E191" i="1"/>
  <c r="E17" i="1"/>
  <c r="E156" i="1"/>
  <c r="E26" i="1"/>
  <c r="E81" i="1"/>
  <c r="E342" i="1"/>
  <c r="E444" i="1"/>
  <c r="E489" i="1"/>
  <c r="E455" i="1"/>
  <c r="E289" i="1"/>
  <c r="E372" i="1"/>
  <c r="E361" i="1"/>
  <c r="E347" i="1"/>
  <c r="E339" i="1"/>
  <c r="E464" i="1"/>
  <c r="E58" i="1"/>
  <c r="E147" i="1"/>
  <c r="E350" i="1"/>
  <c r="E143" i="1"/>
  <c r="E452" i="1"/>
  <c r="E212" i="1"/>
  <c r="E68" i="1"/>
  <c r="E391" i="1"/>
  <c r="E475" i="1"/>
  <c r="E245" i="1"/>
  <c r="E211" i="1"/>
  <c r="E16" i="1"/>
  <c r="E437" i="1"/>
  <c r="E46" i="1"/>
  <c r="E183" i="1"/>
  <c r="E179" i="1"/>
  <c r="E381" i="1"/>
  <c r="E241" i="1"/>
  <c r="E92" i="1"/>
  <c r="E272" i="1"/>
  <c r="E261" i="1"/>
  <c r="E365" i="1"/>
  <c r="E290" i="1"/>
  <c r="E312" i="1"/>
  <c r="E336" i="1"/>
  <c r="E158" i="1"/>
  <c r="E301" i="1"/>
  <c r="E14" i="1"/>
  <c r="E43" i="1"/>
  <c r="E328" i="1"/>
  <c r="E469" i="1"/>
  <c r="E193" i="1"/>
  <c r="E215" i="1"/>
  <c r="E37" i="1"/>
  <c r="E271" i="1"/>
  <c r="E31" i="1"/>
  <c r="E6" i="1"/>
  <c r="E254" i="1"/>
  <c r="E70" i="1"/>
  <c r="E113" i="1"/>
  <c r="E18" i="1"/>
  <c r="E24" i="1"/>
  <c r="E302" i="1"/>
  <c r="E263" i="1"/>
  <c r="E30" i="1"/>
  <c r="E34" i="1"/>
  <c r="E111" i="1"/>
  <c r="E128" i="1"/>
  <c r="E317" i="1"/>
  <c r="E288" i="1"/>
  <c r="E311" i="1"/>
  <c r="E137" i="1"/>
  <c r="E40" i="1"/>
  <c r="E275" i="1"/>
  <c r="E203" i="1"/>
  <c r="E287" i="1"/>
  <c r="E217" i="1"/>
  <c r="E237" i="1"/>
  <c r="E385" i="1"/>
  <c r="E36" i="1"/>
  <c r="E419" i="1"/>
  <c r="E27" i="1"/>
  <c r="E9" i="1"/>
  <c r="E69" i="1"/>
  <c r="E90" i="1"/>
  <c r="E11" i="1"/>
  <c r="T3" i="1" l="1"/>
  <c r="G106" i="1" l="1"/>
  <c r="G386" i="1" l="1"/>
  <c r="G323" i="1"/>
  <c r="G132" i="1"/>
  <c r="G470" i="1"/>
  <c r="G376" i="1"/>
  <c r="G443" i="1"/>
  <c r="G496" i="1"/>
  <c r="G30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3" i="1"/>
  <c r="G472" i="1"/>
  <c r="G471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7" i="1"/>
  <c r="G406" i="1"/>
  <c r="G405" i="1"/>
  <c r="G403" i="1"/>
  <c r="G402" i="1"/>
  <c r="G401" i="1"/>
  <c r="G400" i="1"/>
  <c r="G399" i="1"/>
  <c r="G398" i="1"/>
  <c r="G396" i="1"/>
  <c r="G395" i="1"/>
  <c r="G394" i="1"/>
  <c r="G393" i="1"/>
  <c r="G392" i="1"/>
  <c r="G391" i="1"/>
  <c r="G390" i="1"/>
  <c r="G389" i="1"/>
  <c r="G388" i="1"/>
  <c r="G387" i="1"/>
  <c r="G385" i="1"/>
  <c r="G383" i="1"/>
  <c r="G382" i="1"/>
  <c r="G381" i="1"/>
  <c r="G380" i="1"/>
  <c r="G379" i="1"/>
  <c r="G378" i="1"/>
  <c r="G377" i="1"/>
  <c r="G375" i="1"/>
  <c r="G374" i="1"/>
  <c r="G373" i="1"/>
  <c r="G372" i="1"/>
  <c r="G370" i="1"/>
  <c r="G368" i="1"/>
  <c r="G367" i="1"/>
  <c r="G366" i="1"/>
  <c r="G365" i="1"/>
  <c r="G364" i="1"/>
  <c r="G363" i="1"/>
  <c r="G362" i="1"/>
  <c r="G361" i="1"/>
  <c r="G360" i="1"/>
  <c r="G359" i="1"/>
  <c r="G358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1" i="1"/>
  <c r="G320" i="1"/>
  <c r="G318" i="1"/>
  <c r="G317" i="1"/>
  <c r="G314" i="1"/>
  <c r="G313" i="1"/>
  <c r="G312" i="1"/>
  <c r="G311" i="1"/>
  <c r="G310" i="1"/>
  <c r="G309" i="1"/>
  <c r="G308" i="1"/>
  <c r="G307" i="1"/>
  <c r="G305" i="1"/>
  <c r="G303" i="1"/>
  <c r="G302" i="1"/>
  <c r="G301" i="1"/>
  <c r="G300" i="1"/>
  <c r="G299" i="1"/>
  <c r="G298" i="1"/>
  <c r="G297" i="1"/>
  <c r="G296" i="1"/>
  <c r="G295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7" i="1"/>
  <c r="G276" i="1"/>
  <c r="G275" i="1"/>
  <c r="G274" i="1"/>
  <c r="G273" i="1"/>
  <c r="G272" i="1"/>
  <c r="G271" i="1"/>
  <c r="G270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7" i="1"/>
  <c r="G225" i="1"/>
  <c r="G224" i="1"/>
  <c r="G223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4" i="1"/>
  <c r="G203" i="1"/>
  <c r="G202" i="1"/>
  <c r="G201" i="1"/>
  <c r="G200" i="1"/>
  <c r="G199" i="1"/>
  <c r="G198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3" i="1"/>
  <c r="G182" i="1"/>
  <c r="G181" i="1"/>
  <c r="G179" i="1"/>
  <c r="G178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3" i="1"/>
  <c r="G162" i="1"/>
  <c r="G161" i="1"/>
  <c r="G160" i="1"/>
  <c r="G159" i="1"/>
  <c r="G158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8" i="1"/>
  <c r="G137" i="1"/>
  <c r="G136" i="1"/>
  <c r="G135" i="1"/>
  <c r="G134" i="1"/>
  <c r="G133" i="1"/>
  <c r="G131" i="1"/>
  <c r="G130" i="1"/>
  <c r="G129" i="1"/>
  <c r="G128" i="1"/>
  <c r="G127" i="1"/>
  <c r="G126" i="1"/>
  <c r="G125" i="1"/>
  <c r="G124" i="1"/>
  <c r="G123" i="1"/>
  <c r="G122" i="1"/>
  <c r="G121" i="1"/>
  <c r="G119" i="1"/>
  <c r="G118" i="1"/>
  <c r="G117" i="1"/>
  <c r="G116" i="1"/>
  <c r="G114" i="1"/>
  <c r="G113" i="1"/>
  <c r="G111" i="1"/>
  <c r="G110" i="1"/>
  <c r="G109" i="1"/>
  <c r="G108" i="1"/>
  <c r="G105" i="1"/>
  <c r="G104" i="1"/>
  <c r="G103" i="1"/>
  <c r="G102" i="1"/>
  <c r="G101" i="1"/>
  <c r="G100" i="1"/>
  <c r="G99" i="1"/>
  <c r="G98" i="1"/>
  <c r="G97" i="1"/>
  <c r="G96" i="1"/>
  <c r="G95" i="1"/>
  <c r="G94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8" i="1"/>
  <c r="G47" i="1"/>
  <c r="G46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0" i="1"/>
  <c r="G18" i="1"/>
  <c r="G17" i="1"/>
  <c r="G16" i="1"/>
  <c r="G15" i="1"/>
  <c r="G14" i="1"/>
  <c r="G13" i="1"/>
  <c r="G12" i="1"/>
  <c r="G11" i="1"/>
  <c r="G9" i="1"/>
  <c r="G8" i="1"/>
  <c r="G7" i="1"/>
  <c r="G6" i="1"/>
  <c r="G5" i="1"/>
  <c r="E3" i="1"/>
  <c r="G3" i="1" s="1"/>
  <c r="P376" i="1"/>
  <c r="AM1" i="1" l="1"/>
  <c r="AK1" i="1"/>
  <c r="T386" i="1"/>
  <c r="S386" i="1"/>
  <c r="R386" i="1"/>
  <c r="Q386" i="1"/>
  <c r="P386" i="1"/>
  <c r="T323" i="1"/>
  <c r="S323" i="1"/>
  <c r="R323" i="1"/>
  <c r="Q323" i="1"/>
  <c r="P323" i="1"/>
  <c r="T132" i="1"/>
  <c r="S132" i="1"/>
  <c r="R132" i="1"/>
  <c r="Q132" i="1"/>
  <c r="P132" i="1"/>
  <c r="T470" i="1"/>
  <c r="S470" i="1"/>
  <c r="R470" i="1"/>
  <c r="Q470" i="1"/>
  <c r="P470" i="1"/>
  <c r="T376" i="1"/>
  <c r="S376" i="1"/>
  <c r="R376" i="1"/>
  <c r="Q376" i="1"/>
  <c r="T443" i="1"/>
  <c r="S443" i="1"/>
  <c r="R443" i="1"/>
  <c r="Q443" i="1"/>
  <c r="P443" i="1"/>
  <c r="T496" i="1"/>
  <c r="S496" i="1"/>
  <c r="R496" i="1"/>
  <c r="Q496" i="1"/>
  <c r="P496" i="1"/>
  <c r="T306" i="1"/>
  <c r="S306" i="1"/>
  <c r="R306" i="1"/>
  <c r="Q306" i="1"/>
  <c r="P306" i="1"/>
  <c r="T495" i="1"/>
  <c r="S495" i="1"/>
  <c r="R495" i="1"/>
  <c r="Q495" i="1"/>
  <c r="P495" i="1"/>
  <c r="T494" i="1"/>
  <c r="S494" i="1"/>
  <c r="R494" i="1"/>
  <c r="Q494" i="1"/>
  <c r="P494" i="1"/>
  <c r="T493" i="1"/>
  <c r="S493" i="1"/>
  <c r="R493" i="1"/>
  <c r="Q493" i="1"/>
  <c r="P493" i="1"/>
  <c r="T492" i="1"/>
  <c r="S492" i="1"/>
  <c r="R492" i="1"/>
  <c r="Q492" i="1"/>
  <c r="P492" i="1"/>
  <c r="T491" i="1"/>
  <c r="S491" i="1"/>
  <c r="R491" i="1"/>
  <c r="Q491" i="1"/>
  <c r="P491" i="1"/>
  <c r="T490" i="1"/>
  <c r="S490" i="1"/>
  <c r="R490" i="1"/>
  <c r="Q490" i="1"/>
  <c r="P490" i="1"/>
  <c r="T489" i="1"/>
  <c r="S489" i="1"/>
  <c r="R489" i="1"/>
  <c r="Q489" i="1"/>
  <c r="P489" i="1"/>
  <c r="T488" i="1"/>
  <c r="S488" i="1"/>
  <c r="R488" i="1"/>
  <c r="Q488" i="1"/>
  <c r="P488" i="1"/>
  <c r="T487" i="1"/>
  <c r="S487" i="1"/>
  <c r="R487" i="1"/>
  <c r="Q487" i="1"/>
  <c r="P487" i="1"/>
  <c r="T486" i="1"/>
  <c r="S486" i="1"/>
  <c r="R486" i="1"/>
  <c r="Q486" i="1"/>
  <c r="P486" i="1"/>
  <c r="T485" i="1"/>
  <c r="S485" i="1"/>
  <c r="R485" i="1"/>
  <c r="Q485" i="1"/>
  <c r="P485" i="1"/>
  <c r="T484" i="1"/>
  <c r="S484" i="1"/>
  <c r="R484" i="1"/>
  <c r="Q484" i="1"/>
  <c r="P484" i="1"/>
  <c r="T483" i="1"/>
  <c r="S483" i="1"/>
  <c r="R483" i="1"/>
  <c r="Q483" i="1"/>
  <c r="P483" i="1"/>
  <c r="T482" i="1"/>
  <c r="S482" i="1"/>
  <c r="R482" i="1"/>
  <c r="Q482" i="1"/>
  <c r="P482" i="1"/>
  <c r="T481" i="1"/>
  <c r="S481" i="1"/>
  <c r="R481" i="1"/>
  <c r="Q481" i="1"/>
  <c r="P481" i="1"/>
  <c r="T480" i="1"/>
  <c r="S480" i="1"/>
  <c r="R480" i="1"/>
  <c r="Q480" i="1"/>
  <c r="P480" i="1"/>
  <c r="T479" i="1"/>
  <c r="S479" i="1"/>
  <c r="R479" i="1"/>
  <c r="Q479" i="1"/>
  <c r="P479" i="1"/>
  <c r="T478" i="1"/>
  <c r="S478" i="1"/>
  <c r="R478" i="1"/>
  <c r="Q478" i="1"/>
  <c r="P478" i="1"/>
  <c r="T477" i="1"/>
  <c r="S477" i="1"/>
  <c r="R477" i="1"/>
  <c r="Q477" i="1"/>
  <c r="P477" i="1"/>
  <c r="T476" i="1"/>
  <c r="S476" i="1"/>
  <c r="R476" i="1"/>
  <c r="Q476" i="1"/>
  <c r="P476" i="1"/>
  <c r="T475" i="1"/>
  <c r="S475" i="1"/>
  <c r="R475" i="1"/>
  <c r="Q475" i="1"/>
  <c r="P475" i="1"/>
  <c r="T473" i="1"/>
  <c r="S473" i="1"/>
  <c r="R473" i="1"/>
  <c r="Q473" i="1"/>
  <c r="P473" i="1"/>
  <c r="T472" i="1"/>
  <c r="S472" i="1"/>
  <c r="R472" i="1"/>
  <c r="Q472" i="1"/>
  <c r="P472" i="1"/>
  <c r="T471" i="1"/>
  <c r="S471" i="1"/>
  <c r="R471" i="1"/>
  <c r="Q471" i="1"/>
  <c r="P471" i="1"/>
  <c r="T469" i="1"/>
  <c r="S469" i="1"/>
  <c r="R469" i="1"/>
  <c r="Q469" i="1"/>
  <c r="P469" i="1"/>
  <c r="T468" i="1"/>
  <c r="S468" i="1"/>
  <c r="R468" i="1"/>
  <c r="Q468" i="1"/>
  <c r="P468" i="1"/>
  <c r="T467" i="1"/>
  <c r="S467" i="1"/>
  <c r="R467" i="1"/>
  <c r="Q467" i="1"/>
  <c r="P467" i="1"/>
  <c r="T466" i="1"/>
  <c r="S466" i="1"/>
  <c r="R466" i="1"/>
  <c r="Q466" i="1"/>
  <c r="P466" i="1"/>
  <c r="T465" i="1"/>
  <c r="S465" i="1"/>
  <c r="R465" i="1"/>
  <c r="Q465" i="1"/>
  <c r="P465" i="1"/>
  <c r="T464" i="1"/>
  <c r="S464" i="1"/>
  <c r="R464" i="1"/>
  <c r="Q464" i="1"/>
  <c r="P464" i="1"/>
  <c r="T463" i="1"/>
  <c r="S463" i="1"/>
  <c r="R463" i="1"/>
  <c r="Q463" i="1"/>
  <c r="P463" i="1"/>
  <c r="T462" i="1"/>
  <c r="S462" i="1"/>
  <c r="R462" i="1"/>
  <c r="Q462" i="1"/>
  <c r="P462" i="1"/>
  <c r="T461" i="1"/>
  <c r="S461" i="1"/>
  <c r="R461" i="1"/>
  <c r="Q461" i="1"/>
  <c r="P461" i="1"/>
  <c r="T460" i="1"/>
  <c r="S460" i="1"/>
  <c r="R460" i="1"/>
  <c r="Q460" i="1"/>
  <c r="P460" i="1"/>
  <c r="T459" i="1"/>
  <c r="S459" i="1"/>
  <c r="R459" i="1"/>
  <c r="Q459" i="1"/>
  <c r="P459" i="1"/>
  <c r="T458" i="1"/>
  <c r="S458" i="1"/>
  <c r="R458" i="1"/>
  <c r="Q458" i="1"/>
  <c r="P458" i="1"/>
  <c r="T457" i="1"/>
  <c r="S457" i="1"/>
  <c r="R457" i="1"/>
  <c r="Q457" i="1"/>
  <c r="P457" i="1"/>
  <c r="T456" i="1"/>
  <c r="S456" i="1"/>
  <c r="R456" i="1"/>
  <c r="Q456" i="1"/>
  <c r="P456" i="1"/>
  <c r="T455" i="1"/>
  <c r="S455" i="1"/>
  <c r="R455" i="1"/>
  <c r="Q455" i="1"/>
  <c r="P455" i="1"/>
  <c r="T454" i="1"/>
  <c r="S454" i="1"/>
  <c r="R454" i="1"/>
  <c r="Q454" i="1"/>
  <c r="P454" i="1"/>
  <c r="T453" i="1"/>
  <c r="S453" i="1"/>
  <c r="R453" i="1"/>
  <c r="Q453" i="1"/>
  <c r="P453" i="1"/>
  <c r="T452" i="1"/>
  <c r="S452" i="1"/>
  <c r="R452" i="1"/>
  <c r="Q452" i="1"/>
  <c r="P452" i="1"/>
  <c r="T451" i="1"/>
  <c r="S451" i="1"/>
  <c r="R451" i="1"/>
  <c r="Q451" i="1"/>
  <c r="P451" i="1"/>
  <c r="T450" i="1"/>
  <c r="S450" i="1"/>
  <c r="R450" i="1"/>
  <c r="Q450" i="1"/>
  <c r="P450" i="1"/>
  <c r="T449" i="1"/>
  <c r="S449" i="1"/>
  <c r="R449" i="1"/>
  <c r="Q449" i="1"/>
  <c r="P449" i="1"/>
  <c r="T448" i="1"/>
  <c r="S448" i="1"/>
  <c r="R448" i="1"/>
  <c r="Q448" i="1"/>
  <c r="P448" i="1"/>
  <c r="T447" i="1"/>
  <c r="S447" i="1"/>
  <c r="R447" i="1"/>
  <c r="Q447" i="1"/>
  <c r="P447" i="1"/>
  <c r="T446" i="1"/>
  <c r="S446" i="1"/>
  <c r="R446" i="1"/>
  <c r="Q446" i="1"/>
  <c r="P446" i="1"/>
  <c r="T445" i="1"/>
  <c r="S445" i="1"/>
  <c r="R445" i="1"/>
  <c r="Q445" i="1"/>
  <c r="P445" i="1"/>
  <c r="T444" i="1"/>
  <c r="S444" i="1"/>
  <c r="R444" i="1"/>
  <c r="Q444" i="1"/>
  <c r="P444" i="1"/>
  <c r="T442" i="1"/>
  <c r="S442" i="1"/>
  <c r="R442" i="1"/>
  <c r="Q442" i="1"/>
  <c r="P442" i="1"/>
  <c r="T441" i="1"/>
  <c r="S441" i="1"/>
  <c r="R441" i="1"/>
  <c r="Q441" i="1"/>
  <c r="P441" i="1"/>
  <c r="T440" i="1"/>
  <c r="S440" i="1"/>
  <c r="R440" i="1"/>
  <c r="Q440" i="1"/>
  <c r="P440" i="1"/>
  <c r="T439" i="1"/>
  <c r="S439" i="1"/>
  <c r="R439" i="1"/>
  <c r="Q439" i="1"/>
  <c r="P439" i="1"/>
  <c r="T438" i="1"/>
  <c r="S438" i="1"/>
  <c r="R438" i="1"/>
  <c r="Q438" i="1"/>
  <c r="P438" i="1"/>
  <c r="T437" i="1"/>
  <c r="S437" i="1"/>
  <c r="R437" i="1"/>
  <c r="Q437" i="1"/>
  <c r="P437" i="1"/>
  <c r="T436" i="1"/>
  <c r="S436" i="1"/>
  <c r="R436" i="1"/>
  <c r="Q436" i="1"/>
  <c r="P436" i="1"/>
  <c r="T435" i="1"/>
  <c r="S435" i="1"/>
  <c r="R435" i="1"/>
  <c r="Q435" i="1"/>
  <c r="P435" i="1"/>
  <c r="T434" i="1"/>
  <c r="S434" i="1"/>
  <c r="R434" i="1"/>
  <c r="Q434" i="1"/>
  <c r="P434" i="1"/>
  <c r="T433" i="1"/>
  <c r="S433" i="1"/>
  <c r="R433" i="1"/>
  <c r="Q433" i="1"/>
  <c r="P433" i="1"/>
  <c r="T432" i="1"/>
  <c r="S432" i="1"/>
  <c r="R432" i="1"/>
  <c r="Q432" i="1"/>
  <c r="P432" i="1"/>
  <c r="T431" i="1"/>
  <c r="S431" i="1"/>
  <c r="R431" i="1"/>
  <c r="Q431" i="1"/>
  <c r="P431" i="1"/>
  <c r="T430" i="1"/>
  <c r="S430" i="1"/>
  <c r="R430" i="1"/>
  <c r="Q430" i="1"/>
  <c r="P430" i="1"/>
  <c r="T429" i="1"/>
  <c r="S429" i="1"/>
  <c r="R429" i="1"/>
  <c r="Q429" i="1"/>
  <c r="P429" i="1"/>
  <c r="T427" i="1"/>
  <c r="S427" i="1"/>
  <c r="R427" i="1"/>
  <c r="Q427" i="1"/>
  <c r="P427" i="1"/>
  <c r="T426" i="1"/>
  <c r="S426" i="1"/>
  <c r="R426" i="1"/>
  <c r="Q426" i="1"/>
  <c r="P426" i="1"/>
  <c r="T425" i="1"/>
  <c r="S425" i="1"/>
  <c r="R425" i="1"/>
  <c r="Q425" i="1"/>
  <c r="P425" i="1"/>
  <c r="T424" i="1"/>
  <c r="S424" i="1"/>
  <c r="R424" i="1"/>
  <c r="Q424" i="1"/>
  <c r="P424" i="1"/>
  <c r="T423" i="1"/>
  <c r="S423" i="1"/>
  <c r="R423" i="1"/>
  <c r="Q423" i="1"/>
  <c r="P423" i="1"/>
  <c r="T422" i="1"/>
  <c r="S422" i="1"/>
  <c r="R422" i="1"/>
  <c r="Q422" i="1"/>
  <c r="P422" i="1"/>
  <c r="T421" i="1"/>
  <c r="S421" i="1"/>
  <c r="R421" i="1"/>
  <c r="Q421" i="1"/>
  <c r="P421" i="1"/>
  <c r="T420" i="1"/>
  <c r="S420" i="1"/>
  <c r="R420" i="1"/>
  <c r="Q420" i="1"/>
  <c r="P420" i="1"/>
  <c r="T419" i="1"/>
  <c r="S419" i="1"/>
  <c r="R419" i="1"/>
  <c r="Q419" i="1"/>
  <c r="P419" i="1"/>
  <c r="T418" i="1"/>
  <c r="S418" i="1"/>
  <c r="R418" i="1"/>
  <c r="Q418" i="1"/>
  <c r="P418" i="1"/>
  <c r="T417" i="1"/>
  <c r="S417" i="1"/>
  <c r="R417" i="1"/>
  <c r="Q417" i="1"/>
  <c r="P417" i="1"/>
  <c r="T416" i="1"/>
  <c r="S416" i="1"/>
  <c r="R416" i="1"/>
  <c r="Q416" i="1"/>
  <c r="P416" i="1"/>
  <c r="T415" i="1"/>
  <c r="S415" i="1"/>
  <c r="R415" i="1"/>
  <c r="Q415" i="1"/>
  <c r="P415" i="1"/>
  <c r="T414" i="1"/>
  <c r="S414" i="1"/>
  <c r="R414" i="1"/>
  <c r="Q414" i="1"/>
  <c r="P414" i="1"/>
  <c r="T413" i="1"/>
  <c r="S413" i="1"/>
  <c r="R413" i="1"/>
  <c r="Q413" i="1"/>
  <c r="P413" i="1"/>
  <c r="T412" i="1"/>
  <c r="S412" i="1"/>
  <c r="R412" i="1"/>
  <c r="Q412" i="1"/>
  <c r="P412" i="1"/>
  <c r="T411" i="1"/>
  <c r="S411" i="1"/>
  <c r="R411" i="1"/>
  <c r="Q411" i="1"/>
  <c r="P411" i="1"/>
  <c r="T410" i="1"/>
  <c r="S410" i="1"/>
  <c r="R410" i="1"/>
  <c r="Q410" i="1"/>
  <c r="P410" i="1"/>
  <c r="T409" i="1"/>
  <c r="S409" i="1"/>
  <c r="R409" i="1"/>
  <c r="Q409" i="1"/>
  <c r="P409" i="1"/>
  <c r="T407" i="1"/>
  <c r="S407" i="1"/>
  <c r="R407" i="1"/>
  <c r="Q407" i="1"/>
  <c r="P407" i="1"/>
  <c r="T406" i="1"/>
  <c r="S406" i="1"/>
  <c r="R406" i="1"/>
  <c r="Q406" i="1"/>
  <c r="P406" i="1"/>
  <c r="T405" i="1"/>
  <c r="S405" i="1"/>
  <c r="R405" i="1"/>
  <c r="Q405" i="1"/>
  <c r="P405" i="1"/>
  <c r="T403" i="1"/>
  <c r="S403" i="1"/>
  <c r="R403" i="1"/>
  <c r="Q403" i="1"/>
  <c r="P403" i="1"/>
  <c r="T402" i="1"/>
  <c r="S402" i="1"/>
  <c r="R402" i="1"/>
  <c r="Q402" i="1"/>
  <c r="P402" i="1"/>
  <c r="T401" i="1"/>
  <c r="S401" i="1"/>
  <c r="R401" i="1"/>
  <c r="Q401" i="1"/>
  <c r="P401" i="1"/>
  <c r="T400" i="1"/>
  <c r="S400" i="1"/>
  <c r="R400" i="1"/>
  <c r="Q400" i="1"/>
  <c r="P400" i="1"/>
  <c r="T399" i="1"/>
  <c r="S399" i="1"/>
  <c r="R399" i="1"/>
  <c r="Q399" i="1"/>
  <c r="P399" i="1"/>
  <c r="T398" i="1"/>
  <c r="S398" i="1"/>
  <c r="R398" i="1"/>
  <c r="Q398" i="1"/>
  <c r="P398" i="1"/>
  <c r="T396" i="1"/>
  <c r="S396" i="1"/>
  <c r="R396" i="1"/>
  <c r="Q396" i="1"/>
  <c r="P396" i="1"/>
  <c r="T395" i="1"/>
  <c r="S395" i="1"/>
  <c r="R395" i="1"/>
  <c r="Q395" i="1"/>
  <c r="P395" i="1"/>
  <c r="T394" i="1"/>
  <c r="S394" i="1"/>
  <c r="R394" i="1"/>
  <c r="Q394" i="1"/>
  <c r="P394" i="1"/>
  <c r="T393" i="1"/>
  <c r="S393" i="1"/>
  <c r="R393" i="1"/>
  <c r="Q393" i="1"/>
  <c r="P393" i="1"/>
  <c r="T392" i="1"/>
  <c r="S392" i="1"/>
  <c r="R392" i="1"/>
  <c r="Q392" i="1"/>
  <c r="P392" i="1"/>
  <c r="T391" i="1"/>
  <c r="S391" i="1"/>
  <c r="R391" i="1"/>
  <c r="Q391" i="1"/>
  <c r="P391" i="1"/>
  <c r="T390" i="1"/>
  <c r="S390" i="1"/>
  <c r="R390" i="1"/>
  <c r="Q390" i="1"/>
  <c r="P390" i="1"/>
  <c r="T389" i="1"/>
  <c r="S389" i="1"/>
  <c r="R389" i="1"/>
  <c r="Q389" i="1"/>
  <c r="P389" i="1"/>
  <c r="T388" i="1"/>
  <c r="S388" i="1"/>
  <c r="R388" i="1"/>
  <c r="Q388" i="1"/>
  <c r="P388" i="1"/>
  <c r="T387" i="1"/>
  <c r="S387" i="1"/>
  <c r="R387" i="1"/>
  <c r="Q387" i="1"/>
  <c r="P387" i="1"/>
  <c r="T385" i="1"/>
  <c r="S385" i="1"/>
  <c r="R385" i="1"/>
  <c r="Q385" i="1"/>
  <c r="P385" i="1"/>
  <c r="T383" i="1"/>
  <c r="S383" i="1"/>
  <c r="R383" i="1"/>
  <c r="Q383" i="1"/>
  <c r="P383" i="1"/>
  <c r="T382" i="1"/>
  <c r="S382" i="1"/>
  <c r="R382" i="1"/>
  <c r="Q382" i="1"/>
  <c r="P382" i="1"/>
  <c r="T381" i="1"/>
  <c r="S381" i="1"/>
  <c r="R381" i="1"/>
  <c r="Q381" i="1"/>
  <c r="P381" i="1"/>
  <c r="T380" i="1"/>
  <c r="S380" i="1"/>
  <c r="R380" i="1"/>
  <c r="Q380" i="1"/>
  <c r="P380" i="1"/>
  <c r="T379" i="1"/>
  <c r="S379" i="1"/>
  <c r="R379" i="1"/>
  <c r="Q379" i="1"/>
  <c r="P379" i="1"/>
  <c r="T378" i="1"/>
  <c r="S378" i="1"/>
  <c r="R378" i="1"/>
  <c r="Q378" i="1"/>
  <c r="P378" i="1"/>
  <c r="T377" i="1"/>
  <c r="S377" i="1"/>
  <c r="R377" i="1"/>
  <c r="Q377" i="1"/>
  <c r="P377" i="1"/>
  <c r="T375" i="1"/>
  <c r="S375" i="1"/>
  <c r="R375" i="1"/>
  <c r="Q375" i="1"/>
  <c r="P375" i="1"/>
  <c r="T374" i="1"/>
  <c r="S374" i="1"/>
  <c r="R374" i="1"/>
  <c r="Q374" i="1"/>
  <c r="P374" i="1"/>
  <c r="T373" i="1"/>
  <c r="S373" i="1"/>
  <c r="R373" i="1"/>
  <c r="Q373" i="1"/>
  <c r="P373" i="1"/>
  <c r="T372" i="1"/>
  <c r="S372" i="1"/>
  <c r="R372" i="1"/>
  <c r="Q372" i="1"/>
  <c r="P372" i="1"/>
  <c r="T370" i="1"/>
  <c r="S370" i="1"/>
  <c r="R370" i="1"/>
  <c r="Q370" i="1"/>
  <c r="P370" i="1"/>
  <c r="T368" i="1"/>
  <c r="S368" i="1"/>
  <c r="R368" i="1"/>
  <c r="Q368" i="1"/>
  <c r="P368" i="1"/>
  <c r="T367" i="1"/>
  <c r="S367" i="1"/>
  <c r="R367" i="1"/>
  <c r="Q367" i="1"/>
  <c r="P367" i="1"/>
  <c r="T366" i="1"/>
  <c r="S366" i="1"/>
  <c r="R366" i="1"/>
  <c r="Q366" i="1"/>
  <c r="P366" i="1"/>
  <c r="T365" i="1"/>
  <c r="S365" i="1"/>
  <c r="R365" i="1"/>
  <c r="Q365" i="1"/>
  <c r="P365" i="1"/>
  <c r="T364" i="1"/>
  <c r="S364" i="1"/>
  <c r="R364" i="1"/>
  <c r="Q364" i="1"/>
  <c r="P364" i="1"/>
  <c r="T363" i="1"/>
  <c r="S363" i="1"/>
  <c r="R363" i="1"/>
  <c r="Q363" i="1"/>
  <c r="P363" i="1"/>
  <c r="T362" i="1"/>
  <c r="S362" i="1"/>
  <c r="R362" i="1"/>
  <c r="Q362" i="1"/>
  <c r="P362" i="1"/>
  <c r="T361" i="1"/>
  <c r="S361" i="1"/>
  <c r="R361" i="1"/>
  <c r="Q361" i="1"/>
  <c r="P361" i="1"/>
  <c r="T360" i="1"/>
  <c r="S360" i="1"/>
  <c r="R360" i="1"/>
  <c r="Q360" i="1"/>
  <c r="P360" i="1"/>
  <c r="T359" i="1"/>
  <c r="S359" i="1"/>
  <c r="R359" i="1"/>
  <c r="Q359" i="1"/>
  <c r="P359" i="1"/>
  <c r="T358" i="1"/>
  <c r="S358" i="1"/>
  <c r="R358" i="1"/>
  <c r="Q358" i="1"/>
  <c r="P358" i="1"/>
  <c r="T356" i="1"/>
  <c r="S356" i="1"/>
  <c r="R356" i="1"/>
  <c r="Q356" i="1"/>
  <c r="P356" i="1"/>
  <c r="T355" i="1"/>
  <c r="S355" i="1"/>
  <c r="R355" i="1"/>
  <c r="Q355" i="1"/>
  <c r="P355" i="1"/>
  <c r="T354" i="1"/>
  <c r="S354" i="1"/>
  <c r="R354" i="1"/>
  <c r="Q354" i="1"/>
  <c r="P354" i="1"/>
  <c r="T353" i="1"/>
  <c r="S353" i="1"/>
  <c r="R353" i="1"/>
  <c r="Q353" i="1"/>
  <c r="P353" i="1"/>
  <c r="T352" i="1"/>
  <c r="S352" i="1"/>
  <c r="R352" i="1"/>
  <c r="Q352" i="1"/>
  <c r="P352" i="1"/>
  <c r="T351" i="1"/>
  <c r="S351" i="1"/>
  <c r="R351" i="1"/>
  <c r="Q351" i="1"/>
  <c r="P351" i="1"/>
  <c r="T350" i="1"/>
  <c r="S350" i="1"/>
  <c r="R350" i="1"/>
  <c r="Q350" i="1"/>
  <c r="P350" i="1"/>
  <c r="T349" i="1"/>
  <c r="S349" i="1"/>
  <c r="R349" i="1"/>
  <c r="Q349" i="1"/>
  <c r="P349" i="1"/>
  <c r="T348" i="1"/>
  <c r="S348" i="1"/>
  <c r="R348" i="1"/>
  <c r="Q348" i="1"/>
  <c r="P348" i="1"/>
  <c r="T347" i="1"/>
  <c r="S347" i="1"/>
  <c r="R347" i="1"/>
  <c r="Q347" i="1"/>
  <c r="P347" i="1"/>
  <c r="T346" i="1"/>
  <c r="S346" i="1"/>
  <c r="R346" i="1"/>
  <c r="Q346" i="1"/>
  <c r="P346" i="1"/>
  <c r="T345" i="1"/>
  <c r="S345" i="1"/>
  <c r="R345" i="1"/>
  <c r="Q345" i="1"/>
  <c r="P345" i="1"/>
  <c r="T344" i="1"/>
  <c r="S344" i="1"/>
  <c r="R344" i="1"/>
  <c r="Q344" i="1"/>
  <c r="P344" i="1"/>
  <c r="T343" i="1"/>
  <c r="S343" i="1"/>
  <c r="R343" i="1"/>
  <c r="Q343" i="1"/>
  <c r="P343" i="1"/>
  <c r="T342" i="1"/>
  <c r="S342" i="1"/>
  <c r="R342" i="1"/>
  <c r="Q342" i="1"/>
  <c r="P342" i="1"/>
  <c r="T341" i="1"/>
  <c r="S341" i="1"/>
  <c r="R341" i="1"/>
  <c r="Q341" i="1"/>
  <c r="P341" i="1"/>
  <c r="T340" i="1"/>
  <c r="S340" i="1"/>
  <c r="R340" i="1"/>
  <c r="Q340" i="1"/>
  <c r="P340" i="1"/>
  <c r="T339" i="1"/>
  <c r="S339" i="1"/>
  <c r="R339" i="1"/>
  <c r="Q339" i="1"/>
  <c r="P339" i="1"/>
  <c r="T338" i="1"/>
  <c r="S338" i="1"/>
  <c r="R338" i="1"/>
  <c r="Q338" i="1"/>
  <c r="P338" i="1"/>
  <c r="T337" i="1"/>
  <c r="S337" i="1"/>
  <c r="R337" i="1"/>
  <c r="Q337" i="1"/>
  <c r="P337" i="1"/>
  <c r="T336" i="1"/>
  <c r="S336" i="1"/>
  <c r="R336" i="1"/>
  <c r="Q336" i="1"/>
  <c r="P336" i="1"/>
  <c r="T335" i="1"/>
  <c r="S335" i="1"/>
  <c r="R335" i="1"/>
  <c r="Q335" i="1"/>
  <c r="P335" i="1"/>
  <c r="T334" i="1"/>
  <c r="S334" i="1"/>
  <c r="R334" i="1"/>
  <c r="Q334" i="1"/>
  <c r="P334" i="1"/>
  <c r="T333" i="1"/>
  <c r="S333" i="1"/>
  <c r="R333" i="1"/>
  <c r="Q333" i="1"/>
  <c r="P333" i="1"/>
  <c r="T332" i="1"/>
  <c r="S332" i="1"/>
  <c r="R332" i="1"/>
  <c r="Q332" i="1"/>
  <c r="P332" i="1"/>
  <c r="T331" i="1"/>
  <c r="S331" i="1"/>
  <c r="R331" i="1"/>
  <c r="Q331" i="1"/>
  <c r="P331" i="1"/>
  <c r="T330" i="1"/>
  <c r="S330" i="1"/>
  <c r="R330" i="1"/>
  <c r="Q330" i="1"/>
  <c r="P330" i="1"/>
  <c r="T329" i="1"/>
  <c r="S329" i="1"/>
  <c r="R329" i="1"/>
  <c r="Q329" i="1"/>
  <c r="P329" i="1"/>
  <c r="T328" i="1"/>
  <c r="S328" i="1"/>
  <c r="R328" i="1"/>
  <c r="Q328" i="1"/>
  <c r="P328" i="1"/>
  <c r="T327" i="1"/>
  <c r="S327" i="1"/>
  <c r="R327" i="1"/>
  <c r="Q327" i="1"/>
  <c r="P327" i="1"/>
  <c r="T326" i="1"/>
  <c r="S326" i="1"/>
  <c r="R326" i="1"/>
  <c r="Q326" i="1"/>
  <c r="P326" i="1"/>
  <c r="T325" i="1"/>
  <c r="S325" i="1"/>
  <c r="R325" i="1"/>
  <c r="Q325" i="1"/>
  <c r="P325" i="1"/>
  <c r="T324" i="1"/>
  <c r="S324" i="1"/>
  <c r="R324" i="1"/>
  <c r="Q324" i="1"/>
  <c r="P324" i="1"/>
  <c r="T321" i="1"/>
  <c r="S321" i="1"/>
  <c r="R321" i="1"/>
  <c r="Q321" i="1"/>
  <c r="P321" i="1"/>
  <c r="T320" i="1"/>
  <c r="S320" i="1"/>
  <c r="R320" i="1"/>
  <c r="Q320" i="1"/>
  <c r="P320" i="1"/>
  <c r="T318" i="1"/>
  <c r="S318" i="1"/>
  <c r="R318" i="1"/>
  <c r="Q318" i="1"/>
  <c r="P318" i="1"/>
  <c r="T317" i="1"/>
  <c r="S317" i="1"/>
  <c r="R317" i="1"/>
  <c r="Q317" i="1"/>
  <c r="P317" i="1"/>
  <c r="T314" i="1"/>
  <c r="S314" i="1"/>
  <c r="R314" i="1"/>
  <c r="Q314" i="1"/>
  <c r="P314" i="1"/>
  <c r="T313" i="1"/>
  <c r="S313" i="1"/>
  <c r="R313" i="1"/>
  <c r="Q313" i="1"/>
  <c r="P313" i="1"/>
  <c r="T312" i="1"/>
  <c r="S312" i="1"/>
  <c r="R312" i="1"/>
  <c r="Q312" i="1"/>
  <c r="P312" i="1"/>
  <c r="T311" i="1"/>
  <c r="S311" i="1"/>
  <c r="R311" i="1"/>
  <c r="Q311" i="1"/>
  <c r="P311" i="1"/>
  <c r="T310" i="1"/>
  <c r="S310" i="1"/>
  <c r="R310" i="1"/>
  <c r="Q310" i="1"/>
  <c r="P310" i="1"/>
  <c r="T309" i="1"/>
  <c r="S309" i="1"/>
  <c r="R309" i="1"/>
  <c r="Q309" i="1"/>
  <c r="P309" i="1"/>
  <c r="T308" i="1"/>
  <c r="S308" i="1"/>
  <c r="R308" i="1"/>
  <c r="Q308" i="1"/>
  <c r="P308" i="1"/>
  <c r="T307" i="1"/>
  <c r="S307" i="1"/>
  <c r="R307" i="1"/>
  <c r="Q307" i="1"/>
  <c r="P307" i="1"/>
  <c r="T305" i="1"/>
  <c r="S305" i="1"/>
  <c r="R305" i="1"/>
  <c r="Q305" i="1"/>
  <c r="P305" i="1"/>
  <c r="T303" i="1"/>
  <c r="S303" i="1"/>
  <c r="R303" i="1"/>
  <c r="Q303" i="1"/>
  <c r="P303" i="1"/>
  <c r="T302" i="1"/>
  <c r="S302" i="1"/>
  <c r="R302" i="1"/>
  <c r="Q302" i="1"/>
  <c r="P302" i="1"/>
  <c r="T301" i="1"/>
  <c r="S301" i="1"/>
  <c r="R301" i="1"/>
  <c r="Q301" i="1"/>
  <c r="P301" i="1"/>
  <c r="T300" i="1"/>
  <c r="S300" i="1"/>
  <c r="R300" i="1"/>
  <c r="Q300" i="1"/>
  <c r="P300" i="1"/>
  <c r="T299" i="1"/>
  <c r="S299" i="1"/>
  <c r="R299" i="1"/>
  <c r="Q299" i="1"/>
  <c r="P299" i="1"/>
  <c r="T298" i="1"/>
  <c r="S298" i="1"/>
  <c r="R298" i="1"/>
  <c r="Q298" i="1"/>
  <c r="P298" i="1"/>
  <c r="T297" i="1"/>
  <c r="S297" i="1"/>
  <c r="R297" i="1"/>
  <c r="Q297" i="1"/>
  <c r="P297" i="1"/>
  <c r="T296" i="1"/>
  <c r="S296" i="1"/>
  <c r="R296" i="1"/>
  <c r="Q296" i="1"/>
  <c r="P296" i="1"/>
  <c r="T295" i="1"/>
  <c r="S295" i="1"/>
  <c r="R295" i="1"/>
  <c r="Q295" i="1"/>
  <c r="P295" i="1"/>
  <c r="T293" i="1"/>
  <c r="S293" i="1"/>
  <c r="R293" i="1"/>
  <c r="Q293" i="1"/>
  <c r="P293" i="1"/>
  <c r="T292" i="1"/>
  <c r="S292" i="1"/>
  <c r="R292" i="1"/>
  <c r="Q292" i="1"/>
  <c r="P292" i="1"/>
  <c r="T291" i="1"/>
  <c r="S291" i="1"/>
  <c r="R291" i="1"/>
  <c r="Q291" i="1"/>
  <c r="P291" i="1"/>
  <c r="T290" i="1"/>
  <c r="S290" i="1"/>
  <c r="R290" i="1"/>
  <c r="Q290" i="1"/>
  <c r="P290" i="1"/>
  <c r="T289" i="1"/>
  <c r="S289" i="1"/>
  <c r="R289" i="1"/>
  <c r="Q289" i="1"/>
  <c r="P289" i="1"/>
  <c r="T288" i="1"/>
  <c r="S288" i="1"/>
  <c r="R288" i="1"/>
  <c r="Q288" i="1"/>
  <c r="P288" i="1"/>
  <c r="T287" i="1"/>
  <c r="S287" i="1"/>
  <c r="R287" i="1"/>
  <c r="Q287" i="1"/>
  <c r="P287" i="1"/>
  <c r="T286" i="1"/>
  <c r="S286" i="1"/>
  <c r="R286" i="1"/>
  <c r="Q286" i="1"/>
  <c r="P286" i="1"/>
  <c r="T285" i="1"/>
  <c r="S285" i="1"/>
  <c r="R285" i="1"/>
  <c r="Q285" i="1"/>
  <c r="P285" i="1"/>
  <c r="T284" i="1"/>
  <c r="S284" i="1"/>
  <c r="R284" i="1"/>
  <c r="Q284" i="1"/>
  <c r="P284" i="1"/>
  <c r="T283" i="1"/>
  <c r="S283" i="1"/>
  <c r="R283" i="1"/>
  <c r="Q283" i="1"/>
  <c r="P283" i="1"/>
  <c r="T282" i="1"/>
  <c r="S282" i="1"/>
  <c r="R282" i="1"/>
  <c r="Q282" i="1"/>
  <c r="P282" i="1"/>
  <c r="T281" i="1"/>
  <c r="S281" i="1"/>
  <c r="R281" i="1"/>
  <c r="Q281" i="1"/>
  <c r="P281" i="1"/>
  <c r="T280" i="1"/>
  <c r="S280" i="1"/>
  <c r="R280" i="1"/>
  <c r="Q280" i="1"/>
  <c r="P280" i="1"/>
  <c r="T279" i="1"/>
  <c r="S279" i="1"/>
  <c r="R279" i="1"/>
  <c r="Q279" i="1"/>
  <c r="P279" i="1"/>
  <c r="T277" i="1"/>
  <c r="S277" i="1"/>
  <c r="R277" i="1"/>
  <c r="Q277" i="1"/>
  <c r="P277" i="1"/>
  <c r="T276" i="1"/>
  <c r="S276" i="1"/>
  <c r="R276" i="1"/>
  <c r="Q276" i="1"/>
  <c r="P276" i="1"/>
  <c r="T275" i="1"/>
  <c r="S275" i="1"/>
  <c r="R275" i="1"/>
  <c r="Q275" i="1"/>
  <c r="P275" i="1"/>
  <c r="T274" i="1"/>
  <c r="S274" i="1"/>
  <c r="R274" i="1"/>
  <c r="Q274" i="1"/>
  <c r="P274" i="1"/>
  <c r="T273" i="1"/>
  <c r="S273" i="1"/>
  <c r="R273" i="1"/>
  <c r="Q273" i="1"/>
  <c r="P273" i="1"/>
  <c r="T272" i="1"/>
  <c r="S272" i="1"/>
  <c r="R272" i="1"/>
  <c r="Q272" i="1"/>
  <c r="P272" i="1"/>
  <c r="T271" i="1"/>
  <c r="S271" i="1"/>
  <c r="R271" i="1"/>
  <c r="Q271" i="1"/>
  <c r="P271" i="1"/>
  <c r="T270" i="1"/>
  <c r="S270" i="1"/>
  <c r="R270" i="1"/>
  <c r="Q270" i="1"/>
  <c r="P270" i="1"/>
  <c r="T268" i="1"/>
  <c r="S268" i="1"/>
  <c r="R268" i="1"/>
  <c r="Q268" i="1"/>
  <c r="P268" i="1"/>
  <c r="T267" i="1"/>
  <c r="S267" i="1"/>
  <c r="R267" i="1"/>
  <c r="Q267" i="1"/>
  <c r="P267" i="1"/>
  <c r="T266" i="1"/>
  <c r="S266" i="1"/>
  <c r="R266" i="1"/>
  <c r="Q266" i="1"/>
  <c r="P266" i="1"/>
  <c r="T265" i="1"/>
  <c r="S265" i="1"/>
  <c r="R265" i="1"/>
  <c r="Q265" i="1"/>
  <c r="P265" i="1"/>
  <c r="T264" i="1"/>
  <c r="S264" i="1"/>
  <c r="R264" i="1"/>
  <c r="Q264" i="1"/>
  <c r="P264" i="1"/>
  <c r="T263" i="1"/>
  <c r="S263" i="1"/>
  <c r="R263" i="1"/>
  <c r="Q263" i="1"/>
  <c r="P263" i="1"/>
  <c r="T262" i="1"/>
  <c r="S262" i="1"/>
  <c r="R262" i="1"/>
  <c r="Q262" i="1"/>
  <c r="P262" i="1"/>
  <c r="T261" i="1"/>
  <c r="S261" i="1"/>
  <c r="R261" i="1"/>
  <c r="Q261" i="1"/>
  <c r="P261" i="1"/>
  <c r="T260" i="1"/>
  <c r="S260" i="1"/>
  <c r="R260" i="1"/>
  <c r="Q260" i="1"/>
  <c r="P260" i="1"/>
  <c r="T259" i="1"/>
  <c r="S259" i="1"/>
  <c r="R259" i="1"/>
  <c r="Q259" i="1"/>
  <c r="P259" i="1"/>
  <c r="T258" i="1"/>
  <c r="S258" i="1"/>
  <c r="R258" i="1"/>
  <c r="Q258" i="1"/>
  <c r="P258" i="1"/>
  <c r="T257" i="1"/>
  <c r="S257" i="1"/>
  <c r="R257" i="1"/>
  <c r="Q257" i="1"/>
  <c r="P257" i="1"/>
  <c r="T256" i="1"/>
  <c r="S256" i="1"/>
  <c r="R256" i="1"/>
  <c r="Q256" i="1"/>
  <c r="P256" i="1"/>
  <c r="T255" i="1"/>
  <c r="S255" i="1"/>
  <c r="R255" i="1"/>
  <c r="Q255" i="1"/>
  <c r="P255" i="1"/>
  <c r="T254" i="1"/>
  <c r="S254" i="1"/>
  <c r="R254" i="1"/>
  <c r="Q254" i="1"/>
  <c r="P254" i="1"/>
  <c r="T250" i="1"/>
  <c r="S250" i="1"/>
  <c r="R250" i="1"/>
  <c r="Q250" i="1"/>
  <c r="P250" i="1"/>
  <c r="T249" i="1"/>
  <c r="S249" i="1"/>
  <c r="R249" i="1"/>
  <c r="Q249" i="1"/>
  <c r="P249" i="1"/>
  <c r="T248" i="1"/>
  <c r="S248" i="1"/>
  <c r="R248" i="1"/>
  <c r="Q248" i="1"/>
  <c r="P248" i="1"/>
  <c r="T247" i="1"/>
  <c r="S247" i="1"/>
  <c r="R247" i="1"/>
  <c r="Q247" i="1"/>
  <c r="P247" i="1"/>
  <c r="T246" i="1"/>
  <c r="S246" i="1"/>
  <c r="R246" i="1"/>
  <c r="Q246" i="1"/>
  <c r="P246" i="1"/>
  <c r="T245" i="1"/>
  <c r="S245" i="1"/>
  <c r="R245" i="1"/>
  <c r="Q245" i="1"/>
  <c r="P245" i="1"/>
  <c r="T244" i="1"/>
  <c r="S244" i="1"/>
  <c r="R244" i="1"/>
  <c r="Q244" i="1"/>
  <c r="P244" i="1"/>
  <c r="T243" i="1"/>
  <c r="S243" i="1"/>
  <c r="R243" i="1"/>
  <c r="Q243" i="1"/>
  <c r="P243" i="1"/>
  <c r="T242" i="1"/>
  <c r="S242" i="1"/>
  <c r="R242" i="1"/>
  <c r="Q242" i="1"/>
  <c r="P242" i="1"/>
  <c r="T241" i="1"/>
  <c r="S241" i="1"/>
  <c r="R241" i="1"/>
  <c r="Q241" i="1"/>
  <c r="P241" i="1"/>
  <c r="T240" i="1"/>
  <c r="S240" i="1"/>
  <c r="R240" i="1"/>
  <c r="Q240" i="1"/>
  <c r="P240" i="1"/>
  <c r="T239" i="1"/>
  <c r="S239" i="1"/>
  <c r="R239" i="1"/>
  <c r="Q239" i="1"/>
  <c r="P239" i="1"/>
  <c r="T238" i="1"/>
  <c r="S238" i="1"/>
  <c r="R238" i="1"/>
  <c r="Q238" i="1"/>
  <c r="P238" i="1"/>
  <c r="T237" i="1"/>
  <c r="S237" i="1"/>
  <c r="R237" i="1"/>
  <c r="Q237" i="1"/>
  <c r="P237" i="1"/>
  <c r="T236" i="1"/>
  <c r="S236" i="1"/>
  <c r="R236" i="1"/>
  <c r="Q236" i="1"/>
  <c r="P236" i="1"/>
  <c r="T235" i="1"/>
  <c r="S235" i="1"/>
  <c r="R235" i="1"/>
  <c r="Q235" i="1"/>
  <c r="P235" i="1"/>
  <c r="T234" i="1"/>
  <c r="S234" i="1"/>
  <c r="R234" i="1"/>
  <c r="Q234" i="1"/>
  <c r="P234" i="1"/>
  <c r="T233" i="1"/>
  <c r="S233" i="1"/>
  <c r="R233" i="1"/>
  <c r="Q233" i="1"/>
  <c r="P233" i="1"/>
  <c r="T232" i="1"/>
  <c r="S232" i="1"/>
  <c r="R232" i="1"/>
  <c r="Q232" i="1"/>
  <c r="P232" i="1"/>
  <c r="T231" i="1"/>
  <c r="S231" i="1"/>
  <c r="R231" i="1"/>
  <c r="Q231" i="1"/>
  <c r="P231" i="1"/>
  <c r="T230" i="1"/>
  <c r="S230" i="1"/>
  <c r="R230" i="1"/>
  <c r="Q230" i="1"/>
  <c r="P230" i="1"/>
  <c r="T229" i="1"/>
  <c r="S229" i="1"/>
  <c r="R229" i="1"/>
  <c r="Q229" i="1"/>
  <c r="P229" i="1"/>
  <c r="T227" i="1"/>
  <c r="S227" i="1"/>
  <c r="R227" i="1"/>
  <c r="Q227" i="1"/>
  <c r="P227" i="1"/>
  <c r="T225" i="1"/>
  <c r="S225" i="1"/>
  <c r="R225" i="1"/>
  <c r="Q225" i="1"/>
  <c r="P225" i="1"/>
  <c r="T224" i="1"/>
  <c r="S224" i="1"/>
  <c r="R224" i="1"/>
  <c r="Q224" i="1"/>
  <c r="P224" i="1"/>
  <c r="T223" i="1"/>
  <c r="S223" i="1"/>
  <c r="R223" i="1"/>
  <c r="Q223" i="1"/>
  <c r="P223" i="1"/>
  <c r="T221" i="1"/>
  <c r="S221" i="1"/>
  <c r="R221" i="1"/>
  <c r="Q221" i="1"/>
  <c r="P221" i="1"/>
  <c r="T220" i="1"/>
  <c r="S220" i="1"/>
  <c r="R220" i="1"/>
  <c r="Q220" i="1"/>
  <c r="P220" i="1"/>
  <c r="T219" i="1"/>
  <c r="S219" i="1"/>
  <c r="R219" i="1"/>
  <c r="Q219" i="1"/>
  <c r="P219" i="1"/>
  <c r="T218" i="1"/>
  <c r="S218" i="1"/>
  <c r="R218" i="1"/>
  <c r="Q218" i="1"/>
  <c r="P218" i="1"/>
  <c r="T217" i="1"/>
  <c r="S217" i="1"/>
  <c r="R217" i="1"/>
  <c r="Q217" i="1"/>
  <c r="P217" i="1"/>
  <c r="T216" i="1"/>
  <c r="S216" i="1"/>
  <c r="R216" i="1"/>
  <c r="Q216" i="1"/>
  <c r="P216" i="1"/>
  <c r="T215" i="1"/>
  <c r="S215" i="1"/>
  <c r="R215" i="1"/>
  <c r="Q215" i="1"/>
  <c r="P215" i="1"/>
  <c r="T214" i="1"/>
  <c r="S214" i="1"/>
  <c r="R214" i="1"/>
  <c r="Q214" i="1"/>
  <c r="P214" i="1"/>
  <c r="T213" i="1"/>
  <c r="S213" i="1"/>
  <c r="R213" i="1"/>
  <c r="Q213" i="1"/>
  <c r="P213" i="1"/>
  <c r="T212" i="1"/>
  <c r="S212" i="1"/>
  <c r="R212" i="1"/>
  <c r="Q212" i="1"/>
  <c r="P212" i="1"/>
  <c r="T211" i="1"/>
  <c r="S211" i="1"/>
  <c r="R211" i="1"/>
  <c r="Q211" i="1"/>
  <c r="P211" i="1"/>
  <c r="T210" i="1"/>
  <c r="S210" i="1"/>
  <c r="R210" i="1"/>
  <c r="Q210" i="1"/>
  <c r="P210" i="1"/>
  <c r="T209" i="1"/>
  <c r="S209" i="1"/>
  <c r="R209" i="1"/>
  <c r="Q209" i="1"/>
  <c r="P209" i="1"/>
  <c r="T208" i="1"/>
  <c r="S208" i="1"/>
  <c r="R208" i="1"/>
  <c r="Q208" i="1"/>
  <c r="P208" i="1"/>
  <c r="T207" i="1"/>
  <c r="S207" i="1"/>
  <c r="R207" i="1"/>
  <c r="Q207" i="1"/>
  <c r="P207" i="1"/>
  <c r="T206" i="1"/>
  <c r="S206" i="1"/>
  <c r="R206" i="1"/>
  <c r="Q206" i="1"/>
  <c r="P206" i="1"/>
  <c r="T204" i="1"/>
  <c r="S204" i="1"/>
  <c r="R204" i="1"/>
  <c r="Q204" i="1"/>
  <c r="P204" i="1"/>
  <c r="T203" i="1"/>
  <c r="S203" i="1"/>
  <c r="R203" i="1"/>
  <c r="Q203" i="1"/>
  <c r="P203" i="1"/>
  <c r="T202" i="1"/>
  <c r="S202" i="1"/>
  <c r="R202" i="1"/>
  <c r="Q202" i="1"/>
  <c r="P202" i="1"/>
  <c r="T201" i="1"/>
  <c r="S201" i="1"/>
  <c r="R201" i="1"/>
  <c r="Q201" i="1"/>
  <c r="P201" i="1"/>
  <c r="T200" i="1"/>
  <c r="S200" i="1"/>
  <c r="R200" i="1"/>
  <c r="Q200" i="1"/>
  <c r="P200" i="1"/>
  <c r="T199" i="1"/>
  <c r="S199" i="1"/>
  <c r="R199" i="1"/>
  <c r="Q199" i="1"/>
  <c r="P199" i="1"/>
  <c r="T198" i="1"/>
  <c r="S198" i="1"/>
  <c r="R198" i="1"/>
  <c r="Q198" i="1"/>
  <c r="P198" i="1"/>
  <c r="T196" i="1"/>
  <c r="S196" i="1"/>
  <c r="R196" i="1"/>
  <c r="Q196" i="1"/>
  <c r="P196" i="1"/>
  <c r="T195" i="1"/>
  <c r="S195" i="1"/>
  <c r="R195" i="1"/>
  <c r="Q195" i="1"/>
  <c r="P195" i="1"/>
  <c r="T194" i="1"/>
  <c r="S194" i="1"/>
  <c r="R194" i="1"/>
  <c r="Q194" i="1"/>
  <c r="P194" i="1"/>
  <c r="T193" i="1"/>
  <c r="S193" i="1"/>
  <c r="R193" i="1"/>
  <c r="Q193" i="1"/>
  <c r="P193" i="1"/>
  <c r="T192" i="1"/>
  <c r="S192" i="1"/>
  <c r="R192" i="1"/>
  <c r="Q192" i="1"/>
  <c r="P192" i="1"/>
  <c r="T191" i="1"/>
  <c r="S191" i="1"/>
  <c r="R191" i="1"/>
  <c r="Q191" i="1"/>
  <c r="P191" i="1"/>
  <c r="T190" i="1"/>
  <c r="S190" i="1"/>
  <c r="R190" i="1"/>
  <c r="Q190" i="1"/>
  <c r="P190" i="1"/>
  <c r="T189" i="1"/>
  <c r="S189" i="1"/>
  <c r="R189" i="1"/>
  <c r="Q189" i="1"/>
  <c r="P189" i="1"/>
  <c r="T188" i="1"/>
  <c r="S188" i="1"/>
  <c r="R188" i="1"/>
  <c r="Q188" i="1"/>
  <c r="P188" i="1"/>
  <c r="T187" i="1"/>
  <c r="S187" i="1"/>
  <c r="R187" i="1"/>
  <c r="Q187" i="1"/>
  <c r="P187" i="1"/>
  <c r="T186" i="1"/>
  <c r="S186" i="1"/>
  <c r="R186" i="1"/>
  <c r="Q186" i="1"/>
  <c r="P186" i="1"/>
  <c r="T185" i="1"/>
  <c r="S185" i="1"/>
  <c r="R185" i="1"/>
  <c r="Q185" i="1"/>
  <c r="P185" i="1"/>
  <c r="T183" i="1"/>
  <c r="S183" i="1"/>
  <c r="R183" i="1"/>
  <c r="Q183" i="1"/>
  <c r="P183" i="1"/>
  <c r="T182" i="1"/>
  <c r="S182" i="1"/>
  <c r="R182" i="1"/>
  <c r="Q182" i="1"/>
  <c r="P182" i="1"/>
  <c r="T181" i="1"/>
  <c r="S181" i="1"/>
  <c r="R181" i="1"/>
  <c r="Q181" i="1"/>
  <c r="P181" i="1"/>
  <c r="T179" i="1"/>
  <c r="S179" i="1"/>
  <c r="R179" i="1"/>
  <c r="Q179" i="1"/>
  <c r="P179" i="1"/>
  <c r="T178" i="1"/>
  <c r="S178" i="1"/>
  <c r="R178" i="1"/>
  <c r="Q178" i="1"/>
  <c r="P178" i="1"/>
  <c r="T176" i="1"/>
  <c r="S176" i="1"/>
  <c r="R176" i="1"/>
  <c r="Q176" i="1"/>
  <c r="P176" i="1"/>
  <c r="T175" i="1"/>
  <c r="S175" i="1"/>
  <c r="R175" i="1"/>
  <c r="Q175" i="1"/>
  <c r="P175" i="1"/>
  <c r="T174" i="1"/>
  <c r="S174" i="1"/>
  <c r="R174" i="1"/>
  <c r="Q174" i="1"/>
  <c r="P174" i="1"/>
  <c r="T173" i="1"/>
  <c r="S173" i="1"/>
  <c r="R173" i="1"/>
  <c r="Q173" i="1"/>
  <c r="P173" i="1"/>
  <c r="T172" i="1"/>
  <c r="S172" i="1"/>
  <c r="R172" i="1"/>
  <c r="Q172" i="1"/>
  <c r="P172" i="1"/>
  <c r="T171" i="1"/>
  <c r="S171" i="1"/>
  <c r="R171" i="1"/>
  <c r="Q171" i="1"/>
  <c r="P171" i="1"/>
  <c r="T170" i="1"/>
  <c r="S170" i="1"/>
  <c r="R170" i="1"/>
  <c r="Q170" i="1"/>
  <c r="P170" i="1"/>
  <c r="T169" i="1"/>
  <c r="S169" i="1"/>
  <c r="R169" i="1"/>
  <c r="Q169" i="1"/>
  <c r="P169" i="1"/>
  <c r="T168" i="1"/>
  <c r="S168" i="1"/>
  <c r="R168" i="1"/>
  <c r="Q168" i="1"/>
  <c r="P168" i="1"/>
  <c r="T167" i="1"/>
  <c r="S167" i="1"/>
  <c r="R167" i="1"/>
  <c r="Q167" i="1"/>
  <c r="P167" i="1"/>
  <c r="T166" i="1"/>
  <c r="S166" i="1"/>
  <c r="R166" i="1"/>
  <c r="Q166" i="1"/>
  <c r="P166" i="1"/>
  <c r="T165" i="1"/>
  <c r="S165" i="1"/>
  <c r="R165" i="1"/>
  <c r="Q165" i="1"/>
  <c r="P165" i="1"/>
  <c r="T163" i="1"/>
  <c r="S163" i="1"/>
  <c r="R163" i="1"/>
  <c r="Q163" i="1"/>
  <c r="P163" i="1"/>
  <c r="T162" i="1"/>
  <c r="S162" i="1"/>
  <c r="R162" i="1"/>
  <c r="Q162" i="1"/>
  <c r="P162" i="1"/>
  <c r="T161" i="1"/>
  <c r="S161" i="1"/>
  <c r="R161" i="1"/>
  <c r="Q161" i="1"/>
  <c r="P161" i="1"/>
  <c r="T160" i="1"/>
  <c r="S160" i="1"/>
  <c r="R160" i="1"/>
  <c r="Q160" i="1"/>
  <c r="P160" i="1"/>
  <c r="T159" i="1"/>
  <c r="S159" i="1"/>
  <c r="R159" i="1"/>
  <c r="Q159" i="1"/>
  <c r="P159" i="1"/>
  <c r="T158" i="1"/>
  <c r="S158" i="1"/>
  <c r="R158" i="1"/>
  <c r="Q158" i="1"/>
  <c r="P158" i="1"/>
  <c r="T156" i="1"/>
  <c r="S156" i="1"/>
  <c r="R156" i="1"/>
  <c r="Q156" i="1"/>
  <c r="P156" i="1"/>
  <c r="T155" i="1"/>
  <c r="S155" i="1"/>
  <c r="R155" i="1"/>
  <c r="Q155" i="1"/>
  <c r="P155" i="1"/>
  <c r="T154" i="1"/>
  <c r="S154" i="1"/>
  <c r="R154" i="1"/>
  <c r="Q154" i="1"/>
  <c r="P154" i="1"/>
  <c r="T153" i="1"/>
  <c r="S153" i="1"/>
  <c r="R153" i="1"/>
  <c r="Q153" i="1"/>
  <c r="P153" i="1"/>
  <c r="T152" i="1"/>
  <c r="S152" i="1"/>
  <c r="R152" i="1"/>
  <c r="Q152" i="1"/>
  <c r="P152" i="1"/>
  <c r="T151" i="1"/>
  <c r="S151" i="1"/>
  <c r="R151" i="1"/>
  <c r="Q151" i="1"/>
  <c r="P151" i="1"/>
  <c r="T150" i="1"/>
  <c r="S150" i="1"/>
  <c r="R150" i="1"/>
  <c r="Q150" i="1"/>
  <c r="P150" i="1"/>
  <c r="T149" i="1"/>
  <c r="S149" i="1"/>
  <c r="R149" i="1"/>
  <c r="Q149" i="1"/>
  <c r="P149" i="1"/>
  <c r="T148" i="1"/>
  <c r="S148" i="1"/>
  <c r="R148" i="1"/>
  <c r="Q148" i="1"/>
  <c r="P148" i="1"/>
  <c r="T147" i="1"/>
  <c r="S147" i="1"/>
  <c r="R147" i="1"/>
  <c r="Q147" i="1"/>
  <c r="P147" i="1"/>
  <c r="T146" i="1"/>
  <c r="S146" i="1"/>
  <c r="R146" i="1"/>
  <c r="Q146" i="1"/>
  <c r="P146" i="1"/>
  <c r="T145" i="1"/>
  <c r="S145" i="1"/>
  <c r="R145" i="1"/>
  <c r="Q145" i="1"/>
  <c r="P145" i="1"/>
  <c r="T144" i="1"/>
  <c r="S144" i="1"/>
  <c r="R144" i="1"/>
  <c r="Q144" i="1"/>
  <c r="P144" i="1"/>
  <c r="T143" i="1"/>
  <c r="S143" i="1"/>
  <c r="R143" i="1"/>
  <c r="Q143" i="1"/>
  <c r="P143" i="1"/>
  <c r="T142" i="1"/>
  <c r="S142" i="1"/>
  <c r="R142" i="1"/>
  <c r="Q142" i="1"/>
  <c r="P142" i="1"/>
  <c r="T141" i="1"/>
  <c r="S141" i="1"/>
  <c r="R141" i="1"/>
  <c r="Q141" i="1"/>
  <c r="P141" i="1"/>
  <c r="T140" i="1"/>
  <c r="S140" i="1"/>
  <c r="R140" i="1"/>
  <c r="Q140" i="1"/>
  <c r="P140" i="1"/>
  <c r="T138" i="1"/>
  <c r="S138" i="1"/>
  <c r="R138" i="1"/>
  <c r="Q138" i="1"/>
  <c r="P138" i="1"/>
  <c r="T137" i="1"/>
  <c r="S137" i="1"/>
  <c r="R137" i="1"/>
  <c r="Q137" i="1"/>
  <c r="P137" i="1"/>
  <c r="T136" i="1"/>
  <c r="S136" i="1"/>
  <c r="R136" i="1"/>
  <c r="Q136" i="1"/>
  <c r="P136" i="1"/>
  <c r="T135" i="1"/>
  <c r="S135" i="1"/>
  <c r="R135" i="1"/>
  <c r="Q135" i="1"/>
  <c r="P135" i="1"/>
  <c r="T134" i="1"/>
  <c r="S134" i="1"/>
  <c r="R134" i="1"/>
  <c r="Q134" i="1"/>
  <c r="P134" i="1"/>
  <c r="T133" i="1"/>
  <c r="S133" i="1"/>
  <c r="R133" i="1"/>
  <c r="Q133" i="1"/>
  <c r="P133" i="1"/>
  <c r="T131" i="1"/>
  <c r="S131" i="1"/>
  <c r="R131" i="1"/>
  <c r="Q131" i="1"/>
  <c r="P131" i="1"/>
  <c r="T130" i="1"/>
  <c r="S130" i="1"/>
  <c r="R130" i="1"/>
  <c r="Q130" i="1"/>
  <c r="P130" i="1"/>
  <c r="T129" i="1"/>
  <c r="S129" i="1"/>
  <c r="R129" i="1"/>
  <c r="Q129" i="1"/>
  <c r="P129" i="1"/>
  <c r="T128" i="1"/>
  <c r="S128" i="1"/>
  <c r="R128" i="1"/>
  <c r="Q128" i="1"/>
  <c r="P128" i="1"/>
  <c r="T127" i="1"/>
  <c r="S127" i="1"/>
  <c r="R127" i="1"/>
  <c r="Q127" i="1"/>
  <c r="P127" i="1"/>
  <c r="T126" i="1"/>
  <c r="S126" i="1"/>
  <c r="R126" i="1"/>
  <c r="Q126" i="1"/>
  <c r="P126" i="1"/>
  <c r="T125" i="1"/>
  <c r="S125" i="1"/>
  <c r="R125" i="1"/>
  <c r="Q125" i="1"/>
  <c r="P125" i="1"/>
  <c r="T124" i="1"/>
  <c r="S124" i="1"/>
  <c r="R124" i="1"/>
  <c r="Q124" i="1"/>
  <c r="P124" i="1"/>
  <c r="T123" i="1"/>
  <c r="S123" i="1"/>
  <c r="R123" i="1"/>
  <c r="Q123" i="1"/>
  <c r="P123" i="1"/>
  <c r="T122" i="1"/>
  <c r="S122" i="1"/>
  <c r="R122" i="1"/>
  <c r="Q122" i="1"/>
  <c r="P122" i="1"/>
  <c r="T121" i="1"/>
  <c r="S121" i="1"/>
  <c r="R121" i="1"/>
  <c r="Q121" i="1"/>
  <c r="P121" i="1"/>
  <c r="T119" i="1"/>
  <c r="S119" i="1"/>
  <c r="R119" i="1"/>
  <c r="Q119" i="1"/>
  <c r="P119" i="1"/>
  <c r="T118" i="1"/>
  <c r="S118" i="1"/>
  <c r="R118" i="1"/>
  <c r="Q118" i="1"/>
  <c r="P118" i="1"/>
  <c r="T117" i="1"/>
  <c r="S117" i="1"/>
  <c r="R117" i="1"/>
  <c r="Q117" i="1"/>
  <c r="P117" i="1"/>
  <c r="T116" i="1"/>
  <c r="S116" i="1"/>
  <c r="R116" i="1"/>
  <c r="Q116" i="1"/>
  <c r="P116" i="1"/>
  <c r="T114" i="1"/>
  <c r="S114" i="1"/>
  <c r="R114" i="1"/>
  <c r="Q114" i="1"/>
  <c r="P114" i="1"/>
  <c r="T113" i="1"/>
  <c r="S113" i="1"/>
  <c r="R113" i="1"/>
  <c r="Q113" i="1"/>
  <c r="P113" i="1"/>
  <c r="T111" i="1"/>
  <c r="S111" i="1"/>
  <c r="R111" i="1"/>
  <c r="Q111" i="1"/>
  <c r="P111" i="1"/>
  <c r="T110" i="1"/>
  <c r="S110" i="1"/>
  <c r="R110" i="1"/>
  <c r="Q110" i="1"/>
  <c r="P110" i="1"/>
  <c r="T109" i="1"/>
  <c r="S109" i="1"/>
  <c r="R109" i="1"/>
  <c r="Q109" i="1"/>
  <c r="P109" i="1"/>
  <c r="T108" i="1"/>
  <c r="S108" i="1"/>
  <c r="R108" i="1"/>
  <c r="Q108" i="1"/>
  <c r="P108" i="1"/>
  <c r="T106" i="1"/>
  <c r="S106" i="1"/>
  <c r="R106" i="1"/>
  <c r="Q106" i="1"/>
  <c r="P106" i="1"/>
  <c r="T105" i="1"/>
  <c r="S105" i="1"/>
  <c r="R105" i="1"/>
  <c r="Q105" i="1"/>
  <c r="P105" i="1"/>
  <c r="T104" i="1"/>
  <c r="S104" i="1"/>
  <c r="R104" i="1"/>
  <c r="Q104" i="1"/>
  <c r="P104" i="1"/>
  <c r="T103" i="1"/>
  <c r="S103" i="1"/>
  <c r="R103" i="1"/>
  <c r="Q103" i="1"/>
  <c r="P103" i="1"/>
  <c r="T102" i="1"/>
  <c r="S102" i="1"/>
  <c r="R102" i="1"/>
  <c r="Q102" i="1"/>
  <c r="P102" i="1"/>
  <c r="T101" i="1"/>
  <c r="S101" i="1"/>
  <c r="R101" i="1"/>
  <c r="Q101" i="1"/>
  <c r="P101" i="1"/>
  <c r="T100" i="1"/>
  <c r="S100" i="1"/>
  <c r="R100" i="1"/>
  <c r="Q100" i="1"/>
  <c r="P100" i="1"/>
  <c r="T99" i="1"/>
  <c r="S99" i="1"/>
  <c r="R99" i="1"/>
  <c r="Q99" i="1"/>
  <c r="P99" i="1"/>
  <c r="T98" i="1"/>
  <c r="S98" i="1"/>
  <c r="R98" i="1"/>
  <c r="Q98" i="1"/>
  <c r="P98" i="1"/>
  <c r="T97" i="1"/>
  <c r="S97" i="1"/>
  <c r="R97" i="1"/>
  <c r="Q97" i="1"/>
  <c r="P97" i="1"/>
  <c r="T96" i="1"/>
  <c r="S96" i="1"/>
  <c r="R96" i="1"/>
  <c r="Q96" i="1"/>
  <c r="P96" i="1"/>
  <c r="T95" i="1"/>
  <c r="S95" i="1"/>
  <c r="R95" i="1"/>
  <c r="Q95" i="1"/>
  <c r="P95" i="1"/>
  <c r="T94" i="1"/>
  <c r="S94" i="1"/>
  <c r="R94" i="1"/>
  <c r="Q94" i="1"/>
  <c r="P94" i="1"/>
  <c r="T92" i="1"/>
  <c r="S92" i="1"/>
  <c r="R92" i="1"/>
  <c r="Q92" i="1"/>
  <c r="P92" i="1"/>
  <c r="T91" i="1"/>
  <c r="S91" i="1"/>
  <c r="R91" i="1"/>
  <c r="Q91" i="1"/>
  <c r="P91" i="1"/>
  <c r="T90" i="1"/>
  <c r="S90" i="1"/>
  <c r="R90" i="1"/>
  <c r="Q90" i="1"/>
  <c r="P90" i="1"/>
  <c r="T89" i="1"/>
  <c r="S89" i="1"/>
  <c r="R89" i="1"/>
  <c r="Q89" i="1"/>
  <c r="P89" i="1"/>
  <c r="T88" i="1"/>
  <c r="S88" i="1"/>
  <c r="R88" i="1"/>
  <c r="Q88" i="1"/>
  <c r="P88" i="1"/>
  <c r="T87" i="1"/>
  <c r="S87" i="1"/>
  <c r="R87" i="1"/>
  <c r="Q87" i="1"/>
  <c r="P87" i="1"/>
  <c r="T86" i="1"/>
  <c r="S86" i="1"/>
  <c r="R86" i="1"/>
  <c r="Q86" i="1"/>
  <c r="P86" i="1"/>
  <c r="T85" i="1"/>
  <c r="S85" i="1"/>
  <c r="R85" i="1"/>
  <c r="Q85" i="1"/>
  <c r="P85" i="1"/>
  <c r="T84" i="1"/>
  <c r="S84" i="1"/>
  <c r="R84" i="1"/>
  <c r="Q84" i="1"/>
  <c r="P84" i="1"/>
  <c r="T83" i="1"/>
  <c r="S83" i="1"/>
  <c r="R83" i="1"/>
  <c r="Q83" i="1"/>
  <c r="P83" i="1"/>
  <c r="T82" i="1"/>
  <c r="S82" i="1"/>
  <c r="R82" i="1"/>
  <c r="Q82" i="1"/>
  <c r="P82" i="1"/>
  <c r="T81" i="1"/>
  <c r="S81" i="1"/>
  <c r="R81" i="1"/>
  <c r="Q81" i="1"/>
  <c r="P81" i="1"/>
  <c r="T80" i="1"/>
  <c r="S80" i="1"/>
  <c r="R80" i="1"/>
  <c r="Q80" i="1"/>
  <c r="P80" i="1"/>
  <c r="T79" i="1"/>
  <c r="S79" i="1"/>
  <c r="R79" i="1"/>
  <c r="Q79" i="1"/>
  <c r="P79" i="1"/>
  <c r="T78" i="1"/>
  <c r="S78" i="1"/>
  <c r="R78" i="1"/>
  <c r="Q78" i="1"/>
  <c r="P78" i="1"/>
  <c r="T77" i="1"/>
  <c r="S77" i="1"/>
  <c r="R77" i="1"/>
  <c r="Q77" i="1"/>
  <c r="P77" i="1"/>
  <c r="T76" i="1"/>
  <c r="S76" i="1"/>
  <c r="R76" i="1"/>
  <c r="Q76" i="1"/>
  <c r="P76" i="1"/>
  <c r="T75" i="1"/>
  <c r="S75" i="1"/>
  <c r="R75" i="1"/>
  <c r="Q75" i="1"/>
  <c r="P75" i="1"/>
  <c r="T74" i="1"/>
  <c r="S74" i="1"/>
  <c r="R74" i="1"/>
  <c r="Q74" i="1"/>
  <c r="P74" i="1"/>
  <c r="T73" i="1"/>
  <c r="S73" i="1"/>
  <c r="R73" i="1"/>
  <c r="Q73" i="1"/>
  <c r="P73" i="1"/>
  <c r="T72" i="1"/>
  <c r="S72" i="1"/>
  <c r="R72" i="1"/>
  <c r="Q72" i="1"/>
  <c r="P72" i="1"/>
  <c r="T70" i="1"/>
  <c r="S70" i="1"/>
  <c r="R70" i="1"/>
  <c r="Q70" i="1"/>
  <c r="P70" i="1"/>
  <c r="T69" i="1"/>
  <c r="S69" i="1"/>
  <c r="R69" i="1"/>
  <c r="Q69" i="1"/>
  <c r="P69" i="1"/>
  <c r="T68" i="1"/>
  <c r="S68" i="1"/>
  <c r="R68" i="1"/>
  <c r="Q68" i="1"/>
  <c r="P68" i="1"/>
  <c r="T67" i="1"/>
  <c r="S67" i="1"/>
  <c r="R67" i="1"/>
  <c r="Q67" i="1"/>
  <c r="P67" i="1"/>
  <c r="T66" i="1"/>
  <c r="S66" i="1"/>
  <c r="R66" i="1"/>
  <c r="Q66" i="1"/>
  <c r="P66" i="1"/>
  <c r="T65" i="1"/>
  <c r="S65" i="1"/>
  <c r="R65" i="1"/>
  <c r="Q65" i="1"/>
  <c r="P65" i="1"/>
  <c r="T64" i="1"/>
  <c r="S64" i="1"/>
  <c r="R64" i="1"/>
  <c r="Q64" i="1"/>
  <c r="P64" i="1"/>
  <c r="T63" i="1"/>
  <c r="S63" i="1"/>
  <c r="R63" i="1"/>
  <c r="Q63" i="1"/>
  <c r="P63" i="1"/>
  <c r="T62" i="1"/>
  <c r="S62" i="1"/>
  <c r="R62" i="1"/>
  <c r="Q62" i="1"/>
  <c r="P62" i="1"/>
  <c r="T61" i="1"/>
  <c r="S61" i="1"/>
  <c r="R61" i="1"/>
  <c r="Q61" i="1"/>
  <c r="P61" i="1"/>
  <c r="T60" i="1"/>
  <c r="S60" i="1"/>
  <c r="R60" i="1"/>
  <c r="Q60" i="1"/>
  <c r="P60" i="1"/>
  <c r="T59" i="1"/>
  <c r="S59" i="1"/>
  <c r="R59" i="1"/>
  <c r="Q59" i="1"/>
  <c r="P59" i="1"/>
  <c r="T58" i="1"/>
  <c r="S58" i="1"/>
  <c r="R58" i="1"/>
  <c r="Q58" i="1"/>
  <c r="P58" i="1"/>
  <c r="T57" i="1"/>
  <c r="S57" i="1"/>
  <c r="R57" i="1"/>
  <c r="Q57" i="1"/>
  <c r="P57" i="1"/>
  <c r="T56" i="1"/>
  <c r="S56" i="1"/>
  <c r="R56" i="1"/>
  <c r="Q56" i="1"/>
  <c r="P56" i="1"/>
  <c r="T55" i="1"/>
  <c r="S55" i="1"/>
  <c r="R55" i="1"/>
  <c r="Q55" i="1"/>
  <c r="P55" i="1"/>
  <c r="T54" i="1"/>
  <c r="S54" i="1"/>
  <c r="R54" i="1"/>
  <c r="Q54" i="1"/>
  <c r="P54" i="1"/>
  <c r="T53" i="1"/>
  <c r="S53" i="1"/>
  <c r="R53" i="1"/>
  <c r="Q53" i="1"/>
  <c r="P53" i="1"/>
  <c r="T52" i="1"/>
  <c r="S52" i="1"/>
  <c r="R52" i="1"/>
  <c r="Q52" i="1"/>
  <c r="P52" i="1"/>
  <c r="T51" i="1"/>
  <c r="S51" i="1"/>
  <c r="R51" i="1"/>
  <c r="Q51" i="1"/>
  <c r="P51" i="1"/>
  <c r="T50" i="1"/>
  <c r="S50" i="1"/>
  <c r="R50" i="1"/>
  <c r="Q50" i="1"/>
  <c r="P50" i="1"/>
  <c r="T48" i="1"/>
  <c r="S48" i="1"/>
  <c r="R48" i="1"/>
  <c r="Q48" i="1"/>
  <c r="P48" i="1"/>
  <c r="T47" i="1"/>
  <c r="S47" i="1"/>
  <c r="R47" i="1"/>
  <c r="Q47" i="1"/>
  <c r="P47" i="1"/>
  <c r="T46" i="1"/>
  <c r="S46" i="1"/>
  <c r="R46" i="1"/>
  <c r="Q46" i="1"/>
  <c r="P46" i="1"/>
  <c r="T44" i="1"/>
  <c r="S44" i="1"/>
  <c r="R44" i="1"/>
  <c r="Q44" i="1"/>
  <c r="P44" i="1"/>
  <c r="T43" i="1"/>
  <c r="S43" i="1"/>
  <c r="R43" i="1"/>
  <c r="Q43" i="1"/>
  <c r="P43" i="1"/>
  <c r="T42" i="1"/>
  <c r="S42" i="1"/>
  <c r="R42" i="1"/>
  <c r="Q42" i="1"/>
  <c r="P42" i="1"/>
  <c r="T41" i="1"/>
  <c r="S41" i="1"/>
  <c r="R41" i="1"/>
  <c r="Q41" i="1"/>
  <c r="P41" i="1"/>
  <c r="T40" i="1"/>
  <c r="S40" i="1"/>
  <c r="R40" i="1"/>
  <c r="Q40" i="1"/>
  <c r="P40" i="1"/>
  <c r="T39" i="1"/>
  <c r="S39" i="1"/>
  <c r="R39" i="1"/>
  <c r="Q39" i="1"/>
  <c r="P39" i="1"/>
  <c r="T38" i="1"/>
  <c r="S38" i="1"/>
  <c r="R38" i="1"/>
  <c r="Q38" i="1"/>
  <c r="P38" i="1"/>
  <c r="T37" i="1"/>
  <c r="S37" i="1"/>
  <c r="R37" i="1"/>
  <c r="Q37" i="1"/>
  <c r="P37" i="1"/>
  <c r="T36" i="1"/>
  <c r="S36" i="1"/>
  <c r="R36" i="1"/>
  <c r="Q36" i="1"/>
  <c r="P36" i="1"/>
  <c r="T35" i="1"/>
  <c r="S35" i="1"/>
  <c r="R35" i="1"/>
  <c r="Q35" i="1"/>
  <c r="P35" i="1"/>
  <c r="T34" i="1"/>
  <c r="S34" i="1"/>
  <c r="R34" i="1"/>
  <c r="Q34" i="1"/>
  <c r="P34" i="1"/>
  <c r="T33" i="1"/>
  <c r="S33" i="1"/>
  <c r="R33" i="1"/>
  <c r="Q33" i="1"/>
  <c r="P33" i="1"/>
  <c r="T32" i="1"/>
  <c r="S32" i="1"/>
  <c r="R32" i="1"/>
  <c r="Q32" i="1"/>
  <c r="P32" i="1"/>
  <c r="T31" i="1"/>
  <c r="S31" i="1"/>
  <c r="R31" i="1"/>
  <c r="Q31" i="1"/>
  <c r="P31" i="1"/>
  <c r="T30" i="1"/>
  <c r="S30" i="1"/>
  <c r="R30" i="1"/>
  <c r="Q30" i="1"/>
  <c r="P30" i="1"/>
  <c r="T29" i="1"/>
  <c r="S29" i="1"/>
  <c r="R29" i="1"/>
  <c r="Q29" i="1"/>
  <c r="P29" i="1"/>
  <c r="T28" i="1"/>
  <c r="S28" i="1"/>
  <c r="R28" i="1"/>
  <c r="Q28" i="1"/>
  <c r="P28" i="1"/>
  <c r="T27" i="1"/>
  <c r="S27" i="1"/>
  <c r="R27" i="1"/>
  <c r="Q27" i="1"/>
  <c r="P27" i="1"/>
  <c r="T26" i="1"/>
  <c r="S26" i="1"/>
  <c r="R26" i="1"/>
  <c r="Q26" i="1"/>
  <c r="P26" i="1"/>
  <c r="T25" i="1"/>
  <c r="S25" i="1"/>
  <c r="R25" i="1"/>
  <c r="Q25" i="1"/>
  <c r="P25" i="1"/>
  <c r="T24" i="1"/>
  <c r="S24" i="1"/>
  <c r="R24" i="1"/>
  <c r="Q24" i="1"/>
  <c r="P24" i="1"/>
  <c r="T23" i="1"/>
  <c r="S23" i="1"/>
  <c r="R23" i="1"/>
  <c r="Q23" i="1"/>
  <c r="P23" i="1"/>
  <c r="T22" i="1"/>
  <c r="S22" i="1"/>
  <c r="R22" i="1"/>
  <c r="Q22" i="1"/>
  <c r="P22" i="1"/>
  <c r="T20" i="1"/>
  <c r="S20" i="1"/>
  <c r="R20" i="1"/>
  <c r="Q20" i="1"/>
  <c r="P20" i="1"/>
  <c r="T18" i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P16" i="1"/>
  <c r="T15" i="1"/>
  <c r="S15" i="1"/>
  <c r="R15" i="1"/>
  <c r="Q15" i="1"/>
  <c r="P15" i="1"/>
  <c r="T14" i="1"/>
  <c r="S14" i="1"/>
  <c r="R14" i="1"/>
  <c r="Q14" i="1"/>
  <c r="P14" i="1"/>
  <c r="T13" i="1"/>
  <c r="S13" i="1"/>
  <c r="R13" i="1"/>
  <c r="Q13" i="1"/>
  <c r="P13" i="1"/>
  <c r="T12" i="1"/>
  <c r="S12" i="1"/>
  <c r="R12" i="1"/>
  <c r="Q12" i="1"/>
  <c r="P12" i="1"/>
  <c r="T11" i="1"/>
  <c r="S11" i="1"/>
  <c r="R11" i="1"/>
  <c r="Q11" i="1"/>
  <c r="P11" i="1"/>
  <c r="T9" i="1"/>
  <c r="S9" i="1"/>
  <c r="R9" i="1"/>
  <c r="Q9" i="1"/>
  <c r="P9" i="1"/>
  <c r="T8" i="1"/>
  <c r="S8" i="1"/>
  <c r="R8" i="1"/>
  <c r="Q8" i="1"/>
  <c r="P8" i="1"/>
  <c r="T7" i="1"/>
  <c r="S7" i="1"/>
  <c r="R7" i="1"/>
  <c r="Q7" i="1"/>
  <c r="P7" i="1"/>
  <c r="T6" i="1"/>
  <c r="S6" i="1"/>
  <c r="R6" i="1"/>
  <c r="Q6" i="1"/>
  <c r="P6" i="1"/>
  <c r="T5" i="1"/>
  <c r="S5" i="1"/>
  <c r="R5" i="1"/>
  <c r="Q5" i="1"/>
  <c r="P5" i="1"/>
  <c r="R3" i="1"/>
  <c r="Q3" i="1"/>
  <c r="S3" i="1"/>
  <c r="P3" i="1"/>
  <c r="S1" i="1" l="1"/>
  <c r="Q1" i="1"/>
  <c r="P1" i="1"/>
  <c r="R1" i="1"/>
  <c r="T1" i="1"/>
  <c r="AL478" i="1"/>
  <c r="AL1" i="1" l="1"/>
  <c r="AA3" i="1"/>
  <c r="Z3" i="1"/>
  <c r="Y3" i="1"/>
  <c r="X3" i="1"/>
  <c r="W3" i="1"/>
  <c r="Z1" i="1" l="1"/>
  <c r="AG3" i="1"/>
  <c r="W1" i="1"/>
  <c r="AD3" i="1"/>
  <c r="X1" i="1"/>
  <c r="AE3" i="1"/>
  <c r="Y1" i="1"/>
  <c r="AF3" i="1"/>
  <c r="AA1" i="1"/>
  <c r="A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Akibkhan Pathan</author>
  </authors>
  <commentList>
    <comment ref="G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Shortage in Spain</t>
        </r>
      </text>
    </comment>
    <comment ref="G1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Shortage in Spain</t>
        </r>
      </text>
    </comment>
    <comment ref="G1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To Short Expiry
</t>
        </r>
      </text>
    </comment>
    <comment ref="G2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Small Batches</t>
        </r>
      </text>
    </comment>
    <comment ref="G2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Small Batches</t>
        </r>
      </text>
    </comment>
    <comment ref="G48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On Order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Mohammadmiya Singwala</author>
  </authors>
  <commentList>
    <comment ref="B5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Mohammadmiya Singwala:</t>
        </r>
        <r>
          <rPr>
            <sz val="9"/>
            <color indexed="81"/>
            <rFont val="Tahoma"/>
            <family val="2"/>
          </rPr>
          <t xml:space="preserve">
Brand New Product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Akibkhan Pathan</author>
  </authors>
  <commentList>
    <comment ref="B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10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1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 PCA Taken</t>
        </r>
      </text>
    </comment>
    <comment ref="B14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22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Donepezil Generics PCA</t>
        </r>
      </text>
    </comment>
    <comment ref="B27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We are selling more in 60s</t>
        </r>
      </text>
    </comment>
    <comment ref="B7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New License</t>
        </r>
      </text>
    </comment>
    <comment ref="B74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Price has Dropped</t>
        </r>
      </text>
    </comment>
    <comment ref="B93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Product Discontinue</t>
        </r>
      </text>
    </comment>
    <comment ref="B98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Fluvastatin - Short In Market</t>
        </r>
      </text>
    </comment>
    <comment ref="B127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153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Launch - PCA Drop</t>
        </r>
      </text>
    </comment>
    <comment ref="B167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Generis PCA is more</t>
        </r>
      </text>
    </comment>
    <comment ref="B177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We sell in pack 28s</t>
        </r>
      </text>
    </comment>
    <comment ref="B192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Additional Wholesale</t>
        </r>
      </text>
    </comment>
    <comment ref="B206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Dropped</t>
        </r>
      </text>
    </comment>
    <comment ref="B319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Mirabegron PCA is over 25K</t>
        </r>
      </text>
    </comment>
    <comment ref="B328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Price has Dropped now</t>
        </r>
      </text>
    </comment>
    <comment ref="B363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372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PCA is higer</t>
        </r>
      </text>
    </comment>
    <comment ref="B406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Ethical Category</t>
        </r>
      </text>
    </comment>
    <comment ref="B492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Akibkhan Pathan</author>
  </authors>
  <commentList>
    <comment ref="B9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1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12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 PCA Taken</t>
        </r>
      </text>
    </comment>
    <comment ref="B1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23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Donepezil Generics PCA</t>
        </r>
      </text>
    </comment>
    <comment ref="B28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We are selling more in 60s</t>
        </r>
      </text>
    </comment>
    <comment ref="B72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New License</t>
        </r>
      </text>
    </comment>
    <comment ref="B75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Price has Dropped</t>
        </r>
      </text>
    </comment>
    <comment ref="B94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Product Discontinue</t>
        </r>
      </text>
    </comment>
    <comment ref="B99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Fluvastatin - Short In Market</t>
        </r>
      </text>
    </comment>
    <comment ref="B128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154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Launch - PCA Drop</t>
        </r>
      </text>
    </comment>
    <comment ref="B168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Generis PCA is more</t>
        </r>
      </text>
    </comment>
    <comment ref="B178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We sell in pack 28s</t>
        </r>
      </text>
    </comment>
    <comment ref="B193" authorId="0" shapeId="0" xr:uid="{00000000-0006-0000-0A00-00000F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Additional Wholesale</t>
        </r>
      </text>
    </comment>
    <comment ref="B207" authorId="0" shapeId="0" xr:uid="{00000000-0006-0000-0A00-000010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Dropped</t>
        </r>
      </text>
    </comment>
    <comment ref="B320" authorId="0" shapeId="0" xr:uid="{00000000-0006-0000-0A00-000011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Mirabegron PCA is over 25K</t>
        </r>
      </text>
    </comment>
    <comment ref="B329" authorId="0" shapeId="0" xr:uid="{00000000-0006-0000-0A00-000012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Price has Dropped now</t>
        </r>
      </text>
    </comment>
    <comment ref="B364" authorId="0" shapeId="0" xr:uid="{00000000-0006-0000-0A00-000013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  <comment ref="B373" authorId="0" shapeId="0" xr:uid="{00000000-0006-0000-0A00-000014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Generics PCA is higer</t>
        </r>
      </text>
    </comment>
    <comment ref="B407" authorId="0" shapeId="0" xr:uid="{00000000-0006-0000-0A00-000015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Ethical Category</t>
        </r>
      </text>
    </comment>
    <comment ref="B493" authorId="0" shapeId="0" xr:uid="{00000000-0006-0000-0A00-000016000000}">
      <text>
        <r>
          <rPr>
            <b/>
            <sz val="9"/>
            <color indexed="81"/>
            <rFont val="Tahoma"/>
            <family val="2"/>
          </rPr>
          <t>Akibkhan Pathan:</t>
        </r>
        <r>
          <rPr>
            <sz val="9"/>
            <color indexed="81"/>
            <rFont val="Tahoma"/>
            <family val="2"/>
          </rPr>
          <t xml:space="preserve">
Opportunity</t>
        </r>
      </text>
    </comment>
  </commentList>
</comments>
</file>

<file path=xl/sharedStrings.xml><?xml version="1.0" encoding="utf-8"?>
<sst xmlns="http://schemas.openxmlformats.org/spreadsheetml/2006/main" count="4415" uniqueCount="1270">
  <si>
    <t>Lax Part No</t>
  </si>
  <si>
    <t>Lax Description</t>
  </si>
  <si>
    <t>Trihexyphenidyl 2mg Tablets 100</t>
  </si>
  <si>
    <t>Domperidone 1mg/1ml Suspension 200ml</t>
  </si>
  <si>
    <t>Innozide 20mg/12.5mg Tablets 28</t>
  </si>
  <si>
    <t>5680F</t>
  </si>
  <si>
    <t>Adartrel 0.5mg Tablets 84</t>
  </si>
  <si>
    <t>5250B</t>
  </si>
  <si>
    <t>Epilim Chronosphere MR 100mg Sachets 30</t>
  </si>
  <si>
    <t>Loprazolam 1mg Tablets 30</t>
  </si>
  <si>
    <t>5733C</t>
  </si>
  <si>
    <t>Zonegran 50mg Capsules 56</t>
  </si>
  <si>
    <t>5250D</t>
  </si>
  <si>
    <t>Epilim Chronosphere MR 500mg Sachets 30</t>
  </si>
  <si>
    <t>Wynzora cream 0.5mg/g 60</t>
  </si>
  <si>
    <t>Cozaar 50mg Tablets 28</t>
  </si>
  <si>
    <t>Maxalt 10mg Tablets 6</t>
  </si>
  <si>
    <t>Norprolac 75mcg Tablets 30s</t>
  </si>
  <si>
    <t>5209M</t>
  </si>
  <si>
    <t>Exelon 9.5mg/24hrs Transdermal Patches 30</t>
  </si>
  <si>
    <t>5678A</t>
  </si>
  <si>
    <t>Dipentum 250mg Capsules 100</t>
  </si>
  <si>
    <t>Fusidic acid 1% modified-release eye drops 5g (PI)</t>
  </si>
  <si>
    <t>Lamictal 200mg Tablets 30</t>
  </si>
  <si>
    <t>5251J</t>
  </si>
  <si>
    <t>EPILIM CHRONO MR 750MG GRAN SACH 30</t>
  </si>
  <si>
    <t>0920Y</t>
  </si>
  <si>
    <t>Donepezil 10mg Orodispersible Tablets 28</t>
  </si>
  <si>
    <t>5193D</t>
  </si>
  <si>
    <t>CoDiovan 160mg/25mg Tablets 28</t>
  </si>
  <si>
    <t>4092A</t>
  </si>
  <si>
    <t>Olsalazine 500mg Tablets 60</t>
  </si>
  <si>
    <t>0906B</t>
  </si>
  <si>
    <t>Rifampicin 300mg Capsules ---- 60s</t>
  </si>
  <si>
    <t>5976A</t>
  </si>
  <si>
    <t>Heminevrin 192mg Capsules 30</t>
  </si>
  <si>
    <t>5123E</t>
  </si>
  <si>
    <t>Aricept Evess Dispersible Tablets 5Mg X 28'S</t>
  </si>
  <si>
    <t>4989D</t>
  </si>
  <si>
    <t>Co-Trimoxazole 40/200mg/5ml Oral Suspension SF 100ml</t>
  </si>
  <si>
    <t>Olsalazine 500mg Tablets 100</t>
  </si>
  <si>
    <t>5250C</t>
  </si>
  <si>
    <t>Epilim Chronosphere MR 250mg Sachets 30</t>
  </si>
  <si>
    <t>5686B</t>
  </si>
  <si>
    <t>EXELON transdermal patches 13.3mg/24h</t>
  </si>
  <si>
    <t>5869B</t>
  </si>
  <si>
    <t>CozaarComp 100mg/25mg Tablets 28</t>
  </si>
  <si>
    <t>5427A</t>
  </si>
  <si>
    <t>Maxalt 5mg Tablets 6</t>
  </si>
  <si>
    <t>5733A</t>
  </si>
  <si>
    <t>Zonegran 25mg Capsules 14</t>
  </si>
  <si>
    <t>Bonviva 150mg Tablets 1</t>
  </si>
  <si>
    <t>Enalapril/Hydrochlorothiazide 20mg/12.5mg Tab 28 (PI)</t>
  </si>
  <si>
    <t>Zyprexa 2.5mg (Olanzepine)Tablets 28</t>
  </si>
  <si>
    <t>5548D</t>
  </si>
  <si>
    <t>Entocort CR 3mg Capsules 100</t>
  </si>
  <si>
    <t>Levocarnitine 30% Paediatric Oral Solution - 40ml</t>
  </si>
  <si>
    <t>5383J</t>
  </si>
  <si>
    <t>Lescol XL 80mg Tablets 28</t>
  </si>
  <si>
    <t>Lamictal 25mg dispersible Tablets 56</t>
  </si>
  <si>
    <t>5175C</t>
  </si>
  <si>
    <t>Creon 25000 Gastroresistant Capsules 50</t>
  </si>
  <si>
    <t>9330A</t>
  </si>
  <si>
    <t>Rivastigmine Patches 4.6mg/24hr 30s</t>
  </si>
  <si>
    <t>L9117</t>
  </si>
  <si>
    <t>Exforge 10mg/160mg Tablets 28</t>
  </si>
  <si>
    <t>L9325B</t>
  </si>
  <si>
    <t>Cipralex 20mg Tablets 28</t>
  </si>
  <si>
    <t>5934C</t>
  </si>
  <si>
    <t>Xarelto 15mg Tablets 28</t>
  </si>
  <si>
    <t>L9474</t>
  </si>
  <si>
    <t>Nexium 20mg Tablets 28</t>
  </si>
  <si>
    <t>Abilify 15mg Tablets 28</t>
  </si>
  <si>
    <t>5680K</t>
  </si>
  <si>
    <t>Ropinirole Tablets 0.25mg 12 (PI)</t>
  </si>
  <si>
    <t>5793C</t>
  </si>
  <si>
    <t>Elocon 0.1% Ointment 30g</t>
  </si>
  <si>
    <t>Relpax 40mg Tablets 6</t>
  </si>
  <si>
    <t>5376A</t>
  </si>
  <si>
    <t>Losec 20mg Gastroresistant Capsules 14</t>
  </si>
  <si>
    <t>Travatan 40mcg/ml Eye Drops 2.5ml</t>
  </si>
  <si>
    <t>Zyprexa 10mg (Olanzepine) Tablets 28</t>
  </si>
  <si>
    <t>0211E</t>
  </si>
  <si>
    <t>Cabergoline 1mg Tablets 20</t>
  </si>
  <si>
    <t>5809B</t>
  </si>
  <si>
    <t>Olmetec 40mg Tablets 28</t>
  </si>
  <si>
    <t>L9624A</t>
  </si>
  <si>
    <t>Phenergan 25mg Tablets 56</t>
  </si>
  <si>
    <t>5963P</t>
  </si>
  <si>
    <t>ARCOXIA 60mg Tablets 14</t>
  </si>
  <si>
    <t>0211F</t>
  </si>
  <si>
    <t>Cabergoline 2mg Tablets 20</t>
  </si>
  <si>
    <t>5380F</t>
  </si>
  <si>
    <t>Lyrica 300mg Capsules 56</t>
  </si>
  <si>
    <t>5935G</t>
  </si>
  <si>
    <t>Topamax Sprinkle 25mg Capsules 60</t>
  </si>
  <si>
    <t>Ibandronic Acid 150mg Tablets 1 (PI)</t>
  </si>
  <si>
    <t>5986A</t>
  </si>
  <si>
    <t>Calcort 6mg Tablets 20</t>
  </si>
  <si>
    <t>5868B</t>
  </si>
  <si>
    <t>FultiumD3 3,200unit Capsules 30</t>
  </si>
  <si>
    <t>GLUCOJECT LANCETS EXTRA 33G 57825 (MD) 100</t>
  </si>
  <si>
    <t>Keppra 1ml Syringe 100mg/ml 150ml</t>
  </si>
  <si>
    <t>5420L</t>
  </si>
  <si>
    <t>Mirapexin 1.05mg Prolonged-Release Tablets 30s</t>
  </si>
  <si>
    <t>L9047A</t>
  </si>
  <si>
    <t>Serevent 25mcg Evohaler 120doses</t>
  </si>
  <si>
    <t>5809A</t>
  </si>
  <si>
    <t>Olmetec 20mg Tablets 28</t>
  </si>
  <si>
    <t>Sandrena 1mg Gel Sachets 28</t>
  </si>
  <si>
    <t>5250F</t>
  </si>
  <si>
    <t>Targinact 10mg/5mg Modified Release Tablets 56</t>
  </si>
  <si>
    <t>5557C</t>
  </si>
  <si>
    <t>Serc 8mg Tablets 60</t>
  </si>
  <si>
    <t>L7124</t>
  </si>
  <si>
    <t>Fycompa oral suspension 0.5mg/ml 1's</t>
  </si>
  <si>
    <t>Zyprexa 20mg Velotabs 28</t>
  </si>
  <si>
    <t>DepoMedrone with Lidocaine 10mg Injection Vials 1</t>
  </si>
  <si>
    <t>Orap 4mg Tablets 20</t>
  </si>
  <si>
    <t>5200E</t>
  </si>
  <si>
    <t>Cozaar 100mg Tablets 28</t>
  </si>
  <si>
    <t>5161A</t>
  </si>
  <si>
    <t>Cacit 500mg Effervescent Tablets 60</t>
  </si>
  <si>
    <t>Adalat LA 30mg Tablets 28</t>
  </si>
  <si>
    <t>0808B</t>
  </si>
  <si>
    <t>Phenytoin 100mg Capsules 100</t>
  </si>
  <si>
    <t>5220Z</t>
  </si>
  <si>
    <t>Exforge 5mg/160mg Tablets 28</t>
  </si>
  <si>
    <t>5193C</t>
  </si>
  <si>
    <t>CoDiovan 160mg/12.5mg Tablets 28</t>
  </si>
  <si>
    <t>5979D</t>
  </si>
  <si>
    <t>Zithromax 200mg/5ml Suspension 30ml</t>
  </si>
  <si>
    <t>Micardis 40mg Tablets 28</t>
  </si>
  <si>
    <t>5565A</t>
  </si>
  <si>
    <t>Trimipramine 25mg Tablets 100</t>
  </si>
  <si>
    <t>Mirapexin 0.18mg Tablets 30</t>
  </si>
  <si>
    <t>5278H</t>
  </si>
  <si>
    <t>GLUCOPHAGE SR 1000MG TABLETS 60</t>
  </si>
  <si>
    <t>1479E</t>
  </si>
  <si>
    <t>Medikinet XL 10mg Capsules 30</t>
  </si>
  <si>
    <t>Bromocriptine 2.5mg Tablets 30</t>
  </si>
  <si>
    <t>Estraderm MX 25mcg Patch 8s</t>
  </si>
  <si>
    <t>5429A</t>
  </si>
  <si>
    <t>Nalcrom 100mg Capsules 100</t>
  </si>
  <si>
    <t>Lormetazepam 1mg Tablets 30</t>
  </si>
  <si>
    <t>Ursodeoxycholic Acid 150mg Tablets 60</t>
  </si>
  <si>
    <t>5671F</t>
  </si>
  <si>
    <t>Crestor 5mg Tablets 28</t>
  </si>
  <si>
    <t>Flixotide 125mcg/dose Evohaler 120doses</t>
  </si>
  <si>
    <t>Calcort 6mg Tablets 60</t>
  </si>
  <si>
    <t>5250O</t>
  </si>
  <si>
    <t>Vimpat 50mg Film-coated Tablets 14</t>
  </si>
  <si>
    <t>L9021</t>
  </si>
  <si>
    <t>Inegy 10mg/40mg Tablets 30s</t>
  </si>
  <si>
    <t>Zyprexa 5mg (Olanzepine) Tablets 28</t>
  </si>
  <si>
    <t>DuoTrav 40mcg/ml &amp; 5mg/ml Eye Drops 2.5ml</t>
  </si>
  <si>
    <t>Tramacet 37.5mg/325mg Tablets 60</t>
  </si>
  <si>
    <t>5269A</t>
  </si>
  <si>
    <t>Coversyl Arginine 5mg Tablets 30</t>
  </si>
  <si>
    <t>Nizoral 2% Cream 30g</t>
  </si>
  <si>
    <t>Cabergoline 0.5mg Tablets 8</t>
  </si>
  <si>
    <t>5485C</t>
  </si>
  <si>
    <t>Progynova 2mg Tablets 3x28</t>
  </si>
  <si>
    <t>L1502</t>
  </si>
  <si>
    <t>Ontozry 100mg Tabs 28</t>
  </si>
  <si>
    <t>5906A</t>
  </si>
  <si>
    <t>Ovestin 1mg Cream and Applicator 15g</t>
  </si>
  <si>
    <t>Requip XL 2mg Tablets 28</t>
  </si>
  <si>
    <t>Trusopt 2% Solution 5ml</t>
  </si>
  <si>
    <t>5092A</t>
  </si>
  <si>
    <t>Briviact 25mg Tablets 56</t>
  </si>
  <si>
    <t>Zyprexa 5mg Velotabs 28</t>
  </si>
  <si>
    <t>L9325A</t>
  </si>
  <si>
    <t>Cipralex 5mg Tablets 28</t>
  </si>
  <si>
    <t>Clopixol 2mg Tablets 100</t>
  </si>
  <si>
    <t>5315B</t>
  </si>
  <si>
    <t>Lyrica 150mg Capsules 56</t>
  </si>
  <si>
    <t>Zineryt Lotion 30ml</t>
  </si>
  <si>
    <t>5963M</t>
  </si>
  <si>
    <t>Arcoxia 90mg Tablets 28</t>
  </si>
  <si>
    <t>Lyrica 75mg Capsules 56s</t>
  </si>
  <si>
    <t>Mometasone Cream 100g (PI)</t>
  </si>
  <si>
    <t>0685E</t>
  </si>
  <si>
    <t>Oxycontin 10mg Tablets 56</t>
  </si>
  <si>
    <t>5632C</t>
  </si>
  <si>
    <t>Voltarol 100mg Suppositories 10</t>
  </si>
  <si>
    <t>5935A</t>
  </si>
  <si>
    <t>Topamax 50mg Tablets 60</t>
  </si>
  <si>
    <t>5247D</t>
  </si>
  <si>
    <t>Phenytoin 50mg Capsules 28</t>
  </si>
  <si>
    <t>Mometasone Ointment 100g (PI)</t>
  </si>
  <si>
    <t>5250N</t>
  </si>
  <si>
    <t>Vimpat 200mg Film-coated Tablets 56</t>
  </si>
  <si>
    <t>5092D</t>
  </si>
  <si>
    <t>Briviact Oral Solution 10mg/ml 300ml</t>
  </si>
  <si>
    <t>Multaq 400mg Tablets 60</t>
  </si>
  <si>
    <t>5394B</t>
  </si>
  <si>
    <t>Lamictal 100mg Dispersible Tablets 56</t>
  </si>
  <si>
    <t>Nebido Inj 1000 mg / 4ml Amp</t>
  </si>
  <si>
    <t>Trosyl Nail Solution 12ml</t>
  </si>
  <si>
    <t>5193A</t>
  </si>
  <si>
    <t>CoDiovan 80mg/12.5mg Tablets 28</t>
  </si>
  <si>
    <t>5900C</t>
  </si>
  <si>
    <t>Creon Micro Pancreatin 60.12mg Gastroresistant Granules 1</t>
  </si>
  <si>
    <t>5934D</t>
  </si>
  <si>
    <t>Xarelto 20mg Tablets 28</t>
  </si>
  <si>
    <t>L9325G</t>
  </si>
  <si>
    <t>Cipralex 20mg/ml Oral Drops 15ml</t>
  </si>
  <si>
    <t>L0746A</t>
  </si>
  <si>
    <t>Cyclogest 400 mg pessary / suppository Pack of 15</t>
  </si>
  <si>
    <t>5139B</t>
  </si>
  <si>
    <t>Abilify 10mg Tablets 28</t>
  </si>
  <si>
    <t>5165A</t>
  </si>
  <si>
    <t>Canesten 100mg Pessary with Applicator 6s</t>
  </si>
  <si>
    <t>4907M</t>
  </si>
  <si>
    <t>AirFluSal Fluticasone 50/500mcg Inhaler 60doses</t>
  </si>
  <si>
    <t>5485B</t>
  </si>
  <si>
    <t>Progynova 1mg Tablets 3x28</t>
  </si>
  <si>
    <t>5022A</t>
  </si>
  <si>
    <t>Dexafree 1mg/1ml Eye Drops 0.4ml</t>
  </si>
  <si>
    <t>Tildiem 60mg Modified Release Tablets 100</t>
  </si>
  <si>
    <t>5427H</t>
  </si>
  <si>
    <t>Maxalt Melt 10mg Oral Lyophilisates 3</t>
  </si>
  <si>
    <t>5590B</t>
  </si>
  <si>
    <t>Tegretol Retard 200mg Tablets 30</t>
  </si>
  <si>
    <t>Sinemet Plus Tablets 100</t>
  </si>
  <si>
    <t>5733B</t>
  </si>
  <si>
    <t>Zonegran 100mg Capsules 56</t>
  </si>
  <si>
    <t>Tegretol Retard 200mg Tablets 60</t>
  </si>
  <si>
    <t>5233C</t>
  </si>
  <si>
    <t>Latuda 18.5mg Tablets 28</t>
  </si>
  <si>
    <t>Singulair 10mg Tablets 28</t>
  </si>
  <si>
    <t>Bactroban 2% Ointment 15g</t>
  </si>
  <si>
    <t>5792D</t>
  </si>
  <si>
    <t>Zofran Melt 4mg Oral Lyophilisates 10</t>
  </si>
  <si>
    <t>5935F</t>
  </si>
  <si>
    <t>Topamax Sprinkle 50mg Capsules 60</t>
  </si>
  <si>
    <t>Zyprexa 10mg Velotabs 28</t>
  </si>
  <si>
    <t>Crestor 10mg Tablets 28</t>
  </si>
  <si>
    <t>5741A</t>
  </si>
  <si>
    <t>Zovirax Cream 5% 2g</t>
  </si>
  <si>
    <t>5538X</t>
  </si>
  <si>
    <t>Stalevo Tabs 125mg/31.25mg/200mg 30</t>
  </si>
  <si>
    <t>5303E</t>
  </si>
  <si>
    <t>Imigran 6mg Syringe +1 pen 0.5mlx2</t>
  </si>
  <si>
    <t>Fycompa 2mg Tablets 7</t>
  </si>
  <si>
    <t>5680H</t>
  </si>
  <si>
    <t>Ropinirole 1mg F/C Tabs 84 (PI)</t>
  </si>
  <si>
    <t>0924B</t>
  </si>
  <si>
    <t>Ropinirole 0.5mg Filmcoated Tablets 28 (PI)</t>
  </si>
  <si>
    <t>Levocarnitine 30% Paediatric Oral Solution - 20ml</t>
  </si>
  <si>
    <t>5916B</t>
  </si>
  <si>
    <t>Nasonex 50mcg/actuation Nasal Spray 140 dose</t>
  </si>
  <si>
    <t>M0007</t>
  </si>
  <si>
    <t>Vitaros Cream 3mg/g 4</t>
  </si>
  <si>
    <t>5092B</t>
  </si>
  <si>
    <t>Briviact F/C 100mg Tablets 56s</t>
  </si>
  <si>
    <t>5935B</t>
  </si>
  <si>
    <t>Topamax 100mg Tablets 60</t>
  </si>
  <si>
    <t>Celluvisc 1% Eye Drops 0.4ml</t>
  </si>
  <si>
    <t>Avamys 27.5mcg/dose Nasal Spray 120doses</t>
  </si>
  <si>
    <t>Tegretol Retard 200mg Tablets 50</t>
  </si>
  <si>
    <t>Softacort Eye Drops Pres Free 3.35mg/ml 0.4ml x 30</t>
  </si>
  <si>
    <t>Nexium 40mg Tablets 28</t>
  </si>
  <si>
    <t>Exforge 5mg/80mg Tablets 28</t>
  </si>
  <si>
    <t>5139C</t>
  </si>
  <si>
    <t>Abilify 5mg Tablets 28</t>
  </si>
  <si>
    <t>0919E</t>
  </si>
  <si>
    <t>Mometasone Cream 30g (PI)</t>
  </si>
  <si>
    <t>Topamax 200mg Tablets 60</t>
  </si>
  <si>
    <t>M0457A</t>
  </si>
  <si>
    <t>Humulin M3 Cartridge 3mlx5</t>
  </si>
  <si>
    <t>Flixonase 50mcg Aqueous Nasal Spray 120doses</t>
  </si>
  <si>
    <t>5866B</t>
  </si>
  <si>
    <t>Azilect 1mg Tablets 28</t>
  </si>
  <si>
    <t>M0103B</t>
  </si>
  <si>
    <t>Apidra 100units/ml Solution for Injection 3ml Pre-filled SoloStar Pen 5</t>
  </si>
  <si>
    <t>L1503</t>
  </si>
  <si>
    <t>Ontozry 200mg Tabs 28</t>
  </si>
  <si>
    <t>0998A</t>
  </si>
  <si>
    <t>Topiramate 15mg Capsules 60</t>
  </si>
  <si>
    <t>5284D</t>
  </si>
  <si>
    <t>Buccolam 7.5Mg/1.5ml oral syringe  4s</t>
  </si>
  <si>
    <t>Cialis 10mg tabs x 4's</t>
  </si>
  <si>
    <t>Plavix 75mg Tablets 28</t>
  </si>
  <si>
    <t>Femara 2.5mg Tablets 30</t>
  </si>
  <si>
    <t>Briviact F/C 50mg Tablets 56s</t>
  </si>
  <si>
    <t>5427C</t>
  </si>
  <si>
    <t>Maxalt Melt 10mg Oral Lyophilisates 6</t>
  </si>
  <si>
    <t>6032A</t>
  </si>
  <si>
    <t>Epilim Chorono 500mg CR Tabs  30s</t>
  </si>
  <si>
    <t>Valtrex (Valaciclovir) 500mg Tablets 10</t>
  </si>
  <si>
    <t>Dovobet Ointment 60g</t>
  </si>
  <si>
    <t>Ciproxin 250mg/5ml Oral Suspension 100ml</t>
  </si>
  <si>
    <t>5647A</t>
  </si>
  <si>
    <t>Levonelle One Step 1.5mg Tablets 1</t>
  </si>
  <si>
    <t>5191C</t>
  </si>
  <si>
    <t>Depakote 250mg Gastroresistant Tablets 30</t>
  </si>
  <si>
    <t>5196A</t>
  </si>
  <si>
    <t>Ciloxan 0.3% Eye Drops 5ml</t>
  </si>
  <si>
    <t>5578F</t>
  </si>
  <si>
    <t>Trileptal 60mg/ml Oral Suspension 250ml</t>
  </si>
  <si>
    <t>M0175</t>
  </si>
  <si>
    <t>DepoMedrone 40mg/1ml Suspension for Injection Vials 1ml</t>
  </si>
  <si>
    <t>L9597B</t>
  </si>
  <si>
    <t>Neupro 6mg/24hr Transdermal Patches 28</t>
  </si>
  <si>
    <t>Malarone 250mg/100mg Tablets 12</t>
  </si>
  <si>
    <t>Lucette 0.03mg/3mg Tablets 63</t>
  </si>
  <si>
    <t>Nasacort Nasal Spray 120doses</t>
  </si>
  <si>
    <t>Cosopt 20mg/ml &amp; 5mg/ml Eye Drops 5ml</t>
  </si>
  <si>
    <t>Oestrogel (0.06%) 80g Pump Pack 64</t>
  </si>
  <si>
    <t>M0180A</t>
  </si>
  <si>
    <t>DepoProvera 150mg/1ml Suspension for Injection Vials 1ml</t>
  </si>
  <si>
    <t>Ontozry 50mg Tabs 28</t>
  </si>
  <si>
    <t>5478C</t>
  </si>
  <si>
    <t>Provera 5MG Tablets 30s</t>
  </si>
  <si>
    <t>5251N</t>
  </si>
  <si>
    <t>Vimpat 50mg Film-coated Tablets 56</t>
  </si>
  <si>
    <t>5671A</t>
  </si>
  <si>
    <t>Crestor 20mg Tablets 28</t>
  </si>
  <si>
    <t>Dermovate 0.05% Scalp Application 100ml</t>
  </si>
  <si>
    <t>5478B</t>
  </si>
  <si>
    <t>Provera 10mg Tablets 30</t>
  </si>
  <si>
    <t>5303I</t>
  </si>
  <si>
    <t>Imigran Subject Refill cartridge Syringe 6mg 2's</t>
  </si>
  <si>
    <t>5556F</t>
  </si>
  <si>
    <t>Half Sinemet CR 25mg/100mg Tablets 30</t>
  </si>
  <si>
    <t>5488F</t>
  </si>
  <si>
    <t>Pulmicort 400mcg Turbohaler 50doses</t>
  </si>
  <si>
    <t>Casodex 50mg Tablets 28</t>
  </si>
  <si>
    <t>5913D</t>
  </si>
  <si>
    <t>Dovobet Gel 30g</t>
  </si>
  <si>
    <t>Vibramycin 100mg Dispersible Tablets 8</t>
  </si>
  <si>
    <t>M0457B</t>
  </si>
  <si>
    <t>Humulin I Cartridge 3ml x 5</t>
  </si>
  <si>
    <t>5337A</t>
  </si>
  <si>
    <t>Tresiba Flextouch 200u/ml Injection 3mlx3</t>
  </si>
  <si>
    <t>5538B</t>
  </si>
  <si>
    <t>Stalevo 50mg/12.5mg/200mg Tablets 100</t>
  </si>
  <si>
    <t>5538A</t>
  </si>
  <si>
    <t>Stalevo 150mg/37.5mg/200mg Tablets 100</t>
  </si>
  <si>
    <t>M0160A</t>
  </si>
  <si>
    <t>Caverject 20mcg Injection 1</t>
  </si>
  <si>
    <t>5573A</t>
  </si>
  <si>
    <t>Flomaxtra XL 400mcg Tablets 30</t>
  </si>
  <si>
    <t>L7123</t>
  </si>
  <si>
    <t>Fiasp penfill solution for injection cartridges 100iu/ml</t>
  </si>
  <si>
    <t>Rozex 0.75% Gel (Metronidazole) 30g</t>
  </si>
  <si>
    <t>0926A</t>
  </si>
  <si>
    <t>Ropinirole 2mg Tablets 28 (PI)</t>
  </si>
  <si>
    <t>5173H</t>
  </si>
  <si>
    <t>Cardura XL 4mg Tablets 28</t>
  </si>
  <si>
    <t>D0605C</t>
  </si>
  <si>
    <t>FreeStyle Optium Betaketone Testing Strips 10</t>
  </si>
  <si>
    <t>EMLA CREAM 30G</t>
  </si>
  <si>
    <t>0670D</t>
  </si>
  <si>
    <t>Mercaptopurine 50mg Tablets 25</t>
  </si>
  <si>
    <t>Azopt 10mg/ml Eye Drops 5ml</t>
  </si>
  <si>
    <t>Onglyza 2.5mg Tablets 28</t>
  </si>
  <si>
    <t>Flixotide 250mcg/dose Evohaler 120doses</t>
  </si>
  <si>
    <t>M0160</t>
  </si>
  <si>
    <t>Caverject 10mcg Injection 1</t>
  </si>
  <si>
    <t>5430D</t>
  </si>
  <si>
    <t>Utrogestan capsules 100mg x 30's</t>
  </si>
  <si>
    <t>5337B</t>
  </si>
  <si>
    <t>Tresiba Penfill 100u/ml Injection 3mlx5</t>
  </si>
  <si>
    <t>5613B</t>
  </si>
  <si>
    <t>Requip XL 8mg Tablets 28</t>
  </si>
  <si>
    <t>5897A</t>
  </si>
  <si>
    <t>Brintellix 5mg Tablets 28</t>
  </si>
  <si>
    <t>5613A</t>
  </si>
  <si>
    <t>Requip XL 4mg Tablets 28</t>
  </si>
  <si>
    <t>5564C</t>
  </si>
  <si>
    <t>Serevent 50mcg Accuhaler 60doses</t>
  </si>
  <si>
    <t>Tegretol 100mg/5ml Liquid S/F 250ml</t>
  </si>
  <si>
    <t>EllaOne 30mg Tablets 1</t>
  </si>
  <si>
    <t>Sirdupla 25mcg/125mcg Evohaler 120doses</t>
  </si>
  <si>
    <t>6853B</t>
  </si>
  <si>
    <t>Equasym XL 30mg Capsules 30</t>
  </si>
  <si>
    <t>5284C</t>
  </si>
  <si>
    <t>Buccolam 5Mg /1ml oral syringe 4s</t>
  </si>
  <si>
    <t>5556G</t>
  </si>
  <si>
    <t>Half Sinemet CR 25mg/100mg Tablets 60</t>
  </si>
  <si>
    <t>Ganfort 0.3mg/ml Eye Drops 3mlx1</t>
  </si>
  <si>
    <t>Versatis 700mg (5%) Medicated Patches 30</t>
  </si>
  <si>
    <t>5583A</t>
  </si>
  <si>
    <t>Timoptol 0.5% Eye Drops 5ml</t>
  </si>
  <si>
    <t>0680C</t>
  </si>
  <si>
    <t>Oxycontin 20mg Tablets 56</t>
  </si>
  <si>
    <t>5195B</t>
  </si>
  <si>
    <t>Combivent UDVS 2.5ml Nebuliser Liquid 60</t>
  </si>
  <si>
    <t>5188B</t>
  </si>
  <si>
    <t>Dermovate 0.05% Ointment 100g</t>
  </si>
  <si>
    <t>5671K</t>
  </si>
  <si>
    <t>Crestor 40mg Tablets 28</t>
  </si>
  <si>
    <t>0663A</t>
  </si>
  <si>
    <t>Mefenamic Acid 250mg Capsules 100</t>
  </si>
  <si>
    <t>L9207A</t>
  </si>
  <si>
    <t>Qvar 100mcg Autohaler 200doses</t>
  </si>
  <si>
    <t>Xultophy solution for injection pre-filled pens 100iu/ml/3.6mg/ml</t>
  </si>
  <si>
    <t>5538F</t>
  </si>
  <si>
    <t>Stalevo 200/50/200mg Tabs 30</t>
  </si>
  <si>
    <t>Topamax 25mg Tablets 60</t>
  </si>
  <si>
    <t>Bezalip Mono 400mg Modified Release Tablets 30</t>
  </si>
  <si>
    <t>Setofilm 4mg Orodispensible Films 10</t>
  </si>
  <si>
    <t>Iopidine 5mg/ml Eye Drops 5ml</t>
  </si>
  <si>
    <t>5250G</t>
  </si>
  <si>
    <t>TARGINACT 20MG/10MG PRO REL TAB 56</t>
  </si>
  <si>
    <t>Etrivex 500mcg/g Shampoo 125ml</t>
  </si>
  <si>
    <t>L9714Z</t>
  </si>
  <si>
    <t>Yasmin Tablets 63</t>
  </si>
  <si>
    <t>5250P</t>
  </si>
  <si>
    <t>Onglyza 5mg Tablets 28</t>
  </si>
  <si>
    <t>5866A</t>
  </si>
  <si>
    <t>Azarga 10mg/ml / 5mg/ml Eye Drops 5ml</t>
  </si>
  <si>
    <t>6001B</t>
  </si>
  <si>
    <t>Monuril 3g Granules Sachets 3g</t>
  </si>
  <si>
    <t>5149A</t>
  </si>
  <si>
    <t>Clopixol 10mg Tablets 100</t>
  </si>
  <si>
    <t>MICROLET 0.5mm/28G blood lancets 100</t>
  </si>
  <si>
    <t>5191D</t>
  </si>
  <si>
    <t>Depakote 500mg Tablets 30</t>
  </si>
  <si>
    <t>5562A</t>
  </si>
  <si>
    <t>Seretide 250mcg Accuhaler 60doses</t>
  </si>
  <si>
    <t>5143E</t>
  </si>
  <si>
    <t>Bricanyl 0.5mg/Dose Turbohaler 120 Dose</t>
  </si>
  <si>
    <t>L2021E</t>
  </si>
  <si>
    <t>Sinthrome 1mg Tablets 100</t>
  </si>
  <si>
    <t>L9110</t>
  </si>
  <si>
    <t>Emselex 7.5mg Modified Release Tablets 28</t>
  </si>
  <si>
    <t>L7130</t>
  </si>
  <si>
    <t>Nilemdo tablets 180mg 28</t>
  </si>
  <si>
    <t>5783D</t>
  </si>
  <si>
    <t>Yellox 0.9mg/ml Eye Drops 5ml</t>
  </si>
  <si>
    <t>Pulmicort 200mcg Turbohaler 100doses</t>
  </si>
  <si>
    <t>L9184A</t>
  </si>
  <si>
    <t>Contour Next Testing Strips 50</t>
  </si>
  <si>
    <t>5538C</t>
  </si>
  <si>
    <t>Stalevo 200mg/50mg/200mg Tablets 100</t>
  </si>
  <si>
    <t>Oxis 6mcg Turbohaler 60doses</t>
  </si>
  <si>
    <t>Proscar 5mg Tablets 28</t>
  </si>
  <si>
    <t>L2021C</t>
  </si>
  <si>
    <t>Regurin XL 60mg Capsule 28</t>
  </si>
  <si>
    <t>5322E</t>
  </si>
  <si>
    <t>Keppra 100mg/ml Oral Solution 300ml</t>
  </si>
  <si>
    <t>1452C</t>
  </si>
  <si>
    <t>Enoxaparin 60MG/0.6ml Pre Filled Syringes 10s</t>
  </si>
  <si>
    <t>Combigan Eye Drops 5ml</t>
  </si>
  <si>
    <t>5155A</t>
  </si>
  <si>
    <t>Cosopt Eye Drops Pres Free 2%/0.5% 1 (60 Doses)</t>
  </si>
  <si>
    <t>5800I</t>
  </si>
  <si>
    <t>Pentasa Granules Sachets m/r 4g x 30's</t>
  </si>
  <si>
    <t>5250L</t>
  </si>
  <si>
    <t>Vimpat 100mg Film-coated Tablets 56</t>
  </si>
  <si>
    <t>Hiprex 1g Tablets 100</t>
  </si>
  <si>
    <t>Edronax 4mg Tablets 60</t>
  </si>
  <si>
    <t>Contour Testing Strips 50</t>
  </si>
  <si>
    <t>5307C</t>
  </si>
  <si>
    <t>Imigran 10mg Nasal Spray 2</t>
  </si>
  <si>
    <t>5800H</t>
  </si>
  <si>
    <t>PENTASA SACHETS 2G 60</t>
  </si>
  <si>
    <t>Brilique 90mg Tablets 56</t>
  </si>
  <si>
    <t>Setofilm 8mg Orodispensible Films 10</t>
  </si>
  <si>
    <t>5626B</t>
  </si>
  <si>
    <t>Fycompa 6mg Tablets 28</t>
  </si>
  <si>
    <t>Thealoz Duo Eye Drops 10ml</t>
  </si>
  <si>
    <t>L9519</t>
  </si>
  <si>
    <t>Qvar 100mcg Inhaler 1</t>
  </si>
  <si>
    <t>5548G</t>
  </si>
  <si>
    <t>Inhixa Inj 20000ui(20mg)/0.2ml 10</t>
  </si>
  <si>
    <t>Virgan 0.15% Eye Gel 5g</t>
  </si>
  <si>
    <t>5162E</t>
  </si>
  <si>
    <t>Cipramil 40mg/ml Drops 15ml</t>
  </si>
  <si>
    <t>5188A</t>
  </si>
  <si>
    <t>Dermovate 0.05% Cream 30g</t>
  </si>
  <si>
    <t>Colestyramine 4g Sachets SF 50</t>
  </si>
  <si>
    <t>Stalevo 100mg/25mg/200mg Tablets 100</t>
  </si>
  <si>
    <t>5563A</t>
  </si>
  <si>
    <t>Seretide 250mcg Evohaler 120doses</t>
  </si>
  <si>
    <t>Tegretol Retard 400mg Tablets 60</t>
  </si>
  <si>
    <t>Eucreas 50mg/1000mg Tablets 60</t>
  </si>
  <si>
    <t>L9597</t>
  </si>
  <si>
    <t>Neupro 4mg/24hr Transdermal Patches 28</t>
  </si>
  <si>
    <t>D0397K</t>
  </si>
  <si>
    <t>ACCU-CHEK GUIDE GLUCOSE TEST STRIPS 50'S</t>
  </si>
  <si>
    <t>L9136</t>
  </si>
  <si>
    <t>Cerazette 75mcg Tablets 84</t>
  </si>
  <si>
    <t>Tildiem LA 300mg Capsules 28</t>
  </si>
  <si>
    <t>Zanidip 10mg Tablets 28</t>
  </si>
  <si>
    <t>5180B</t>
  </si>
  <si>
    <t>Dalacin 2% Cream 40g</t>
  </si>
  <si>
    <t>Tiotropium (Braltus) 10mcg Inhalation Powder with Zonda inhaler</t>
  </si>
  <si>
    <t>Seretide 125mcg Evohale 120doses</t>
  </si>
  <si>
    <t>NuvaRing 0.12mg/0.015mg 3</t>
  </si>
  <si>
    <t>5605A</t>
  </si>
  <si>
    <t>Tegretol Retard 400mg Tablets 50</t>
  </si>
  <si>
    <t>5284E</t>
  </si>
  <si>
    <t>Buccolam 10Mg/2ml oral syringe 4s</t>
  </si>
  <si>
    <t>M0006</t>
  </si>
  <si>
    <t>TRULICITY Solution for Injection PF Pen 0.75mg x 4's</t>
  </si>
  <si>
    <t>L9375</t>
  </si>
  <si>
    <t>Vesicare 5mg Tablets 30</t>
  </si>
  <si>
    <t>L6002</t>
  </si>
  <si>
    <t>Nustendi tablets 180mg/10mg 28</t>
  </si>
  <si>
    <t>Aldara 5% Cream 250mg Sachets 12</t>
  </si>
  <si>
    <t>5310B</t>
  </si>
  <si>
    <t>Lumigan 0.1mg/ml Eye Drops 3ml</t>
  </si>
  <si>
    <t>5800C</t>
  </si>
  <si>
    <t>Pentasa 1g Suppoitories 28</t>
  </si>
  <si>
    <t>6103A</t>
  </si>
  <si>
    <t>Cialis 20mg Tablets ---- 4s</t>
  </si>
  <si>
    <t>L0239H</t>
  </si>
  <si>
    <t>Canesten 2% Thrush Cream 20g</t>
  </si>
  <si>
    <t>5247C</t>
  </si>
  <si>
    <t>Phenytoin 300mg Capsules 28</t>
  </si>
  <si>
    <t>Tiopex 1mg/g Eye Gel 0.4gx30</t>
  </si>
  <si>
    <t>Januvia 100mg Tablets 28</t>
  </si>
  <si>
    <t>Stomahesive Paste 60g</t>
  </si>
  <si>
    <t>Zomig Rapimelt 2.5mg Orodispersible Tablets 6</t>
  </si>
  <si>
    <t>Tranylcypromine 10mg Tablets 28</t>
  </si>
  <si>
    <t>5313A</t>
  </si>
  <si>
    <t>Relvar Ellipta 92mcg/22mcg Inhaler 30doses</t>
  </si>
  <si>
    <t>0312L</t>
  </si>
  <si>
    <t>Dronedarone 400mg Talets 60</t>
  </si>
  <si>
    <t>Flutiform 250mcg/dose &amp; 10mcg/dose Inhaler 120doses</t>
  </si>
  <si>
    <t>Metronidazole 200mg/5ml Suspension100ml</t>
  </si>
  <si>
    <t>D1200</t>
  </si>
  <si>
    <t>COAGUCHEK XS PT test PST 24 Test Strips</t>
  </si>
  <si>
    <t>5488K</t>
  </si>
  <si>
    <t>Pulmicort 100mcg Turbohaler 200doses</t>
  </si>
  <si>
    <t>M0106</t>
  </si>
  <si>
    <t>Fostair 100mcg/6mcg Inhaler 1</t>
  </si>
  <si>
    <t>5159B</t>
  </si>
  <si>
    <t>Calcichew 500mg Chewable Tablets 90</t>
  </si>
  <si>
    <t>5538E</t>
  </si>
  <si>
    <t>Stalevo 150/37.5/200Mg Tabs 30</t>
  </si>
  <si>
    <t>L9728B</t>
  </si>
  <si>
    <t>Renvela 800mg Tablets 180</t>
  </si>
  <si>
    <t>5626C</t>
  </si>
  <si>
    <t>Fycompa 8mg Tablets 28</t>
  </si>
  <si>
    <t>Synjardy 12.5g/1000mg Film-Coated Tablets 56</t>
  </si>
  <si>
    <t>Diprosalic 0.05%/3% Ointment 30g</t>
  </si>
  <si>
    <t>L9014</t>
  </si>
  <si>
    <t>Clexane 40mg Solution Injection Prefilled Syringes 0.4mlx10</t>
  </si>
  <si>
    <t>5959A</t>
  </si>
  <si>
    <t>Estring 7.5mcg/24hrs Vaginal Ring 1</t>
  </si>
  <si>
    <t>Symbicort 200/6 Turbohaler 120doses</t>
  </si>
  <si>
    <t>M0005</t>
  </si>
  <si>
    <t>Humalog Kwikpen 200iu 3mlx5</t>
  </si>
  <si>
    <t>Seebri Breezhaler 44mcg Inhalation Powder 30</t>
  </si>
  <si>
    <t>1479G</t>
  </si>
  <si>
    <t>Medikinet XL 30mg Capsules 30</t>
  </si>
  <si>
    <t>5814E</t>
  </si>
  <si>
    <t>Campral EC 333mg Tablets 168</t>
  </si>
  <si>
    <t>5297B</t>
  </si>
  <si>
    <t>TRAJENTA 5MG FC TABLET 90</t>
  </si>
  <si>
    <t>5188D</t>
  </si>
  <si>
    <t>Dermovate 0.05% Ointment 25g</t>
  </si>
  <si>
    <t>M0450</t>
  </si>
  <si>
    <t>OZEMPIC solution for injection pre-filled pen 0.5mg</t>
  </si>
  <si>
    <t>5870C</t>
  </si>
  <si>
    <t>Madopar 100mg/25mg Dispersible Tablets 30</t>
  </si>
  <si>
    <t>Forxiga 10mg Tablets 28</t>
  </si>
  <si>
    <t>M0451</t>
  </si>
  <si>
    <t>OZEMPIC solution for injection pre-filled pen 1mg</t>
  </si>
  <si>
    <t>5223C</t>
  </si>
  <si>
    <t>Flixotide 500mcg/dose Accuhaler 60doses</t>
  </si>
  <si>
    <t>M0276</t>
  </si>
  <si>
    <t>TRULICITY Solution for Injection PF Pen 3mg x 4's</t>
  </si>
  <si>
    <t>Incruse Ellipta 55mcg Inhaler 30doses</t>
  </si>
  <si>
    <t>Nevanac 1mg/ml Eye Drops 1</t>
  </si>
  <si>
    <t>L9805</t>
  </si>
  <si>
    <t>Lixiana 30mg tabs 28</t>
  </si>
  <si>
    <t>Frumil 40mg/5mg Tablets 28</t>
  </si>
  <si>
    <t>M0107A</t>
  </si>
  <si>
    <t>Sumatriptan 6mg/0.5ml Injection 2</t>
  </si>
  <si>
    <t>5626D</t>
  </si>
  <si>
    <t>Fycompa 10mg Tablets 28</t>
  </si>
  <si>
    <t>Jentadueto 2.5mg/1000mg Tablets 60</t>
  </si>
  <si>
    <t>Trajenta 5mg Tablets 28</t>
  </si>
  <si>
    <t>5590C</t>
  </si>
  <si>
    <t>Tegretol Retard 400mg Tablets 30</t>
  </si>
  <si>
    <t>Eklira 322mcg/dose Genuair 60doses</t>
  </si>
  <si>
    <t>Fostair Nexthaler 100mcg/dose &amp; 6mcg/dose Inhaler 120doses</t>
  </si>
  <si>
    <t>5538D</t>
  </si>
  <si>
    <t>Stalevo 100/25/200 Mg Tabs 30</t>
  </si>
  <si>
    <t>5223B</t>
  </si>
  <si>
    <t>Flixotide 250mcg/dose Accuhaler 60doses</t>
  </si>
  <si>
    <t>Protopic 0.1% Ointment 30g</t>
  </si>
  <si>
    <t>5408B</t>
  </si>
  <si>
    <t>Oxis 12mcg Turbohaler 60doses</t>
  </si>
  <si>
    <t>5318A</t>
  </si>
  <si>
    <t>Vipidia 25mg Tablets 28</t>
  </si>
  <si>
    <t>0917K</t>
  </si>
  <si>
    <t>Alendronic Acid SF Solution 70mg 100mlx4</t>
  </si>
  <si>
    <t>5297A</t>
  </si>
  <si>
    <t>Trajenta 5mg Tablets 30</t>
  </si>
  <si>
    <t>Betmiga 50 Mg 30 Prolong Release Tablets</t>
  </si>
  <si>
    <t>5097B</t>
  </si>
  <si>
    <t>Jardiance 25mg Tablets 30</t>
  </si>
  <si>
    <t>Seretide 500mcg Accuhaler 60doses</t>
  </si>
  <si>
    <t>Relvar Ellipta 184mcg/22mcg Inhaler 30doses</t>
  </si>
  <si>
    <t>5800E</t>
  </si>
  <si>
    <t>Pentasa 1g S/R Tablets 60</t>
  </si>
  <si>
    <t>5626A</t>
  </si>
  <si>
    <t>Fycompa 4mg Tablets 28</t>
  </si>
  <si>
    <t>Nexplanon 68 mg Implant 1</t>
  </si>
  <si>
    <t>5146A</t>
  </si>
  <si>
    <t>Betmiga 25mg Modified Release Tablets 30</t>
  </si>
  <si>
    <t>5541A</t>
  </si>
  <si>
    <t>Symbicort 100/6 Turbohaler 120doses</t>
  </si>
  <si>
    <t>5318B</t>
  </si>
  <si>
    <t>Vipidia 6.25mg Tablets 28</t>
  </si>
  <si>
    <t>5548H</t>
  </si>
  <si>
    <t>Enstilar 50mcg/0.5mg Cutaneous Foam 60g</t>
  </si>
  <si>
    <t>5220X</t>
  </si>
  <si>
    <t>Mezavant XL 1200mg Tablets 60</t>
  </si>
  <si>
    <t>5897B</t>
  </si>
  <si>
    <t>Brintellix 10mg Tablets 28</t>
  </si>
  <si>
    <t>5296A</t>
  </si>
  <si>
    <t>Flutiform 125mcg/dose &amp; 5mcg/dose Inhaler 120doses</t>
  </si>
  <si>
    <t>5119B</t>
  </si>
  <si>
    <t>Onbrez Inhaler 150mcg 30 Capsules+1 Inhaler</t>
  </si>
  <si>
    <t>5267A</t>
  </si>
  <si>
    <t>Ganfort_Eye Dps 300mcg/5mg 0.4ml Ud 30s</t>
  </si>
  <si>
    <t>L0744A</t>
  </si>
  <si>
    <t>Cosopt iMulti 20mg/ml + 5mg/ml Eye Drops PF 10ml</t>
  </si>
  <si>
    <t>5307A</t>
  </si>
  <si>
    <t>Imigran 20mg Nasal Spray 2</t>
  </si>
  <si>
    <t>5756A</t>
  </si>
  <si>
    <t>Fostair Nexthaler 200/6mcg dry powder inhaler 120 dose</t>
  </si>
  <si>
    <t>5800B</t>
  </si>
  <si>
    <t>Pentasa 500mg S/R Tablets 100</t>
  </si>
  <si>
    <t>Anoro Ellipta 55mcg/22Mcg 30</t>
  </si>
  <si>
    <t>Blissel vaginal gel with appicator 50mcg/g</t>
  </si>
  <si>
    <t>5928A</t>
  </si>
  <si>
    <t>Subutex 8mg Sublingual Tablets 7</t>
  </si>
  <si>
    <t>Forxiga 5mg Tablets 28</t>
  </si>
  <si>
    <t>L9729</t>
  </si>
  <si>
    <t>Mestinon 60mg Tablets 200</t>
  </si>
  <si>
    <t>5490C</t>
  </si>
  <si>
    <t>Protopic 0.1% Ointment ---- 60g</t>
  </si>
  <si>
    <t>SYNJARDY 5MG/1000MG TABS 60 (PI)</t>
  </si>
  <si>
    <t>1452D</t>
  </si>
  <si>
    <t>Enoxaparin 80MG/0.8ml Pre Filled Syringes 10s</t>
  </si>
  <si>
    <t>5997B</t>
  </si>
  <si>
    <t>TRELEGY ELLIPTA 92/55/22 MCG 30 DOSE (1)</t>
  </si>
  <si>
    <t>Xigduo 5mg/1000mg Tablets 56</t>
  </si>
  <si>
    <t>5097C</t>
  </si>
  <si>
    <t>Jardiance 10mg Tablets 30</t>
  </si>
  <si>
    <t>L9597A</t>
  </si>
  <si>
    <t>Neupro 8mg/24hr Transdermal Patches 28</t>
  </si>
  <si>
    <t>5490A</t>
  </si>
  <si>
    <t>Protopic 0.03% Ointment 30g</t>
  </si>
  <si>
    <t>5799A</t>
  </si>
  <si>
    <t>Forxiga 10mg Tablets 30</t>
  </si>
  <si>
    <t>5019A</t>
  </si>
  <si>
    <t>NuvaRing 0.12mg/0.015mg 1</t>
  </si>
  <si>
    <t>5233B</t>
  </si>
  <si>
    <t>Latuda 37mg Tablets 28</t>
  </si>
  <si>
    <t>5251R</t>
  </si>
  <si>
    <t>Ongentys 50mg Capsules 30</t>
  </si>
  <si>
    <t>Valtrex (Valaciclovir) 500mg Tablets 42</t>
  </si>
  <si>
    <t>Dymista 137mcg/50mcg Nasal Spray 1</t>
  </si>
  <si>
    <t>5269B</t>
  </si>
  <si>
    <t>Coversyl Arginine 10mg Tablets 30</t>
  </si>
  <si>
    <t>L9806</t>
  </si>
  <si>
    <t>LIXIANA 60MG TABLETS 28</t>
  </si>
  <si>
    <t>5386A</t>
  </si>
  <si>
    <t>Lipantil Micro 200mg Capsules 30</t>
  </si>
  <si>
    <t>5951D</t>
  </si>
  <si>
    <t>Ursofalk 500mg Tablets 100</t>
  </si>
  <si>
    <t>Vipidia 12.5mg Tablets 28</t>
  </si>
  <si>
    <t>L9807</t>
  </si>
  <si>
    <t>Lixiana 30mg film coated Tablets 30</t>
  </si>
  <si>
    <t>6853A</t>
  </si>
  <si>
    <t>Equasym  XL 20MG Capsules 30S</t>
  </si>
  <si>
    <t>5692A</t>
  </si>
  <si>
    <t>Alvesco M/Dose Inh 160mcg 120D</t>
  </si>
  <si>
    <t>5821C</t>
  </si>
  <si>
    <t>Dantrium 25mg Capsules 50</t>
  </si>
  <si>
    <t>5905D</t>
  </si>
  <si>
    <t>Clexane 100mg Solution for Injection Prefilled Syringes 1mlx10</t>
  </si>
  <si>
    <t>1380B</t>
  </si>
  <si>
    <t>Fluconazole 50mg/5ml Oral Suspension 35ml</t>
  </si>
  <si>
    <t>5080B</t>
  </si>
  <si>
    <t>Invokana 300mg Tabs 30</t>
  </si>
  <si>
    <t>L9019</t>
  </si>
  <si>
    <t>Omacor 1000mg Capsules 28</t>
  </si>
  <si>
    <t>Lixiana 60mg film coated Tablets 30</t>
  </si>
  <si>
    <t>5905C</t>
  </si>
  <si>
    <t>Clexane 80mg Solution Injection Prefilled Syringes 0.8mlx10</t>
  </si>
  <si>
    <t>5282A</t>
  </si>
  <si>
    <t>Janumet 50mg/1g Tablets 56</t>
  </si>
  <si>
    <t>5747B</t>
  </si>
  <si>
    <t>Zoladex LA 10.8mg Inj Safe  system-1s</t>
  </si>
  <si>
    <t>Latuda 74mg Tablets 28</t>
  </si>
  <si>
    <t>L9714B</t>
  </si>
  <si>
    <t>Seretide 50mcg Evohaler 120doses</t>
  </si>
  <si>
    <t>5330B</t>
  </si>
  <si>
    <t>Primidone 250mg Tablets 30</t>
  </si>
  <si>
    <t>5937A</t>
  </si>
  <si>
    <t>Xigduo 5mg/850mg Tablets 56</t>
  </si>
  <si>
    <t>D0396A</t>
  </si>
  <si>
    <t>FreeStyle Lite Testing Strips 50</t>
  </si>
  <si>
    <t>Combodart 0.5mg/0.4mg Capsules 30</t>
  </si>
  <si>
    <t>6014A</t>
  </si>
  <si>
    <t>Colgate Duraphat 5000ppm Fluoride Toothpaste 51g</t>
  </si>
  <si>
    <t>DuoResp Spiromax 160mcg/4.5mcg Inhaler 120doses</t>
  </si>
  <si>
    <t>5913E</t>
  </si>
  <si>
    <t>Dovobet Gel 60g</t>
  </si>
  <si>
    <t>5626E</t>
  </si>
  <si>
    <t>Fycompa 12mg Tablets 28</t>
  </si>
  <si>
    <t>5541B</t>
  </si>
  <si>
    <t>Symbicort 400/12 Turbohaler 60doses</t>
  </si>
  <si>
    <t>Kemadrin 5mg Tablets 100</t>
  </si>
  <si>
    <t>5119C</t>
  </si>
  <si>
    <t>Onbrez Inhaler 300mcg 30 Capsules+1 Inhaler</t>
  </si>
  <si>
    <t>1479H</t>
  </si>
  <si>
    <t>Medikinet XL 40mg Capsules 30</t>
  </si>
  <si>
    <t>5466B</t>
  </si>
  <si>
    <t>Brilique 60mg Tablets 56</t>
  </si>
  <si>
    <t>5251P</t>
  </si>
  <si>
    <t>Onglyza 5mg Tablets 30</t>
  </si>
  <si>
    <t>5934K</t>
  </si>
  <si>
    <t>Xarelto 10mg Tablets 30</t>
  </si>
  <si>
    <t>Atrovent 20mcg/dose Inhaler CFC free 200doses</t>
  </si>
  <si>
    <t>5282C</t>
  </si>
  <si>
    <t>Januvia 50mg Tablets 28</t>
  </si>
  <si>
    <t>Migard 2.5mg Tablets 6</t>
  </si>
  <si>
    <t>L1123</t>
  </si>
  <si>
    <t>Voltarol 12 Hour Gel 2% 100g</t>
  </si>
  <si>
    <t>5771A</t>
  </si>
  <si>
    <t>DuoResp Spiromax 320mcg/9mcg Inhaler 60doses</t>
  </si>
  <si>
    <t>0670C</t>
  </si>
  <si>
    <t>Lamivudine 100mg Tablets 28</t>
  </si>
  <si>
    <t>Budesonide 0.5mg Nebuliser Suspension 20doses</t>
  </si>
  <si>
    <t>5562B</t>
  </si>
  <si>
    <t>Seretide 100mcg Accuhaler 60doses</t>
  </si>
  <si>
    <t>5282B</t>
  </si>
  <si>
    <t>Januvia 25mg Tablets 28</t>
  </si>
  <si>
    <t>Profit Per Pack</t>
  </si>
  <si>
    <t>Qty Target</t>
  </si>
  <si>
    <t>Feb'26 Received Qty</t>
  </si>
  <si>
    <t>March'26 Received Qty</t>
  </si>
  <si>
    <t>Apr'26 Received Qty</t>
  </si>
  <si>
    <t>May'26 Received Qty</t>
  </si>
  <si>
    <t>June'26 Received Qty</t>
  </si>
  <si>
    <t>Feb'26 Profit</t>
  </si>
  <si>
    <t>Apr'26 Profit</t>
  </si>
  <si>
    <t>May'26 Profit</t>
  </si>
  <si>
    <t>June'26 Profit</t>
  </si>
  <si>
    <t>Feb'26 Selling Qty</t>
  </si>
  <si>
    <t>March'26 Selling Qty</t>
  </si>
  <si>
    <t>Apr'26 Selling Qty</t>
  </si>
  <si>
    <t>May'26 Selling Qty</t>
  </si>
  <si>
    <t>June'26 Selling Qty</t>
  </si>
  <si>
    <t>March'26 Profit</t>
  </si>
  <si>
    <t>Feb'26 Potential Profit</t>
  </si>
  <si>
    <t>March'26 Potential Profit</t>
  </si>
  <si>
    <t>Apr'26 Potential Profit</t>
  </si>
  <si>
    <t>May'26 Potential Profit</t>
  </si>
  <si>
    <t>June'26 Potential Profit</t>
  </si>
  <si>
    <t>Monthly</t>
  </si>
  <si>
    <t>Purchase Analysis</t>
  </si>
  <si>
    <t xml:space="preserve">Unique products </t>
  </si>
  <si>
    <t>Boxes</t>
  </si>
  <si>
    <t>Purchase Value</t>
  </si>
  <si>
    <t>Potential Profit</t>
  </si>
  <si>
    <t>Feb</t>
  </si>
  <si>
    <t>Mar</t>
  </si>
  <si>
    <t xml:space="preserve">April </t>
  </si>
  <si>
    <t xml:space="preserve">May </t>
  </si>
  <si>
    <t>June</t>
  </si>
  <si>
    <t>Sales Analysis</t>
  </si>
  <si>
    <t xml:space="preserve">Sales Value </t>
  </si>
  <si>
    <t>Profit</t>
  </si>
  <si>
    <t>Month</t>
  </si>
  <si>
    <t>Category</t>
  </si>
  <si>
    <t>Above 11%</t>
  </si>
  <si>
    <t>Below 11%</t>
  </si>
  <si>
    <t>PCA</t>
  </si>
  <si>
    <t>Monthly Requirement Against PCA</t>
  </si>
  <si>
    <t>Sales Analysis - Removed Top 5 Profit</t>
  </si>
  <si>
    <t>Purchase Analysis - Removed Top 5</t>
  </si>
  <si>
    <t>Margin</t>
  </si>
  <si>
    <t>July'26 Received Qty</t>
  </si>
  <si>
    <t>July'26 Potential Profit</t>
  </si>
  <si>
    <t>July'26 Selling Qty</t>
  </si>
  <si>
    <t>July'26 Profit</t>
  </si>
  <si>
    <t>July</t>
  </si>
  <si>
    <t>0106B</t>
  </si>
  <si>
    <t>0680D</t>
  </si>
  <si>
    <t>0680H</t>
  </si>
  <si>
    <t>4907O</t>
  </si>
  <si>
    <t>4907P</t>
  </si>
  <si>
    <t>5212B</t>
  </si>
  <si>
    <t>5250I</t>
  </si>
  <si>
    <t>5670B</t>
  </si>
  <si>
    <t>5905B</t>
  </si>
  <si>
    <t>5965C</t>
  </si>
  <si>
    <t>5981A</t>
  </si>
  <si>
    <t>L1515</t>
  </si>
  <si>
    <t>L9019A</t>
  </si>
  <si>
    <t>L9021B</t>
  </si>
  <si>
    <t>L9106A</t>
  </si>
  <si>
    <t>M0194</t>
  </si>
  <si>
    <t>M0310</t>
  </si>
  <si>
    <t>M0457</t>
  </si>
  <si>
    <t>M0460</t>
  </si>
  <si>
    <t>M0479</t>
  </si>
  <si>
    <t>M0490</t>
  </si>
  <si>
    <t>M0492</t>
  </si>
  <si>
    <t>M0493</t>
  </si>
  <si>
    <t>M0495A</t>
  </si>
  <si>
    <t>M0496</t>
  </si>
  <si>
    <t>M0496C</t>
  </si>
  <si>
    <t>M0496D</t>
  </si>
  <si>
    <t>M0649B</t>
  </si>
  <si>
    <t>M0649D</t>
  </si>
  <si>
    <t>M0700</t>
  </si>
  <si>
    <t>M0701A</t>
  </si>
  <si>
    <t>M0702A</t>
  </si>
  <si>
    <t>M0818</t>
  </si>
  <si>
    <t>M1236</t>
  </si>
  <si>
    <t>M2487</t>
  </si>
  <si>
    <t>M2549</t>
  </si>
  <si>
    <t>M2550</t>
  </si>
  <si>
    <t>M5789</t>
  </si>
  <si>
    <t>Vesicare oral suspension 1mg/ml 1's</t>
  </si>
  <si>
    <t>Stalevo Film Coated Tabs 125mg/31.25mg/200mg 100</t>
  </si>
  <si>
    <t>Rinatec 21mcg/dose Nasal Spray 15ml 180doses</t>
  </si>
  <si>
    <t>Vipdomet 12.5mg/1g Tablets 56</t>
  </si>
  <si>
    <t>Diamicron 30mg MR Tablets 60</t>
  </si>
  <si>
    <t>Acebutolol 400mg Tablets 30</t>
  </si>
  <si>
    <t>Oxycontin 80mg Tablets 56</t>
  </si>
  <si>
    <t>Oxycontin 5mg PR Tablets 28</t>
  </si>
  <si>
    <t>AIRFLUSAL Inhaler 125mcg/25mcg 1s</t>
  </si>
  <si>
    <t>AIRFLUSAL Inhaler 250mcg/25mcg 1s</t>
  </si>
  <si>
    <t>Elocon 0.1% Cream 100g</t>
  </si>
  <si>
    <t>TARGINACT 5MG/2.5MG PRO REL TAB 28</t>
  </si>
  <si>
    <t>CLOPIXOL DEPOT INJECTION 200 MG/ML AMP 1ML</t>
  </si>
  <si>
    <t>Clexane 60mg Solution Injection Prefilled Syringes 0.6mlx10</t>
  </si>
  <si>
    <t>MicardisPlus 40mg/12.5mg Tablets 28</t>
  </si>
  <si>
    <t>Vesicare 10mg Tablets 30</t>
  </si>
  <si>
    <t>Ontozry 150mg Tabs 28</t>
  </si>
  <si>
    <t>Omacor 1000mg Capsules 100</t>
  </si>
  <si>
    <t>Inegy 10mg/20mg Tablets 30</t>
  </si>
  <si>
    <t>Efient 5mg Tablets 28</t>
  </si>
  <si>
    <t>TRULICITY Solution for Injection PF Pen 4.5mg x 4's</t>
  </si>
  <si>
    <t>TRULICITY Solution for Injection PF Pens 1.5mg x 4's</t>
  </si>
  <si>
    <t>Humulin M3 100iu Suspension for Injection 10ml</t>
  </si>
  <si>
    <t>OZEMPIC 0.5mg solution for injection pre-filled pen 1X1.5 mL</t>
  </si>
  <si>
    <t>Insulatard Penfill 3mlx5</t>
  </si>
  <si>
    <t>Humalog Insulin 100iu Injection Vial 10ml</t>
  </si>
  <si>
    <t>Humalog Cartridge Insulin 3mlx5</t>
  </si>
  <si>
    <t>OZEMPIC solution for injection pre-filled pen 0.25mg</t>
  </si>
  <si>
    <t>Humalog Mix25 Kwikpen 100iu Pre Filled Pens 3mlx5</t>
  </si>
  <si>
    <t>Humalog Mix25 Cartridge 3ml</t>
  </si>
  <si>
    <t>Humalog Mix50 Kwikpen 100iu Pre Filled Pens 3mlx5</t>
  </si>
  <si>
    <t>Humalog Kwikpen 100iu 3mlx5</t>
  </si>
  <si>
    <t>Lantus 100iu Cartridge 3mlx5</t>
  </si>
  <si>
    <t>Lantus Solostar 100units/ml Injection Pens 3mlx5</t>
  </si>
  <si>
    <t>Novorapid 100iu Penfill 3mlx5</t>
  </si>
  <si>
    <t>Novorapid 100iu Flexpen 3mlx5</t>
  </si>
  <si>
    <t>Novomix 30 Flexpen 3mlx5</t>
  </si>
  <si>
    <t>Prograf 0.5mg Capsules 30</t>
  </si>
  <si>
    <t>Lyumjev Kwikpen 100iu/ml 3ml x 5</t>
  </si>
  <si>
    <t>Toujeo Sol. Inj. P/F doublestar pens 300iu/ml 3mlx3</t>
  </si>
  <si>
    <t>ABASAGLAR kwikpen sol. for inj PF Pen 100iu/ml 5 x 3ml</t>
  </si>
  <si>
    <t>TOUJEO 300iu/ml sol. for inj PF solostar pens  3 x 1.5ml</t>
  </si>
  <si>
    <t>Fostair inhaler 200mcg/6mcg x 120dose</t>
  </si>
  <si>
    <t>M0459</t>
  </si>
  <si>
    <t>sectral 400mg Tabs 30</t>
  </si>
  <si>
    <t>Viagra Connect 50mg Tablets 4 - PI</t>
  </si>
  <si>
    <t>Humulin I 100iu Suspension for Injection 10ml</t>
  </si>
  <si>
    <t>x</t>
  </si>
  <si>
    <t>Type</t>
  </si>
  <si>
    <t>1459</t>
  </si>
  <si>
    <t>5678</t>
  </si>
  <si>
    <t>5440</t>
  </si>
  <si>
    <t>1371</t>
  </si>
  <si>
    <t>5205</t>
  </si>
  <si>
    <t>5029</t>
  </si>
  <si>
    <t>5325</t>
  </si>
  <si>
    <t>5390</t>
  </si>
  <si>
    <t>5007</t>
  </si>
  <si>
    <t>5139</t>
  </si>
  <si>
    <t>5679</t>
  </si>
  <si>
    <t>5092</t>
  </si>
  <si>
    <t>5427</t>
  </si>
  <si>
    <t>1050</t>
  </si>
  <si>
    <t>0360</t>
  </si>
  <si>
    <t>5040</t>
  </si>
  <si>
    <t>5949</t>
  </si>
  <si>
    <t>5591</t>
  </si>
  <si>
    <t>5945</t>
  </si>
  <si>
    <t>5031</t>
  </si>
  <si>
    <t>5754</t>
  </si>
  <si>
    <t>5774</t>
  </si>
  <si>
    <t>5879</t>
  </si>
  <si>
    <t>5854</t>
  </si>
  <si>
    <t>5832</t>
  </si>
  <si>
    <t>6000</t>
  </si>
  <si>
    <t>5300</t>
  </si>
  <si>
    <t>5266</t>
  </si>
  <si>
    <t>5224</t>
  </si>
  <si>
    <t>0388</t>
  </si>
  <si>
    <t>0311</t>
  </si>
  <si>
    <t>5197</t>
  </si>
  <si>
    <t>5200</t>
  </si>
  <si>
    <t>2108</t>
  </si>
  <si>
    <t>5225</t>
  </si>
  <si>
    <t>5314</t>
  </si>
  <si>
    <t>5392</t>
  </si>
  <si>
    <t>5380</t>
  </si>
  <si>
    <t>5626</t>
  </si>
  <si>
    <t>5752</t>
  </si>
  <si>
    <t>5913</t>
  </si>
  <si>
    <t>5260</t>
  </si>
  <si>
    <t>5855</t>
  </si>
  <si>
    <t>5466</t>
  </si>
  <si>
    <t>5559</t>
  </si>
  <si>
    <t>5856</t>
  </si>
  <si>
    <t>6004</t>
  </si>
  <si>
    <t>5643</t>
  </si>
  <si>
    <t>5328</t>
  </si>
  <si>
    <t>5329</t>
  </si>
  <si>
    <t>6104</t>
  </si>
  <si>
    <t>5054</t>
  </si>
  <si>
    <t>5220</t>
  </si>
  <si>
    <t>5555</t>
  </si>
  <si>
    <t>5904</t>
  </si>
  <si>
    <t>5342</t>
  </si>
  <si>
    <t>5751</t>
  </si>
  <si>
    <t>5613</t>
  </si>
  <si>
    <t>5343</t>
  </si>
  <si>
    <t>5931</t>
  </si>
  <si>
    <t>5449</t>
  </si>
  <si>
    <t>5897</t>
  </si>
  <si>
    <t>5964</t>
  </si>
  <si>
    <t>5574</t>
  </si>
  <si>
    <t>0365</t>
  </si>
  <si>
    <t>5226</t>
  </si>
  <si>
    <t>2111</t>
  </si>
  <si>
    <t>5296</t>
  </si>
  <si>
    <t>1154</t>
  </si>
  <si>
    <t>5019</t>
  </si>
  <si>
    <t>5799</t>
  </si>
  <si>
    <t>0488</t>
  </si>
  <si>
    <t>5420</t>
  </si>
  <si>
    <t>0108</t>
  </si>
  <si>
    <t>5900</t>
  </si>
  <si>
    <t>5409</t>
  </si>
  <si>
    <t>6016</t>
  </si>
  <si>
    <t>0211</t>
  </si>
  <si>
    <t>3658</t>
  </si>
  <si>
    <t>5942</t>
  </si>
  <si>
    <t>4602</t>
  </si>
  <si>
    <t>5541</t>
  </si>
  <si>
    <t>5297</t>
  </si>
  <si>
    <t>5334</t>
  </si>
  <si>
    <t>6230</t>
  </si>
  <si>
    <t>5458</t>
  </si>
  <si>
    <t>5671</t>
  </si>
  <si>
    <t>5107</t>
  </si>
  <si>
    <t>5939</t>
  </si>
  <si>
    <t>4160</t>
  </si>
  <si>
    <t>5690</t>
  </si>
  <si>
    <t>5460</t>
  </si>
  <si>
    <t>0508</t>
  </si>
  <si>
    <t>5756</t>
  </si>
  <si>
    <t>5896</t>
  </si>
  <si>
    <t>5563</t>
  </si>
  <si>
    <t>5696</t>
  </si>
  <si>
    <t>5570</t>
  </si>
  <si>
    <t>6002</t>
  </si>
  <si>
    <t>5361</t>
  </si>
  <si>
    <t>5488</t>
  </si>
  <si>
    <t>5608</t>
  </si>
  <si>
    <t>5146</t>
  </si>
  <si>
    <t>1379</t>
  </si>
  <si>
    <t>5538</t>
  </si>
  <si>
    <t>5780</t>
  </si>
  <si>
    <t>5188</t>
  </si>
  <si>
    <t>5442</t>
  </si>
  <si>
    <t>4127</t>
  </si>
  <si>
    <t>5155</t>
  </si>
  <si>
    <t>5650</t>
  </si>
  <si>
    <t>6015</t>
  </si>
  <si>
    <t>5935</t>
  </si>
  <si>
    <t>5089</t>
  </si>
  <si>
    <t>5724</t>
  </si>
  <si>
    <t>2102</t>
  </si>
  <si>
    <t>5490</t>
  </si>
  <si>
    <t>5515</t>
  </si>
  <si>
    <t>5313</t>
  </si>
  <si>
    <t>0487</t>
  </si>
  <si>
    <t>5588</t>
  </si>
  <si>
    <t>5508</t>
  </si>
  <si>
    <t>5264</t>
  </si>
  <si>
    <t>5222</t>
  </si>
  <si>
    <t>5335</t>
  </si>
  <si>
    <t>5282</t>
  </si>
  <si>
    <t>5937</t>
  </si>
  <si>
    <t>5602</t>
  </si>
  <si>
    <t>5853</t>
  </si>
  <si>
    <t>5128</t>
  </si>
  <si>
    <t>5149</t>
  </si>
  <si>
    <t>9808</t>
  </si>
  <si>
    <t>5267</t>
  </si>
  <si>
    <t>5507</t>
  </si>
  <si>
    <t>5456</t>
  </si>
  <si>
    <t>5764</t>
  </si>
  <si>
    <t>4610</t>
  </si>
  <si>
    <t>5141</t>
  </si>
  <si>
    <t>5562</t>
  </si>
  <si>
    <t>5085</t>
  </si>
  <si>
    <t>5683</t>
  </si>
  <si>
    <t>5605</t>
  </si>
  <si>
    <t>5170</t>
  </si>
  <si>
    <t>1103</t>
  </si>
  <si>
    <t>5055</t>
  </si>
  <si>
    <t>0465</t>
  </si>
  <si>
    <t>6026</t>
  </si>
  <si>
    <t>5993</t>
  </si>
  <si>
    <t>5593</t>
  </si>
  <si>
    <t>5318</t>
  </si>
  <si>
    <t>5946</t>
  </si>
  <si>
    <t>5470</t>
  </si>
  <si>
    <t>5135</t>
  </si>
  <si>
    <t>5233</t>
  </si>
  <si>
    <t>5841</t>
  </si>
  <si>
    <t>5082</t>
  </si>
  <si>
    <t>5950</t>
  </si>
  <si>
    <t>5418</t>
  </si>
  <si>
    <t>0753</t>
  </si>
  <si>
    <t>6006</t>
  </si>
  <si>
    <t>5723</t>
  </si>
  <si>
    <t>5213</t>
  </si>
  <si>
    <t>5771</t>
  </si>
  <si>
    <t>5187</t>
  </si>
  <si>
    <t>5270</t>
  </si>
  <si>
    <t>5353</t>
  </si>
  <si>
    <t>5105</t>
  </si>
  <si>
    <t>0176</t>
  </si>
  <si>
    <t>5547</t>
  </si>
  <si>
    <t>9541</t>
  </si>
  <si>
    <t>Old Line</t>
  </si>
  <si>
    <t>New Line</t>
  </si>
  <si>
    <t>Feb'26 Purchase Value</t>
  </si>
  <si>
    <t>March'26 Purchase Value</t>
  </si>
  <si>
    <t>Apr'26 Purchase Value</t>
  </si>
  <si>
    <t>May'26 Purchase Value</t>
  </si>
  <si>
    <t>June'26 Purchase Value</t>
  </si>
  <si>
    <t>July'26 Purchase Value</t>
  </si>
  <si>
    <t>Feb'26 Sales Value</t>
  </si>
  <si>
    <t>March'26 Sales Value</t>
  </si>
  <si>
    <t>Apr'26 Sales Value</t>
  </si>
  <si>
    <t>May'26 Sales Value</t>
  </si>
  <si>
    <t>June'26 Sales Value</t>
  </si>
  <si>
    <t>July'26 Sales Value</t>
  </si>
  <si>
    <t>Top/Bottom</t>
  </si>
  <si>
    <t>Top 5</t>
  </si>
  <si>
    <t>OVERALL</t>
  </si>
  <si>
    <t>Product Wise Bifurcation</t>
  </si>
  <si>
    <t>Select the Product Type →</t>
  </si>
  <si>
    <t>Daily</t>
  </si>
  <si>
    <t>MTD</t>
  </si>
  <si>
    <t>catalog_no</t>
  </si>
  <si>
    <t>Part_description</t>
  </si>
  <si>
    <t>Current Stock</t>
  </si>
  <si>
    <t>15% PCA</t>
  </si>
  <si>
    <t>MTD QTY</t>
  </si>
  <si>
    <t>Daily PCA</t>
  </si>
  <si>
    <t>QTY</t>
  </si>
  <si>
    <t>Diff</t>
  </si>
  <si>
    <t>Parallel Import</t>
  </si>
  <si>
    <t>3654</t>
  </si>
  <si>
    <t>Mefenamic Acid 500mg Tablets 30</t>
  </si>
  <si>
    <t>Generic to PI</t>
  </si>
  <si>
    <t>0134D</t>
  </si>
  <si>
    <t>Calcipotriol/Betamethasone 50mcg+0.5mg Ointment 60g</t>
  </si>
  <si>
    <t>1062</t>
  </si>
  <si>
    <t>Calcipotriol 50mcg Ointment 30g (PI)</t>
  </si>
  <si>
    <t>5481A</t>
  </si>
  <si>
    <t>Dosulepin 75mg Tabs PI - 28s</t>
  </si>
  <si>
    <t>0739</t>
  </si>
  <si>
    <t>Lamotrigine 100mg Dispersible Tablets 56 (PI)</t>
  </si>
  <si>
    <t>0483</t>
  </si>
  <si>
    <t>Ipratropium Bromide 21mcg/Dose Nasal Spray 15ml 180</t>
  </si>
  <si>
    <t>Fridge Lines</t>
  </si>
  <si>
    <t>5330A</t>
  </si>
  <si>
    <t>Primidone 250mg Tablets 120</t>
  </si>
  <si>
    <t>5542A</t>
  </si>
  <si>
    <t>Spiriva Combo Pack 30doses</t>
  </si>
  <si>
    <t>5543</t>
  </si>
  <si>
    <t>Metronidazole 0.75% Gel 30g</t>
  </si>
  <si>
    <t>5542</t>
  </si>
  <si>
    <t>Spiriva 18mcg Refill Capsules 30doses</t>
  </si>
  <si>
    <t>0377</t>
  </si>
  <si>
    <t>Depo Medrone Injection 40mg/ml 1ml x 10</t>
  </si>
  <si>
    <t>Synjardy 12.5g/1000mg Film-Coated Tablets 60</t>
  </si>
  <si>
    <t>D1200A</t>
  </si>
  <si>
    <t>CoaguChek XS PT Testing Strips 48</t>
  </si>
  <si>
    <t>1110F</t>
  </si>
  <si>
    <t>Valsartan 160mg / HCZ12.5mg Tabs 28 (PI)</t>
  </si>
  <si>
    <t>5963N</t>
  </si>
  <si>
    <t>Arcoxia 90mg Tablets 14</t>
  </si>
  <si>
    <t>5578A</t>
  </si>
  <si>
    <t>Trileptal 300mg Tablets 50</t>
  </si>
  <si>
    <t>OZEMPIC 0.5mg solution for injection pre-filled pen 1X3mL</t>
  </si>
  <si>
    <t>5430C</t>
  </si>
  <si>
    <t>Utrogestan Vaginal 200mg Capsules (21)</t>
  </si>
  <si>
    <t>Countries</t>
  </si>
  <si>
    <t>Buyers</t>
  </si>
  <si>
    <t>Jan Purchases</t>
  </si>
  <si>
    <t>March Purchases</t>
  </si>
  <si>
    <t>April Purchases</t>
  </si>
  <si>
    <t>May Purchases</t>
  </si>
  <si>
    <t>June Purchases</t>
  </si>
  <si>
    <t>July Purchases</t>
  </si>
  <si>
    <t>March Profit</t>
  </si>
  <si>
    <t>April Profit</t>
  </si>
  <si>
    <t>May Profit</t>
  </si>
  <si>
    <t>June Profit</t>
  </si>
  <si>
    <t>July Profit</t>
  </si>
  <si>
    <t>March Margin</t>
  </si>
  <si>
    <t>April Margin</t>
  </si>
  <si>
    <t>May Margin</t>
  </si>
  <si>
    <t>June Margin</t>
  </si>
  <si>
    <t>July Margin</t>
  </si>
  <si>
    <t>Total Purchase</t>
  </si>
  <si>
    <t>Total Profit</t>
  </si>
  <si>
    <t>% Margin</t>
  </si>
  <si>
    <t>Greece</t>
  </si>
  <si>
    <t>Louise</t>
  </si>
  <si>
    <t>Germany</t>
  </si>
  <si>
    <t>Luca</t>
  </si>
  <si>
    <t>Spain</t>
  </si>
  <si>
    <t>France</t>
  </si>
  <si>
    <t>Italy</t>
  </si>
  <si>
    <t>BELGIUM</t>
  </si>
  <si>
    <t>Manisha</t>
  </si>
  <si>
    <t>CZECH REPUBLIC</t>
  </si>
  <si>
    <t>Raffaella</t>
  </si>
  <si>
    <t>Romania</t>
  </si>
  <si>
    <t>Portugal</t>
  </si>
  <si>
    <t>Ireland</t>
  </si>
  <si>
    <t>BULGARIA</t>
  </si>
  <si>
    <t>AUSTRIA</t>
  </si>
  <si>
    <t>Netherland</t>
  </si>
  <si>
    <t>SLOVEKIA</t>
  </si>
  <si>
    <t>Poland</t>
  </si>
  <si>
    <t>Hungary</t>
  </si>
  <si>
    <t>Republic of Lithuania</t>
  </si>
  <si>
    <t>SLOVENIA</t>
  </si>
  <si>
    <t>Norway</t>
  </si>
  <si>
    <t>Latvia</t>
  </si>
  <si>
    <t>Croatia</t>
  </si>
  <si>
    <t>Louise Overall</t>
  </si>
  <si>
    <t>Luca Overall</t>
  </si>
  <si>
    <t>Manisha Overall</t>
  </si>
  <si>
    <t>Raffaella Overall</t>
  </si>
  <si>
    <t>Awaiting MAH</t>
  </si>
  <si>
    <t>In Labelling / On Order</t>
  </si>
  <si>
    <t>MAH Objection</t>
  </si>
  <si>
    <t>Not On Order</t>
  </si>
  <si>
    <t>Price Issue</t>
  </si>
  <si>
    <t>Stock Received</t>
  </si>
  <si>
    <t>Variation</t>
  </si>
  <si>
    <t>Grand Total</t>
  </si>
  <si>
    <t>No of Products</t>
  </si>
  <si>
    <t>Remarks</t>
  </si>
  <si>
    <t>Austria</t>
  </si>
  <si>
    <t>Czech Republic</t>
  </si>
  <si>
    <t xml:space="preserve">France </t>
  </si>
  <si>
    <t xml:space="preserve">Holland </t>
  </si>
  <si>
    <t>Lithuania</t>
  </si>
  <si>
    <t>Netherlands</t>
  </si>
  <si>
    <t>ROMANIA</t>
  </si>
  <si>
    <t>Country</t>
  </si>
  <si>
    <t>CountryWise Bifurcation</t>
  </si>
  <si>
    <t>Status Till Jul'26</t>
  </si>
  <si>
    <t>Description</t>
  </si>
  <si>
    <t>Granted Date</t>
  </si>
  <si>
    <t>Buying Comments</t>
  </si>
  <si>
    <t>Vagifem 10 micrograms vaginal tablets</t>
  </si>
  <si>
    <t>Cholestagel 625mg Tablets 180</t>
  </si>
  <si>
    <t>Bicalutamide 50mg Tablets 28</t>
  </si>
  <si>
    <t>L7128</t>
  </si>
  <si>
    <t>Lenzetto transdermal spray 1.53mg 1's</t>
  </si>
  <si>
    <t>XONVEA 10mg/10mg tablets 20</t>
  </si>
  <si>
    <t>Stalevo® 75 mg/18,75 mg/200 mg compresse rivestite con film</t>
  </si>
  <si>
    <t>TOSTRAN 2% Gel x 60g</t>
  </si>
  <si>
    <t>Elvanse Capsules 50mg 28s</t>
  </si>
  <si>
    <t>Vazkepa® 998 mg cápsulas blandas</t>
  </si>
  <si>
    <t>Seroquel XL 200 mg prolonged-release tablets</t>
  </si>
  <si>
    <t>Seroquel XL 300 mg prolonged-release tablets</t>
  </si>
  <si>
    <t>Xadago tablets f/c 100 mg 30s</t>
  </si>
  <si>
    <t>Neupro 1 mg/24 h transdermal patch</t>
  </si>
  <si>
    <t>Symbicort 200mcg/6mcg Pressurised inhaler 120 doses</t>
  </si>
  <si>
    <t>Ropinirole 2mg Filmcoated Tablets 84</t>
  </si>
  <si>
    <t>Tranylcypromine 10mg Film-coated Tablets</t>
  </si>
  <si>
    <t>L0239J</t>
  </si>
  <si>
    <t>Canesten 500mg Pessary</t>
  </si>
  <si>
    <t>M0108</t>
  </si>
  <si>
    <t>NovoRapid 100 units/ml solution for injection in vial</t>
  </si>
  <si>
    <t>2548B</t>
  </si>
  <si>
    <t>BuTrans 15 micrograms/hour transdermal patch</t>
  </si>
  <si>
    <t>5727A</t>
  </si>
  <si>
    <t>Resolor 2mg film-coated tablets</t>
  </si>
  <si>
    <t xml:space="preserve">BuTrans 5mcg/hr transdermal patch </t>
  </si>
  <si>
    <t xml:space="preserve">BuTrans 10mcg/hr transdermal patch </t>
  </si>
  <si>
    <t>Oestrogel Pump-Pack 750 micrograms/actuation Gel</t>
  </si>
  <si>
    <t xml:space="preserve">BuTrans 20mcg/hr transdermal patch </t>
  </si>
  <si>
    <t>L0599</t>
  </si>
  <si>
    <t>Nicorette Invisi 25mg Patch</t>
  </si>
  <si>
    <t>L7129</t>
  </si>
  <si>
    <t>Lyumjev 100 units/mL solution for injection in vial</t>
  </si>
  <si>
    <t>M0411</t>
  </si>
  <si>
    <t>EpiPen Jr. Auto-Injector 0.15mg</t>
  </si>
  <si>
    <t>Toujeo 300 units/ml SoloStar, solution for injection in a pre-filled pen</t>
  </si>
  <si>
    <t>M0311</t>
  </si>
  <si>
    <t>EpiPen®  Auto-Injector 0.3mg</t>
  </si>
  <si>
    <t>EpiPen® Jr. Auto-Injector 0.15mg</t>
  </si>
  <si>
    <t>REQUIP 5MG FILM-COATED TABLETS</t>
  </si>
  <si>
    <t>Calcichew-D3 1000mg/800IU Once Daily chewable tablets</t>
  </si>
  <si>
    <t>Code</t>
  </si>
  <si>
    <t>Stock</t>
  </si>
  <si>
    <t>Stock Value</t>
  </si>
  <si>
    <t>True Cost</t>
  </si>
  <si>
    <t>Sales Analysis - Removed Top 5 Profit (Regular Products)</t>
  </si>
  <si>
    <t>Sales Analysis (New Products)</t>
  </si>
  <si>
    <t>Sales Analysis (Regular Products)</t>
  </si>
  <si>
    <t>Purchase Analysis (Regular Products)</t>
  </si>
  <si>
    <t>Purchase Analysis - Removed Top 5 (Regular Products)</t>
  </si>
  <si>
    <t>Purchase Analysis (New Products)</t>
  </si>
  <si>
    <t>AVG Sales</t>
  </si>
  <si>
    <t>AVG Profit</t>
  </si>
  <si>
    <t>Total Sales</t>
  </si>
  <si>
    <t>Apr</t>
  </si>
  <si>
    <t>May</t>
  </si>
  <si>
    <t>Jun</t>
  </si>
  <si>
    <t>Jul</t>
  </si>
  <si>
    <t>Aug</t>
  </si>
  <si>
    <t>No Stock Received</t>
  </si>
  <si>
    <t>AVG</t>
  </si>
  <si>
    <t>Regular Lines</t>
  </si>
  <si>
    <t xml:space="preserve">Jan to Aug New Lines </t>
  </si>
  <si>
    <t>Sales</t>
  </si>
  <si>
    <t>%</t>
  </si>
  <si>
    <t>Jan</t>
  </si>
  <si>
    <t>Overall PI</t>
  </si>
  <si>
    <t>Buyer</t>
  </si>
  <si>
    <t>Total  Margin</t>
  </si>
  <si>
    <t>Purchase</t>
  </si>
  <si>
    <t xml:space="preserve"> Margin</t>
  </si>
  <si>
    <t>New</t>
  </si>
  <si>
    <t>Old</t>
  </si>
  <si>
    <t>No Of 
Days 
Stock</t>
  </si>
  <si>
    <t>PCA Achievement</t>
  </si>
  <si>
    <t>MTD %</t>
  </si>
  <si>
    <t>Daily %</t>
  </si>
  <si>
    <t>All Buyer Overall</t>
  </si>
  <si>
    <t>Jan Exp Profit</t>
  </si>
  <si>
    <t>Jan Exp Margin</t>
  </si>
  <si>
    <t>Feb Exp Purchases</t>
  </si>
  <si>
    <t>Feb Exp Profit</t>
  </si>
  <si>
    <t>Feb Exp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</si>
</sst>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;\-* #,##0_-;_-* &quot;-&quot;??_-;_-@_-"/>
    <numFmt numFmtId="165" formatCode="&quot;£&quot;#,##0"/>
    <numFmt numFmtId="166" formatCode="&quot;£&quot;#,##0.00"/>
    <numFmt numFmtId="167" formatCode="&quot;£&quot;#.##,,&quot; M&quot;"/>
    <numFmt numFmtId="168" formatCode="&quot;£&quot;#.##,&quot;K&quot;"/>
    <numFmt numFmtId="169" formatCode="#.##,&quot;K&quot;"/>
    <numFmt numFmtId="170" formatCode="#,&quot;K&quot;"/>
    <numFmt numFmtId="171" formatCode="&quot;£&quot;#,&quot;K&quot;"/>
    <numFmt numFmtId="172" formatCode="[&gt;=1000000]&quot;£&quot;0.0,,&quot;M&quot;;[&gt;=1000]&quot;£&quot;0,&quot;K&quot;;&quot;£&quot;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0"/>
      <color theme="0"/>
      <name val="Verdana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313">
    <xf numFmtId="0" fontId="0" fillId="0" borderId="0" xfId="0"/>
    <xf numFmtId="166" fontId="2" fillId="0" borderId="3" xfId="0" applyNumberFormat="1" applyFont="1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164" fontId="0" fillId="0" borderId="1" xfId="1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6" xfId="1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0" fillId="0" borderId="5" xfId="1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64" fontId="0" fillId="3" borderId="0" xfId="1" applyNumberFormat="1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 wrapText="1"/>
    </xf>
    <xf numFmtId="169" fontId="0" fillId="0" borderId="12" xfId="0" applyNumberFormat="1" applyBorder="1" applyAlignment="1">
      <alignment horizontal="center" wrapText="1"/>
    </xf>
    <xf numFmtId="169" fontId="0" fillId="0" borderId="14" xfId="0" applyNumberFormat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0" fillId="0" borderId="6" xfId="0" applyNumberFormat="1" applyBorder="1" applyAlignment="1">
      <alignment horizontal="center" wrapText="1"/>
    </xf>
    <xf numFmtId="1" fontId="2" fillId="0" borderId="7" xfId="0" applyNumberFormat="1" applyFont="1" applyBorder="1" applyAlignment="1">
      <alignment horizontal="center" wrapText="1"/>
    </xf>
    <xf numFmtId="1" fontId="0" fillId="0" borderId="8" xfId="0" applyNumberFormat="1" applyBorder="1" applyAlignment="1">
      <alignment horizontal="center" wrapText="1"/>
    </xf>
    <xf numFmtId="170" fontId="0" fillId="0" borderId="1" xfId="0" applyNumberFormat="1" applyBorder="1" applyAlignment="1">
      <alignment horizontal="center" wrapText="1"/>
    </xf>
    <xf numFmtId="10" fontId="0" fillId="0" borderId="0" xfId="0" applyNumberFormat="1" applyAlignment="1">
      <alignment horizontal="center" wrapText="1"/>
    </xf>
    <xf numFmtId="10" fontId="2" fillId="0" borderId="7" xfId="0" applyNumberFormat="1" applyFont="1" applyBorder="1" applyAlignment="1">
      <alignment horizontal="center" wrapText="1"/>
    </xf>
    <xf numFmtId="9" fontId="0" fillId="0" borderId="8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" xfId="0" applyNumberFormat="1" applyBorder="1" applyAlignment="1">
      <alignment horizontal="center" wrapText="1"/>
    </xf>
    <xf numFmtId="10" fontId="0" fillId="0" borderId="6" xfId="0" applyNumberFormat="1" applyBorder="1" applyAlignment="1">
      <alignment horizontal="center" wrapText="1"/>
    </xf>
    <xf numFmtId="168" fontId="0" fillId="0" borderId="1" xfId="0" applyNumberFormat="1" applyBorder="1" applyAlignment="1">
      <alignment horizontal="center" wrapText="1"/>
    </xf>
    <xf numFmtId="167" fontId="0" fillId="0" borderId="12" xfId="0" applyNumberForma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9" fontId="0" fillId="0" borderId="12" xfId="0" applyNumberFormat="1" applyBorder="1" applyAlignment="1">
      <alignment horizontal="center" vertical="center" wrapText="1"/>
    </xf>
    <xf numFmtId="169" fontId="0" fillId="0" borderId="13" xfId="0" applyNumberFormat="1" applyBorder="1" applyAlignment="1">
      <alignment horizontal="center" vertical="center" wrapText="1"/>
    </xf>
    <xf numFmtId="169" fontId="0" fillId="0" borderId="14" xfId="0" applyNumberForma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168" fontId="0" fillId="0" borderId="12" xfId="0" applyNumberFormat="1" applyBorder="1" applyAlignment="1">
      <alignment horizontal="center" vertical="center" wrapText="1"/>
    </xf>
    <xf numFmtId="168" fontId="0" fillId="0" borderId="13" xfId="0" applyNumberFormat="1" applyBorder="1" applyAlignment="1">
      <alignment horizontal="center" vertical="center" wrapText="1"/>
    </xf>
    <xf numFmtId="167" fontId="0" fillId="0" borderId="14" xfId="0" applyNumberFormat="1" applyBorder="1" applyAlignment="1">
      <alignment horizontal="center" vertical="center" wrapText="1"/>
    </xf>
    <xf numFmtId="164" fontId="0" fillId="0" borderId="14" xfId="2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 wrapText="1"/>
    </xf>
    <xf numFmtId="10" fontId="2" fillId="0" borderId="10" xfId="0" applyNumberFormat="1" applyFont="1" applyBorder="1" applyAlignment="1">
      <alignment horizontal="center" vertical="center" wrapText="1"/>
    </xf>
    <xf numFmtId="10" fontId="2" fillId="0" borderId="11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 wrapText="1"/>
    </xf>
    <xf numFmtId="164" fontId="0" fillId="0" borderId="5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43" fontId="0" fillId="0" borderId="6" xfId="1" applyFont="1" applyFill="1" applyBorder="1" applyAlignment="1">
      <alignment horizontal="center" vertical="center" wrapText="1"/>
    </xf>
    <xf numFmtId="164" fontId="0" fillId="3" borderId="8" xfId="1" applyNumberFormat="1" applyFont="1" applyFill="1" applyBorder="1" applyAlignment="1">
      <alignment horizontal="center" vertical="center" wrapText="1"/>
    </xf>
    <xf numFmtId="164" fontId="0" fillId="0" borderId="6" xfId="1" applyNumberFormat="1" applyFont="1" applyFill="1" applyBorder="1" applyAlignment="1">
      <alignment horizontal="center" vertical="center" wrapText="1"/>
    </xf>
    <xf numFmtId="164" fontId="0" fillId="3" borderId="0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9" fontId="0" fillId="0" borderId="5" xfId="1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6" fontId="0" fillId="0" borderId="5" xfId="1" applyNumberFormat="1" applyFont="1" applyFill="1" applyBorder="1" applyAlignment="1">
      <alignment horizontal="center" wrapText="1"/>
    </xf>
    <xf numFmtId="166" fontId="0" fillId="0" borderId="1" xfId="1" applyNumberFormat="1" applyFont="1" applyFill="1" applyBorder="1" applyAlignment="1">
      <alignment horizontal="center" wrapText="1"/>
    </xf>
    <xf numFmtId="166" fontId="0" fillId="0" borderId="6" xfId="1" applyNumberFormat="1" applyFont="1" applyFill="1" applyBorder="1" applyAlignment="1">
      <alignment horizontal="center" wrapText="1"/>
    </xf>
    <xf numFmtId="166" fontId="0" fillId="0" borderId="5" xfId="1" applyNumberFormat="1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166" fontId="0" fillId="0" borderId="6" xfId="1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0" fontId="2" fillId="4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10" fontId="2" fillId="5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10" fontId="0" fillId="6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0" fontId="2" fillId="2" borderId="1" xfId="0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10" fontId="2" fillId="4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6" borderId="5" xfId="0" applyFill="1" applyBorder="1" applyAlignment="1">
      <alignment horizontal="center"/>
    </xf>
    <xf numFmtId="10" fontId="0" fillId="6" borderId="6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1" fontId="0" fillId="8" borderId="23" xfId="0" applyNumberFormat="1" applyFill="1" applyBorder="1" applyAlignment="1">
      <alignment horizontal="center" vertical="center"/>
    </xf>
    <xf numFmtId="167" fontId="0" fillId="8" borderId="23" xfId="0" applyNumberFormat="1" applyFill="1" applyBorder="1" applyAlignment="1">
      <alignment horizontal="center" vertical="center"/>
    </xf>
    <xf numFmtId="9" fontId="0" fillId="0" borderId="6" xfId="3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9" fontId="0" fillId="0" borderId="4" xfId="3" applyFont="1" applyBorder="1" applyAlignment="1">
      <alignment horizontal="center" vertical="center"/>
    </xf>
    <xf numFmtId="9" fontId="0" fillId="0" borderId="4" xfId="3" applyFont="1" applyFill="1" applyBorder="1" applyAlignment="1">
      <alignment horizontal="center" vertical="center"/>
    </xf>
    <xf numFmtId="9" fontId="0" fillId="0" borderId="6" xfId="3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171" fontId="2" fillId="6" borderId="21" xfId="0" applyNumberFormat="1" applyFont="1" applyFill="1" applyBorder="1" applyAlignment="1">
      <alignment horizontal="center" vertical="center"/>
    </xf>
    <xf numFmtId="10" fontId="2" fillId="6" borderId="2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9" fontId="2" fillId="6" borderId="22" xfId="3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0" fontId="2" fillId="2" borderId="2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9" fontId="2" fillId="2" borderId="22" xfId="3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71" fontId="2" fillId="5" borderId="21" xfId="0" applyNumberFormat="1" applyFont="1" applyFill="1" applyBorder="1" applyAlignment="1">
      <alignment horizontal="center" vertical="center"/>
    </xf>
    <xf numFmtId="10" fontId="2" fillId="5" borderId="21" xfId="0" applyNumberFormat="1" applyFont="1" applyFill="1" applyBorder="1" applyAlignment="1">
      <alignment horizontal="center" vertical="center"/>
    </xf>
    <xf numFmtId="9" fontId="2" fillId="5" borderId="22" xfId="3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171" fontId="2" fillId="4" borderId="21" xfId="0" applyNumberFormat="1" applyFont="1" applyFill="1" applyBorder="1" applyAlignment="1">
      <alignment horizontal="center" vertical="center"/>
    </xf>
    <xf numFmtId="10" fontId="2" fillId="4" borderId="2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9" fontId="2" fillId="4" borderId="22" xfId="3" applyFont="1" applyFill="1" applyBorder="1" applyAlignment="1">
      <alignment horizontal="center" vertical="center"/>
    </xf>
    <xf numFmtId="10" fontId="6" fillId="11" borderId="3" xfId="0" applyNumberFormat="1" applyFont="1" applyFill="1" applyBorder="1" applyAlignment="1">
      <alignment horizontal="center" vertical="center"/>
    </xf>
    <xf numFmtId="168" fontId="6" fillId="11" borderId="3" xfId="0" applyNumberFormat="1" applyFont="1" applyFill="1" applyBorder="1" applyAlignment="1">
      <alignment horizontal="center" vertical="center"/>
    </xf>
    <xf numFmtId="9" fontId="6" fillId="11" borderId="4" xfId="3" applyFont="1" applyFill="1" applyBorder="1" applyAlignment="1">
      <alignment horizontal="center" vertical="center"/>
    </xf>
    <xf numFmtId="167" fontId="2" fillId="5" borderId="2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7" fontId="2" fillId="6" borderId="23" xfId="0" applyNumberFormat="1" applyFont="1" applyFill="1" applyBorder="1" applyAlignment="1">
      <alignment horizontal="center" vertical="center"/>
    </xf>
    <xf numFmtId="167" fontId="2" fillId="4" borderId="23" xfId="0" applyNumberFormat="1" applyFont="1" applyFill="1" applyBorder="1" applyAlignment="1">
      <alignment horizontal="center" vertical="center"/>
    </xf>
    <xf numFmtId="171" fontId="0" fillId="8" borderId="0" xfId="0" applyNumberFormat="1" applyFill="1" applyAlignment="1">
      <alignment horizontal="center" vertical="center"/>
    </xf>
    <xf numFmtId="167" fontId="2" fillId="2" borderId="23" xfId="0" applyNumberFormat="1" applyFont="1" applyFill="1" applyBorder="1" applyAlignment="1">
      <alignment horizontal="center" vertical="center"/>
    </xf>
    <xf numFmtId="10" fontId="2" fillId="2" borderId="23" xfId="0" applyNumberFormat="1" applyFont="1" applyFill="1" applyBorder="1" applyAlignment="1">
      <alignment horizontal="center" vertical="center"/>
    </xf>
    <xf numFmtId="10" fontId="2" fillId="6" borderId="23" xfId="0" applyNumberFormat="1" applyFont="1" applyFill="1" applyBorder="1" applyAlignment="1">
      <alignment horizontal="center" vertical="center"/>
    </xf>
    <xf numFmtId="10" fontId="2" fillId="4" borderId="23" xfId="0" applyNumberFormat="1" applyFont="1" applyFill="1" applyBorder="1" applyAlignment="1">
      <alignment horizontal="center" vertical="center"/>
    </xf>
    <xf numFmtId="9" fontId="0" fillId="8" borderId="6" xfId="3" applyFont="1" applyFill="1" applyBorder="1" applyAlignment="1">
      <alignment horizontal="center" vertical="center"/>
    </xf>
    <xf numFmtId="165" fontId="11" fillId="1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0" fontId="11" fillId="15" borderId="1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2" fillId="0" borderId="0" xfId="0" applyFont="1"/>
    <xf numFmtId="0" fontId="0" fillId="16" borderId="5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/>
    </xf>
    <xf numFmtId="10" fontId="0" fillId="16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2" fontId="0" fillId="0" borderId="1" xfId="0" applyNumberFormat="1" applyBorder="1" applyAlignment="1">
      <alignment horizontal="center"/>
    </xf>
    <xf numFmtId="10" fontId="1" fillId="0" borderId="1" xfId="3" applyNumberFormat="1" applyFont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172" fontId="0" fillId="0" borderId="1" xfId="0" applyNumberForma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172" fontId="2" fillId="20" borderId="1" xfId="0" applyNumberFormat="1" applyFont="1" applyFill="1" applyBorder="1" applyAlignment="1">
      <alignment horizontal="center" vertical="center"/>
    </xf>
    <xf numFmtId="10" fontId="2" fillId="20" borderId="1" xfId="0" applyNumberFormat="1" applyFont="1" applyFill="1" applyBorder="1" applyAlignment="1">
      <alignment horizontal="center" vertical="center"/>
    </xf>
    <xf numFmtId="2" fontId="11" fillId="15" borderId="1" xfId="0" applyNumberFormat="1" applyFont="1" applyFill="1" applyBorder="1" applyAlignment="1">
      <alignment horizontal="center" vertical="center" wrapText="1"/>
    </xf>
    <xf numFmtId="9" fontId="0" fillId="0" borderId="1" xfId="3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6" fillId="0" borderId="0" xfId="0" applyFont="1"/>
    <xf numFmtId="14" fontId="16" fillId="0" borderId="23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5" fillId="20" borderId="1" xfId="0" applyFont="1" applyFill="1" applyBorder="1" applyAlignment="1">
      <alignment horizontal="center" vertical="center"/>
    </xf>
    <xf numFmtId="0" fontId="14" fillId="17" borderId="29" xfId="0" applyFont="1" applyFill="1" applyBorder="1" applyAlignment="1">
      <alignment horizontal="center" vertical="center"/>
    </xf>
    <xf numFmtId="0" fontId="14" fillId="17" borderId="30" xfId="0" applyFont="1" applyFill="1" applyBorder="1" applyAlignment="1">
      <alignment horizontal="center" vertical="center"/>
    </xf>
    <xf numFmtId="0" fontId="14" fillId="17" borderId="31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top"/>
    </xf>
    <xf numFmtId="0" fontId="8" fillId="9" borderId="3" xfId="0" applyFont="1" applyFill="1" applyBorder="1" applyAlignment="1">
      <alignment horizontal="center" vertical="top"/>
    </xf>
    <xf numFmtId="0" fontId="8" fillId="9" borderId="4" xfId="0" applyFont="1" applyFill="1" applyBorder="1" applyAlignment="1">
      <alignment horizontal="center" vertical="top"/>
    </xf>
    <xf numFmtId="0" fontId="8" fillId="10" borderId="2" xfId="0" applyFont="1" applyFill="1" applyBorder="1" applyAlignment="1">
      <alignment horizontal="center" vertical="top"/>
    </xf>
    <xf numFmtId="0" fontId="8" fillId="10" borderId="3" xfId="0" applyFont="1" applyFill="1" applyBorder="1" applyAlignment="1">
      <alignment horizontal="center" vertical="top"/>
    </xf>
    <xf numFmtId="0" fontId="8" fillId="10" borderId="3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</cellXfs>
  <cellStyles count="5">
    <cellStyle name="Comma" xfId="2" builtinId="3"/>
    <cellStyle name="Comma 2" xfId="1" xr:uid="{00000000-0005-0000-0000-000001000000}"/>
    <cellStyle name="Normal" xfId="0" builtinId="0"/>
    <cellStyle name="Normal 5" xfId="4" xr:uid="{00000000-0005-0000-0000-000003000000}"/>
    <cellStyle name="Percent" xfId="3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U27"/>
  <sheetViews>
    <sheetView showGridLines="0" tabSelected="1" zoomScale="84" zoomScaleNormal="84" workbookViewId="0">
      <selection activeCell="B14" sqref="B14"/>
    </sheetView>
  </sheetViews>
  <sheetFormatPr defaultRowHeight="15" x14ac:dyDescent="0.25"/>
  <cols>
    <col min="1" max="1" width="11.28515625" bestFit="1" customWidth="1"/>
    <col min="2" max="2" width="9" bestFit="1" customWidth="1"/>
    <col min="3" max="3" width="7.42578125" bestFit="1" customWidth="1"/>
    <col min="4" max="4" width="7.7109375" bestFit="1" customWidth="1"/>
    <col min="5" max="5" width="9" bestFit="1" customWidth="1"/>
    <col min="6" max="6" width="6.140625" bestFit="1" customWidth="1"/>
    <col min="7" max="7" width="7.7109375" bestFit="1" customWidth="1"/>
    <col min="8" max="8" width="14" bestFit="1" customWidth="1"/>
    <col min="9" max="9" width="10.85546875" bestFit="1" customWidth="1"/>
    <col min="10" max="10" width="12.5703125" bestFit="1" customWidth="1"/>
    <col min="12" max="12" width="11.28515625" bestFit="1" customWidth="1"/>
    <col min="13" max="13" width="9" bestFit="1" customWidth="1"/>
    <col min="14" max="14" width="6.42578125" bestFit="1" customWidth="1"/>
    <col min="15" max="15" width="7.7109375" customWidth="1"/>
    <col min="16" max="16" width="9" bestFit="1" customWidth="1"/>
    <col min="17" max="17" width="6" bestFit="1" customWidth="1"/>
    <col min="18" max="18" width="7.7109375" customWidth="1"/>
    <col min="19" max="19" width="14" bestFit="1" customWidth="1"/>
    <col min="20" max="20" width="10.85546875" bestFit="1" customWidth="1"/>
    <col min="21" max="21" width="12.5703125" bestFit="1" customWidth="1"/>
  </cols>
  <sheetData>
    <row r="5" spans="1:21" x14ac:dyDescent="0.25">
      <c r="A5" s="268" t="s">
        <v>1136</v>
      </c>
      <c r="B5" s="265" t="s">
        <v>1259</v>
      </c>
      <c r="C5" s="266"/>
      <c r="D5" s="267"/>
      <c r="E5" s="265" t="s">
        <v>1258</v>
      </c>
      <c r="F5" s="266"/>
      <c r="G5" s="267"/>
      <c r="H5" s="252" t="s">
        <v>1132</v>
      </c>
      <c r="I5" s="252" t="s">
        <v>1133</v>
      </c>
      <c r="J5" s="252" t="s">
        <v>1255</v>
      </c>
      <c r="L5" s="268" t="s">
        <v>1143</v>
      </c>
      <c r="M5" s="265" t="s">
        <v>1259</v>
      </c>
      <c r="N5" s="266"/>
      <c r="O5" s="267"/>
      <c r="P5" s="265" t="s">
        <v>1258</v>
      </c>
      <c r="Q5" s="266"/>
      <c r="R5" s="267"/>
      <c r="S5" s="252" t="s">
        <v>1132</v>
      </c>
      <c r="T5" s="252" t="s">
        <v>1133</v>
      </c>
      <c r="U5" s="252" t="s">
        <v>1255</v>
      </c>
    </row>
    <row r="6" spans="1:21" x14ac:dyDescent="0.25">
      <c r="A6" s="268"/>
      <c r="B6" s="253" t="s">
        <v>1256</v>
      </c>
      <c r="C6" s="253" t="s">
        <v>776</v>
      </c>
      <c r="D6" s="253" t="s">
        <v>1257</v>
      </c>
      <c r="E6" s="253" t="s">
        <v>1256</v>
      </c>
      <c r="F6" s="253" t="s">
        <v>776</v>
      </c>
      <c r="G6" s="253" t="s">
        <v>1257</v>
      </c>
      <c r="H6" s="254"/>
      <c r="I6" s="254"/>
      <c r="J6" s="254"/>
      <c r="L6" s="268"/>
      <c r="M6" s="253" t="s">
        <v>1256</v>
      </c>
      <c r="N6" s="253" t="s">
        <v>776</v>
      </c>
      <c r="O6" s="253" t="s">
        <v>1257</v>
      </c>
      <c r="P6" s="253" t="s">
        <v>1256</v>
      </c>
      <c r="Q6" s="253" t="s">
        <v>776</v>
      </c>
      <c r="R6" s="253" t="s">
        <v>1257</v>
      </c>
      <c r="S6" s="254"/>
      <c r="T6" s="254"/>
      <c r="U6" s="254"/>
    </row>
    <row r="7" spans="1:21" x14ac:dyDescent="0.25">
      <c r="A7" s="102" t="s">
        <v>1252</v>
      </c>
      <c r="B7" s="251">
        <v>2201358.0499999998</v>
      </c>
      <c r="C7" s="251">
        <v>1316676.4700000007</v>
      </c>
      <c r="D7" s="165">
        <v>0.59812008773402436</v>
      </c>
      <c r="E7" s="251">
        <v>16373.57</v>
      </c>
      <c r="F7" s="251">
        <v>474.969999999999</v>
      </c>
      <c r="G7" s="165">
        <v>2.9008334773662617E-2</v>
      </c>
      <c r="H7" s="251">
        <v>2217731.6199999996</v>
      </c>
      <c r="I7" s="251">
        <v>1317151.4400000006</v>
      </c>
      <c r="J7" s="165">
        <v>0.59391832091928276</v>
      </c>
      <c r="L7" s="102" t="s">
        <v>1252</v>
      </c>
      <c r="M7" s="251">
        <v>967037.2699999999</v>
      </c>
      <c r="N7" s="251">
        <v>102472.30999999998</v>
      </c>
      <c r="O7" s="165">
        <v>0.10596521269547346</v>
      </c>
      <c r="P7" s="251">
        <v>0</v>
      </c>
      <c r="Q7" s="251">
        <v>0</v>
      </c>
      <c r="R7" s="165">
        <v>0</v>
      </c>
      <c r="S7" s="251">
        <v>967037.2699999999</v>
      </c>
      <c r="T7" s="251">
        <v>102472.30999999998</v>
      </c>
      <c r="U7" s="165">
        <v>0.10596521269547346</v>
      </c>
    </row>
    <row r="8" spans="1:21" x14ac:dyDescent="0.25">
      <c r="A8" s="102" t="s">
        <v>769</v>
      </c>
      <c r="B8" s="251">
        <v>2778078.7200000016</v>
      </c>
      <c r="C8" s="251">
        <v>1473980.829999997</v>
      </c>
      <c r="D8" s="165">
        <v>0.53057561666214992</v>
      </c>
      <c r="E8" s="251">
        <v>12781.880000000001</v>
      </c>
      <c r="F8" s="251">
        <v>657.08000000000015</v>
      </c>
      <c r="G8" s="165">
        <v>5.1407148244233251E-2</v>
      </c>
      <c r="H8" s="251">
        <v>2790860.6000000015</v>
      </c>
      <c r="I8" s="251">
        <v>1474637.9099999971</v>
      </c>
      <c r="J8" s="165">
        <v>0.5283810699824979</v>
      </c>
      <c r="L8" s="102" t="s">
        <v>769</v>
      </c>
      <c r="M8" s="251">
        <v>1099339.79</v>
      </c>
      <c r="N8" s="251">
        <v>185089.99999999997</v>
      </c>
      <c r="O8" s="165">
        <v>0.16836468731837675</v>
      </c>
      <c r="P8" s="251">
        <v>0</v>
      </c>
      <c r="Q8" s="251">
        <v>0</v>
      </c>
      <c r="R8" s="165">
        <v>0</v>
      </c>
      <c r="S8" s="251">
        <v>1099339.79</v>
      </c>
      <c r="T8" s="251">
        <v>185089.99999999997</v>
      </c>
      <c r="U8" s="165">
        <v>0.16836468731837675</v>
      </c>
    </row>
    <row r="9" spans="1:21" x14ac:dyDescent="0.25">
      <c r="A9" s="102" t="s">
        <v>770</v>
      </c>
      <c r="B9" s="251">
        <v>2636116.2200000016</v>
      </c>
      <c r="C9" s="251">
        <v>1532995.2700000003</v>
      </c>
      <c r="D9" s="165">
        <v>0.58153554018949871</v>
      </c>
      <c r="E9" s="251">
        <v>30777.89</v>
      </c>
      <c r="F9" s="251">
        <v>4284.87</v>
      </c>
      <c r="G9" s="165">
        <v>0.13921909526611473</v>
      </c>
      <c r="H9" s="251">
        <v>2666894.1100000017</v>
      </c>
      <c r="I9" s="251">
        <v>1537280.1400000004</v>
      </c>
      <c r="J9" s="165">
        <v>0.57643088798902464</v>
      </c>
      <c r="L9" s="102" t="s">
        <v>770</v>
      </c>
      <c r="M9" s="251">
        <v>952578.00999999989</v>
      </c>
      <c r="N9" s="251">
        <v>98425.613333333255</v>
      </c>
      <c r="O9" s="165">
        <v>0.10332551486605623</v>
      </c>
      <c r="P9" s="251">
        <v>0</v>
      </c>
      <c r="Q9" s="251">
        <v>0</v>
      </c>
      <c r="R9" s="165">
        <v>0</v>
      </c>
      <c r="S9" s="251">
        <v>952578.00999999989</v>
      </c>
      <c r="T9" s="251">
        <v>98425.613333333255</v>
      </c>
      <c r="U9" s="165">
        <v>0.10332551486605623</v>
      </c>
    </row>
    <row r="10" spans="1:21" x14ac:dyDescent="0.25">
      <c r="A10" s="102" t="s">
        <v>1241</v>
      </c>
      <c r="B10" s="251">
        <v>2112416.3699999987</v>
      </c>
      <c r="C10" s="251">
        <v>1645020.2299999988</v>
      </c>
      <c r="D10" s="165">
        <v>0.77873863001733878</v>
      </c>
      <c r="E10" s="251">
        <v>38613.39</v>
      </c>
      <c r="F10" s="251">
        <v>16665.54</v>
      </c>
      <c r="G10" s="165">
        <v>0.43160002268643083</v>
      </c>
      <c r="H10" s="251">
        <v>2151029.7599999988</v>
      </c>
      <c r="I10" s="251">
        <v>1661685.7699999989</v>
      </c>
      <c r="J10" s="165">
        <v>0.77250710376038667</v>
      </c>
      <c r="L10" s="102" t="s">
        <v>1241</v>
      </c>
      <c r="M10" s="251">
        <v>1216554.2199999993</v>
      </c>
      <c r="N10" s="251">
        <v>131446.89000000001</v>
      </c>
      <c r="O10" s="165">
        <v>0.10804852577799623</v>
      </c>
      <c r="P10" s="251">
        <v>0</v>
      </c>
      <c r="Q10" s="251">
        <v>0</v>
      </c>
      <c r="R10" s="165">
        <v>0</v>
      </c>
      <c r="S10" s="251">
        <v>1216554.2199999993</v>
      </c>
      <c r="T10" s="251">
        <v>131446.89000000001</v>
      </c>
      <c r="U10" s="165">
        <v>0.10804852577799623</v>
      </c>
    </row>
    <row r="11" spans="1:21" x14ac:dyDescent="0.25">
      <c r="A11" s="102" t="s">
        <v>1242</v>
      </c>
      <c r="B11" s="251">
        <v>2695700.1199999996</v>
      </c>
      <c r="C11" s="251">
        <v>1605401.8000000005</v>
      </c>
      <c r="D11" s="165">
        <v>0.59554168807174324</v>
      </c>
      <c r="E11" s="251">
        <v>163481.95000000001</v>
      </c>
      <c r="F11" s="251">
        <v>31032.180000000004</v>
      </c>
      <c r="G11" s="165">
        <v>0.18982022174313434</v>
      </c>
      <c r="H11" s="251">
        <v>2859182.07</v>
      </c>
      <c r="I11" s="251">
        <v>1636433.9800000004</v>
      </c>
      <c r="J11" s="165">
        <v>0.57234339749479479</v>
      </c>
      <c r="L11" s="102" t="s">
        <v>1242</v>
      </c>
      <c r="M11" s="251">
        <v>886917.1800000004</v>
      </c>
      <c r="N11" s="251">
        <v>96862.180000000022</v>
      </c>
      <c r="O11" s="165">
        <v>0.10921220400759402</v>
      </c>
      <c r="P11" s="251">
        <v>45372</v>
      </c>
      <c r="Q11" s="251">
        <v>0</v>
      </c>
      <c r="R11" s="165">
        <v>0</v>
      </c>
      <c r="S11" s="251">
        <v>932289.1800000004</v>
      </c>
      <c r="T11" s="251">
        <v>96862.180000000022</v>
      </c>
      <c r="U11" s="165">
        <v>0.10389714058464133</v>
      </c>
    </row>
    <row r="12" spans="1:21" x14ac:dyDescent="0.25">
      <c r="A12" s="102" t="s">
        <v>1243</v>
      </c>
      <c r="B12" s="251">
        <v>2428765.8199999989</v>
      </c>
      <c r="C12" s="251">
        <v>1129707.33</v>
      </c>
      <c r="D12" s="165">
        <v>0.46513637531345059</v>
      </c>
      <c r="E12" s="251">
        <v>120395.28999999996</v>
      </c>
      <c r="F12" s="251">
        <v>48524.650000000009</v>
      </c>
      <c r="G12" s="165">
        <v>0.40304442142213392</v>
      </c>
      <c r="H12" s="251">
        <v>2549161.1099999989</v>
      </c>
      <c r="I12" s="251">
        <v>1178231.98</v>
      </c>
      <c r="J12" s="165">
        <v>0.46220381104119412</v>
      </c>
      <c r="L12" s="102" t="s">
        <v>1243</v>
      </c>
      <c r="M12" s="251">
        <v>1180769.1400000001</v>
      </c>
      <c r="N12" s="251">
        <v>132576.28999999998</v>
      </c>
      <c r="O12" s="165">
        <v>0.11227960276807367</v>
      </c>
      <c r="P12" s="251">
        <v>0</v>
      </c>
      <c r="Q12" s="251">
        <v>0</v>
      </c>
      <c r="R12" s="165">
        <v>0</v>
      </c>
      <c r="S12" s="251">
        <v>1180769.1400000001</v>
      </c>
      <c r="T12" s="251">
        <v>132576.28999999998</v>
      </c>
      <c r="U12" s="165">
        <v>0.11227960276807367</v>
      </c>
    </row>
    <row r="13" spans="1:21" x14ac:dyDescent="0.25">
      <c r="A13" s="102" t="s">
        <v>1244</v>
      </c>
      <c r="B13" s="251">
        <v>2374301.9999999977</v>
      </c>
      <c r="C13" s="251">
        <v>1350771.2699999989</v>
      </c>
      <c r="D13" s="165">
        <v>0.56891299843069676</v>
      </c>
      <c r="E13" s="251">
        <v>502980.06000000006</v>
      </c>
      <c r="F13" s="251">
        <v>411442.99000000005</v>
      </c>
      <c r="G13" s="165">
        <v>0.81801053902613952</v>
      </c>
      <c r="H13" s="251">
        <v>2877282.0599999977</v>
      </c>
      <c r="I13" s="251">
        <v>1762214.2599999988</v>
      </c>
      <c r="J13" s="165">
        <v>0.61245794581571111</v>
      </c>
      <c r="L13" s="102" t="s">
        <v>1244</v>
      </c>
      <c r="M13" s="251">
        <v>1083818.2199999995</v>
      </c>
      <c r="N13" s="251">
        <v>112471.53999999998</v>
      </c>
      <c r="O13" s="165">
        <v>0.10377343536446548</v>
      </c>
      <c r="P13" s="251">
        <v>55775.12</v>
      </c>
      <c r="Q13" s="251">
        <v>6246.96</v>
      </c>
      <c r="R13" s="165">
        <v>0.1120026276949292</v>
      </c>
      <c r="S13" s="251">
        <v>1139593.3399999996</v>
      </c>
      <c r="T13" s="251">
        <v>118718.49999999999</v>
      </c>
      <c r="U13" s="165">
        <v>0.10417619674751702</v>
      </c>
    </row>
    <row r="14" spans="1:21" x14ac:dyDescent="0.25">
      <c r="A14" s="102" t="s">
        <v>1245</v>
      </c>
      <c r="B14" s="251">
        <v>1960116.2899999982</v>
      </c>
      <c r="C14" s="251">
        <v>1055441.8499999992</v>
      </c>
      <c r="D14" s="165">
        <v>0.53845879215666337</v>
      </c>
      <c r="E14" s="251">
        <v>462199.98000000004</v>
      </c>
      <c r="F14" s="251">
        <v>405804.98999999993</v>
      </c>
      <c r="G14" s="165">
        <v>0.8779857368232683</v>
      </c>
      <c r="H14" s="251">
        <v>2422316.2699999982</v>
      </c>
      <c r="I14" s="251">
        <v>1461246.8399999992</v>
      </c>
      <c r="J14" s="165">
        <v>0.60324362185785174</v>
      </c>
      <c r="L14" s="102" t="s">
        <v>1245</v>
      </c>
      <c r="M14" s="251">
        <v>420238.97000000003</v>
      </c>
      <c r="N14" s="251">
        <v>34938.30000000001</v>
      </c>
      <c r="O14" s="165">
        <v>8.313912438915412E-2</v>
      </c>
      <c r="P14" s="251">
        <v>986.01</v>
      </c>
      <c r="Q14" s="251">
        <v>0</v>
      </c>
      <c r="R14" s="165">
        <v>0</v>
      </c>
      <c r="S14" s="251">
        <v>421224.98000000004</v>
      </c>
      <c r="T14" s="251">
        <v>34938.30000000001</v>
      </c>
      <c r="U14" s="165">
        <v>8.2944511030661111E-2</v>
      </c>
    </row>
    <row r="15" spans="1:21" x14ac:dyDescent="0.25">
      <c r="A15" s="255" t="s">
        <v>1171</v>
      </c>
      <c r="B15" s="256">
        <v>19186853.589999996</v>
      </c>
      <c r="C15" s="256">
        <v>11109995.049999997</v>
      </c>
      <c r="D15" s="257">
        <v>0.579042050739907</v>
      </c>
      <c r="E15" s="256">
        <v>1347604.01</v>
      </c>
      <c r="F15" s="256">
        <v>918887.27</v>
      </c>
      <c r="G15" s="257">
        <v>0.68186742038560744</v>
      </c>
      <c r="H15" s="256">
        <v>20534457.599999998</v>
      </c>
      <c r="I15" s="256">
        <v>12028882.319999997</v>
      </c>
      <c r="J15" s="257">
        <v>0.58579011699826922</v>
      </c>
      <c r="L15" s="255" t="s">
        <v>1171</v>
      </c>
      <c r="M15" s="256">
        <v>7807252.7999999989</v>
      </c>
      <c r="N15" s="256">
        <v>894283.12333333329</v>
      </c>
      <c r="O15" s="257">
        <v>0.11454517308999294</v>
      </c>
      <c r="P15" s="256">
        <v>102133.12999999999</v>
      </c>
      <c r="Q15" s="256">
        <v>6246.96</v>
      </c>
      <c r="R15" s="257">
        <v>6.1164873729024072E-2</v>
      </c>
      <c r="S15" s="256">
        <v>7909385.9299999997</v>
      </c>
      <c r="T15" s="256">
        <v>900530.08333333326</v>
      </c>
      <c r="U15" s="257">
        <v>0.11385587848453026</v>
      </c>
    </row>
    <row r="17" spans="1:21" x14ac:dyDescent="0.25">
      <c r="A17" s="268" t="s">
        <v>1138</v>
      </c>
      <c r="B17" s="265" t="s">
        <v>1259</v>
      </c>
      <c r="C17" s="266"/>
      <c r="D17" s="267"/>
      <c r="E17" s="265" t="s">
        <v>1258</v>
      </c>
      <c r="F17" s="266"/>
      <c r="G17" s="267"/>
      <c r="H17" s="252" t="s">
        <v>1132</v>
      </c>
      <c r="I17" s="252" t="s">
        <v>1133</v>
      </c>
      <c r="J17" s="252" t="s">
        <v>1255</v>
      </c>
      <c r="L17" s="268" t="s">
        <v>1145</v>
      </c>
      <c r="M17" s="265" t="s">
        <v>1259</v>
      </c>
      <c r="N17" s="266"/>
      <c r="O17" s="267"/>
      <c r="P17" s="265" t="s">
        <v>1258</v>
      </c>
      <c r="Q17" s="266"/>
      <c r="R17" s="267"/>
      <c r="S17" s="252" t="s">
        <v>1132</v>
      </c>
      <c r="T17" s="252" t="s">
        <v>1133</v>
      </c>
      <c r="U17" s="252" t="s">
        <v>1255</v>
      </c>
    </row>
    <row r="18" spans="1:21" x14ac:dyDescent="0.25">
      <c r="A18" s="268"/>
      <c r="B18" s="253" t="s">
        <v>1256</v>
      </c>
      <c r="C18" s="253" t="s">
        <v>776</v>
      </c>
      <c r="D18" s="253" t="s">
        <v>1257</v>
      </c>
      <c r="E18" s="253" t="s">
        <v>1256</v>
      </c>
      <c r="F18" s="253" t="s">
        <v>776</v>
      </c>
      <c r="G18" s="253" t="s">
        <v>1257</v>
      </c>
      <c r="H18" s="254"/>
      <c r="I18" s="254"/>
      <c r="J18" s="254"/>
      <c r="L18" s="268"/>
      <c r="M18" s="253" t="s">
        <v>1256</v>
      </c>
      <c r="N18" s="253" t="s">
        <v>776</v>
      </c>
      <c r="O18" s="253" t="s">
        <v>1257</v>
      </c>
      <c r="P18" s="253" t="s">
        <v>1256</v>
      </c>
      <c r="Q18" s="253" t="s">
        <v>776</v>
      </c>
      <c r="R18" s="253" t="s">
        <v>1257</v>
      </c>
      <c r="S18" s="254"/>
      <c r="T18" s="254"/>
      <c r="U18" s="254"/>
    </row>
    <row r="19" spans="1:21" x14ac:dyDescent="0.25">
      <c r="A19" s="102" t="s">
        <v>1252</v>
      </c>
      <c r="B19" s="251">
        <v>2792765.3199999989</v>
      </c>
      <c r="C19" s="251">
        <v>382110.28650793614</v>
      </c>
      <c r="D19" s="165">
        <v>0.13682148076370995</v>
      </c>
      <c r="E19" s="251">
        <v>0</v>
      </c>
      <c r="F19" s="251">
        <v>0</v>
      </c>
      <c r="G19" s="165">
        <v>0</v>
      </c>
      <c r="H19" s="251">
        <v>2792765.3199999989</v>
      </c>
      <c r="I19" s="251">
        <v>382110.28650793614</v>
      </c>
      <c r="J19" s="165">
        <v>0.13682148076370995</v>
      </c>
      <c r="L19" s="102" t="s">
        <v>1252</v>
      </c>
      <c r="M19" s="251">
        <v>829570.02</v>
      </c>
      <c r="N19" s="251">
        <v>131800.38</v>
      </c>
      <c r="O19" s="165">
        <v>0.1588779449864883</v>
      </c>
      <c r="P19" s="251">
        <v>9801.4599999999991</v>
      </c>
      <c r="Q19" s="251">
        <v>218.15000000000049</v>
      </c>
      <c r="R19" s="165">
        <v>2.2256888259504247E-2</v>
      </c>
      <c r="S19" s="251">
        <v>839371.48</v>
      </c>
      <c r="T19" s="251">
        <v>132018.53</v>
      </c>
      <c r="U19" s="165">
        <v>0.15728260150082771</v>
      </c>
    </row>
    <row r="20" spans="1:21" x14ac:dyDescent="0.25">
      <c r="A20" s="102" t="s">
        <v>769</v>
      </c>
      <c r="B20" s="251">
        <v>2852746.7899999991</v>
      </c>
      <c r="C20" s="251">
        <v>1847570.1477523802</v>
      </c>
      <c r="D20" s="165">
        <v>0.64764603512265484</v>
      </c>
      <c r="E20" s="251">
        <v>0</v>
      </c>
      <c r="F20" s="251">
        <v>0</v>
      </c>
      <c r="G20" s="165">
        <v>0</v>
      </c>
      <c r="H20" s="251">
        <v>2852746.7899999991</v>
      </c>
      <c r="I20" s="251">
        <v>1847570.1477523802</v>
      </c>
      <c r="J20" s="165">
        <v>0.64764603512265484</v>
      </c>
      <c r="L20" s="102" t="s">
        <v>769</v>
      </c>
      <c r="M20" s="251">
        <v>1566070.0499999996</v>
      </c>
      <c r="N20" s="251">
        <v>219347.40000000005</v>
      </c>
      <c r="O20" s="165">
        <v>0.14006231713581402</v>
      </c>
      <c r="P20" s="251">
        <v>8877.4</v>
      </c>
      <c r="Q20" s="251">
        <v>211.40000000000009</v>
      </c>
      <c r="R20" s="165">
        <v>2.3813278662671515E-2</v>
      </c>
      <c r="S20" s="251">
        <v>1574947.4499999995</v>
      </c>
      <c r="T20" s="251">
        <v>219558.80000000005</v>
      </c>
      <c r="U20" s="165">
        <v>0.13940706402616806</v>
      </c>
    </row>
    <row r="21" spans="1:21" x14ac:dyDescent="0.25">
      <c r="A21" s="102" t="s">
        <v>770</v>
      </c>
      <c r="B21" s="251">
        <v>1893395.3499999985</v>
      </c>
      <c r="C21" s="251">
        <v>737755.31333333359</v>
      </c>
      <c r="D21" s="165">
        <v>0.38964673349035855</v>
      </c>
      <c r="E21" s="251">
        <v>0</v>
      </c>
      <c r="F21" s="251">
        <v>0</v>
      </c>
      <c r="G21" s="165">
        <v>0</v>
      </c>
      <c r="H21" s="251">
        <v>1893395.3499999985</v>
      </c>
      <c r="I21" s="251">
        <v>737755.31333333359</v>
      </c>
      <c r="J21" s="165">
        <v>0.38964673349035855</v>
      </c>
      <c r="L21" s="102" t="s">
        <v>770</v>
      </c>
      <c r="M21" s="251">
        <v>1271757.6999999997</v>
      </c>
      <c r="N21" s="251">
        <v>186549.38999999993</v>
      </c>
      <c r="O21" s="165">
        <v>0.14668626736051998</v>
      </c>
      <c r="P21" s="251">
        <v>13170</v>
      </c>
      <c r="Q21" s="251">
        <v>340.39999999999986</v>
      </c>
      <c r="R21" s="165">
        <v>2.5846621108580096E-2</v>
      </c>
      <c r="S21" s="251">
        <v>1284927.6999999997</v>
      </c>
      <c r="T21" s="251">
        <v>186889.78999999992</v>
      </c>
      <c r="U21" s="165">
        <v>0.14544770884774291</v>
      </c>
    </row>
    <row r="22" spans="1:21" x14ac:dyDescent="0.25">
      <c r="A22" s="102" t="s">
        <v>1241</v>
      </c>
      <c r="B22" s="251">
        <v>2282257.3899999987</v>
      </c>
      <c r="C22" s="251">
        <v>650898.66729999986</v>
      </c>
      <c r="D22" s="165">
        <v>0.28519950035083474</v>
      </c>
      <c r="E22" s="251">
        <v>1295.52</v>
      </c>
      <c r="F22" s="251">
        <v>0</v>
      </c>
      <c r="G22" s="165">
        <v>0</v>
      </c>
      <c r="H22" s="251">
        <v>2283552.9099999988</v>
      </c>
      <c r="I22" s="251">
        <v>650898.66729999986</v>
      </c>
      <c r="J22" s="165">
        <v>0.2850376991264898</v>
      </c>
      <c r="L22" s="102" t="s">
        <v>1241</v>
      </c>
      <c r="M22" s="251">
        <v>1478195.6599999995</v>
      </c>
      <c r="N22" s="251">
        <v>275856.72000000015</v>
      </c>
      <c r="O22" s="165">
        <v>0.18661718977039904</v>
      </c>
      <c r="P22" s="251">
        <v>9643.2000000000007</v>
      </c>
      <c r="Q22" s="251">
        <v>1687.2000000000003</v>
      </c>
      <c r="R22" s="165">
        <v>0.1749626679940269</v>
      </c>
      <c r="S22" s="251">
        <v>1487838.8599999994</v>
      </c>
      <c r="T22" s="251">
        <v>277543.92000000016</v>
      </c>
      <c r="U22" s="165">
        <v>0.18654165277011264</v>
      </c>
    </row>
    <row r="23" spans="1:21" x14ac:dyDescent="0.25">
      <c r="A23" s="102" t="s">
        <v>1242</v>
      </c>
      <c r="B23" s="251">
        <v>2678409.0700000008</v>
      </c>
      <c r="C23" s="251">
        <v>674867.03957777785</v>
      </c>
      <c r="D23" s="165">
        <v>0.25196563405371741</v>
      </c>
      <c r="E23" s="251">
        <v>2932.52</v>
      </c>
      <c r="F23" s="251">
        <v>74.400000000000034</v>
      </c>
      <c r="G23" s="165">
        <v>2.5370670958765853E-2</v>
      </c>
      <c r="H23" s="251">
        <v>2681341.5900000008</v>
      </c>
      <c r="I23" s="251">
        <v>674941.43957777787</v>
      </c>
      <c r="J23" s="165">
        <v>0.2517178124916854</v>
      </c>
      <c r="L23" s="102" t="s">
        <v>1242</v>
      </c>
      <c r="M23" s="251">
        <v>1158977.8000000007</v>
      </c>
      <c r="N23" s="251">
        <v>182799.24000000005</v>
      </c>
      <c r="O23" s="165">
        <v>0.15772453967625605</v>
      </c>
      <c r="P23" s="251">
        <v>90850.25</v>
      </c>
      <c r="Q23" s="251">
        <v>16113.659999999996</v>
      </c>
      <c r="R23" s="165">
        <v>0.17736505953478385</v>
      </c>
      <c r="S23" s="251">
        <v>1249828.0500000007</v>
      </c>
      <c r="T23" s="251">
        <v>198912.90000000005</v>
      </c>
      <c r="U23" s="165">
        <v>0.15915221297841733</v>
      </c>
    </row>
    <row r="24" spans="1:21" x14ac:dyDescent="0.25">
      <c r="A24" s="102" t="s">
        <v>1243</v>
      </c>
      <c r="B24" s="251">
        <v>2154404.3299999991</v>
      </c>
      <c r="C24" s="251">
        <v>577277.63020000036</v>
      </c>
      <c r="D24" s="165">
        <v>0.26795231617455978</v>
      </c>
      <c r="E24" s="251">
        <v>38388.75</v>
      </c>
      <c r="F24" s="251">
        <v>7555.0999999999995</v>
      </c>
      <c r="G24" s="165">
        <v>0.1968050535638696</v>
      </c>
      <c r="H24" s="251">
        <v>2192793.0799999991</v>
      </c>
      <c r="I24" s="251">
        <v>584832.73020000034</v>
      </c>
      <c r="J24" s="165">
        <v>0.26670675657185161</v>
      </c>
      <c r="L24" s="102" t="s">
        <v>1243</v>
      </c>
      <c r="M24" s="251">
        <v>1012399.2700000003</v>
      </c>
      <c r="N24" s="251">
        <v>144398.61000000002</v>
      </c>
      <c r="O24" s="165">
        <v>0.14263010086919559</v>
      </c>
      <c r="P24" s="251">
        <v>49882</v>
      </c>
      <c r="Q24" s="251">
        <v>9275.0000000000036</v>
      </c>
      <c r="R24" s="165">
        <v>0.18593881560482747</v>
      </c>
      <c r="S24" s="251">
        <v>1062281.2700000003</v>
      </c>
      <c r="T24" s="251">
        <v>153673.61000000002</v>
      </c>
      <c r="U24" s="165">
        <v>0.14466376687598001</v>
      </c>
    </row>
    <row r="25" spans="1:21" x14ac:dyDescent="0.25">
      <c r="A25" s="102" t="s">
        <v>1244</v>
      </c>
      <c r="B25" s="251">
        <v>3186268.8399999985</v>
      </c>
      <c r="C25" s="251">
        <v>635277.71849999996</v>
      </c>
      <c r="D25" s="165">
        <v>0.19937982336104454</v>
      </c>
      <c r="E25" s="251">
        <v>45853.939999999988</v>
      </c>
      <c r="F25" s="251">
        <v>22943.75</v>
      </c>
      <c r="G25" s="165">
        <v>0.50036594456223404</v>
      </c>
      <c r="H25" s="251">
        <v>3232122.7799999984</v>
      </c>
      <c r="I25" s="251">
        <v>658221.46849999996</v>
      </c>
      <c r="J25" s="165">
        <v>0.20364989615276938</v>
      </c>
      <c r="L25" s="102" t="s">
        <v>1244</v>
      </c>
      <c r="M25" s="251">
        <v>1126515.4800000002</v>
      </c>
      <c r="N25" s="251">
        <v>178770.31000000003</v>
      </c>
      <c r="O25" s="165">
        <v>0.1586931677139492</v>
      </c>
      <c r="P25" s="251">
        <v>70940.36</v>
      </c>
      <c r="Q25" s="251">
        <v>6287.0700000000006</v>
      </c>
      <c r="R25" s="165">
        <v>8.8624726460367564E-2</v>
      </c>
      <c r="S25" s="251">
        <v>1197455.8400000003</v>
      </c>
      <c r="T25" s="251">
        <v>185057.38000000003</v>
      </c>
      <c r="U25" s="165">
        <v>0.15454213326146549</v>
      </c>
    </row>
    <row r="26" spans="1:21" x14ac:dyDescent="0.25">
      <c r="A26" s="102" t="s">
        <v>1245</v>
      </c>
      <c r="B26" s="251">
        <v>1083001.5399999998</v>
      </c>
      <c r="C26" s="251">
        <v>265513.77000000008</v>
      </c>
      <c r="D26" s="165">
        <v>0.24516472063373071</v>
      </c>
      <c r="E26" s="251">
        <v>43499.299999999996</v>
      </c>
      <c r="F26" s="251">
        <v>9438.1200000000008</v>
      </c>
      <c r="G26" s="165">
        <v>0.21697176736177368</v>
      </c>
      <c r="H26" s="251">
        <v>1126500.8399999999</v>
      </c>
      <c r="I26" s="251">
        <v>274951.89000000007</v>
      </c>
      <c r="J26" s="165">
        <v>0.24407606300586523</v>
      </c>
      <c r="L26" s="102" t="s">
        <v>1245</v>
      </c>
      <c r="M26" s="251">
        <v>358512.82999999996</v>
      </c>
      <c r="N26" s="251">
        <v>54463.530000000006</v>
      </c>
      <c r="O26" s="165">
        <v>0.15191514903385747</v>
      </c>
      <c r="P26" s="251">
        <v>117255.76000000001</v>
      </c>
      <c r="Q26" s="251">
        <v>10152.419999999984</v>
      </c>
      <c r="R26" s="165">
        <v>8.6583550351811991E-2</v>
      </c>
      <c r="S26" s="251">
        <v>475768.58999999997</v>
      </c>
      <c r="T26" s="251">
        <v>64615.94999999999</v>
      </c>
      <c r="U26" s="165">
        <v>0.13581382074844411</v>
      </c>
    </row>
    <row r="27" spans="1:21" x14ac:dyDescent="0.25">
      <c r="A27" s="255" t="s">
        <v>1171</v>
      </c>
      <c r="B27" s="256">
        <v>18923248.629999992</v>
      </c>
      <c r="C27" s="256">
        <v>5771270.5731714284</v>
      </c>
      <c r="D27" s="257">
        <v>0.30498307589860257</v>
      </c>
      <c r="E27" s="256">
        <v>131970.02999999997</v>
      </c>
      <c r="F27" s="256">
        <v>40011.370000000003</v>
      </c>
      <c r="G27" s="257">
        <v>0.30318527623279301</v>
      </c>
      <c r="H27" s="256">
        <v>19055218.659999993</v>
      </c>
      <c r="I27" s="256">
        <v>5811281.9431714276</v>
      </c>
      <c r="J27" s="257">
        <v>0.30497062494329991</v>
      </c>
      <c r="L27" s="255" t="s">
        <v>1171</v>
      </c>
      <c r="M27" s="256">
        <v>8801998.8100000005</v>
      </c>
      <c r="N27" s="256">
        <v>1373985.5800000003</v>
      </c>
      <c r="O27" s="257">
        <v>0.15609926900228699</v>
      </c>
      <c r="P27" s="256">
        <v>370420.43</v>
      </c>
      <c r="Q27" s="256">
        <v>44285.299999999988</v>
      </c>
      <c r="R27" s="257">
        <v>0.11955415094140452</v>
      </c>
      <c r="S27" s="256">
        <v>9172419.2400000002</v>
      </c>
      <c r="T27" s="256">
        <v>1418270.8800000004</v>
      </c>
      <c r="U27" s="257">
        <v>0.15462342517174349</v>
      </c>
    </row>
  </sheetData>
  <mergeCells count="12">
    <mergeCell ref="P17:R17"/>
    <mergeCell ref="M17:O17"/>
    <mergeCell ref="P5:R5"/>
    <mergeCell ref="M5:O5"/>
    <mergeCell ref="A17:A18"/>
    <mergeCell ref="A5:A6"/>
    <mergeCell ref="L5:L6"/>
    <mergeCell ref="L17:L18"/>
    <mergeCell ref="E5:G5"/>
    <mergeCell ref="B5:D5"/>
    <mergeCell ref="E17:G17"/>
    <mergeCell ref="B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7"/>
  <sheetViews>
    <sheetView zoomScale="110" zoomScaleNormal="110" workbookViewId="0">
      <selection activeCell="F29" sqref="F29"/>
    </sheetView>
  </sheetViews>
  <sheetFormatPr defaultRowHeight="15" x14ac:dyDescent="0.25"/>
  <cols>
    <col min="1" max="1" width="19.85546875" bestFit="1" customWidth="1"/>
    <col min="2" max="2" width="8.85546875" bestFit="1" customWidth="1"/>
    <col min="3" max="3" width="13.28515625" bestFit="1" customWidth="1"/>
    <col min="4" max="4" width="15.85546875" customWidth="1"/>
    <col min="5" max="5" width="14.42578125" customWidth="1"/>
    <col min="6" max="6" width="20.140625" customWidth="1"/>
    <col min="7" max="7" width="15.140625" customWidth="1"/>
    <col min="8" max="8" width="17.28515625" customWidth="1"/>
    <col min="9" max="9" width="16" bestFit="1" customWidth="1"/>
    <col min="10" max="10" width="14.7109375" bestFit="1" customWidth="1"/>
    <col min="11" max="11" width="14.28515625" bestFit="1" customWidth="1"/>
    <col min="12" max="12" width="14.5703125" bestFit="1" customWidth="1"/>
    <col min="13" max="13" width="13.85546875" bestFit="1" customWidth="1"/>
    <col min="14" max="14" width="2.42578125" customWidth="1"/>
    <col min="17" max="18" width="12" bestFit="1" customWidth="1"/>
    <col min="19" max="19" width="10.28515625" bestFit="1" customWidth="1"/>
    <col min="20" max="20" width="11" bestFit="1" customWidth="1"/>
    <col min="21" max="21" width="12" bestFit="1" customWidth="1"/>
    <col min="22" max="22" width="1.85546875" customWidth="1"/>
    <col min="25" max="25" width="13.42578125" bestFit="1" customWidth="1"/>
    <col min="26" max="26" width="12" bestFit="1" customWidth="1"/>
    <col min="27" max="27" width="11.5703125" bestFit="1" customWidth="1"/>
    <col min="28" max="28" width="11.85546875" bestFit="1" customWidth="1"/>
    <col min="29" max="29" width="11.140625" bestFit="1" customWidth="1"/>
    <col min="30" max="30" width="1.5703125" customWidth="1"/>
    <col min="31" max="31" width="14" bestFit="1" customWidth="1"/>
    <col min="32" max="32" width="12" bestFit="1" customWidth="1"/>
    <col min="33" max="33" width="9.28515625" bestFit="1" customWidth="1"/>
  </cols>
  <sheetData>
    <row r="1" spans="1:33" x14ac:dyDescent="0.25">
      <c r="A1" s="161" t="s">
        <v>1114</v>
      </c>
      <c r="B1" s="162" t="s">
        <v>1115</v>
      </c>
      <c r="C1" s="162" t="s">
        <v>1116</v>
      </c>
      <c r="D1" s="162" t="s">
        <v>1265</v>
      </c>
      <c r="E1" s="198" t="s">
        <v>1266</v>
      </c>
      <c r="F1" s="162" t="s">
        <v>1267</v>
      </c>
      <c r="G1" s="162" t="s">
        <v>1268</v>
      </c>
      <c r="H1" s="198" t="s">
        <v>1269</v>
      </c>
      <c r="I1" s="162" t="s">
        <v>1117</v>
      </c>
      <c r="J1" s="162" t="s">
        <v>1118</v>
      </c>
      <c r="K1" s="162" t="s">
        <v>1119</v>
      </c>
      <c r="L1" s="162" t="s">
        <v>1120</v>
      </c>
      <c r="M1" s="162" t="s">
        <v>1121</v>
      </c>
      <c r="N1" s="162"/>
      <c r="Q1" s="162" t="s">
        <v>1122</v>
      </c>
      <c r="R1" s="162" t="s">
        <v>1123</v>
      </c>
      <c r="S1" s="162" t="s">
        <v>1124</v>
      </c>
      <c r="T1" s="162" t="s">
        <v>1125</v>
      </c>
      <c r="U1" s="162" t="s">
        <v>1126</v>
      </c>
      <c r="V1" s="162"/>
      <c r="Y1" s="198" t="s">
        <v>1127</v>
      </c>
      <c r="Z1" s="198" t="s">
        <v>1128</v>
      </c>
      <c r="AA1" s="198" t="s">
        <v>1129</v>
      </c>
      <c r="AB1" s="198" t="s">
        <v>1130</v>
      </c>
      <c r="AC1" s="198" t="s">
        <v>1131</v>
      </c>
      <c r="AD1" s="198"/>
      <c r="AE1" s="199" t="s">
        <v>1132</v>
      </c>
      <c r="AF1" s="199" t="s">
        <v>1133</v>
      </c>
      <c r="AG1" s="200" t="s">
        <v>1134</v>
      </c>
    </row>
    <row r="2" spans="1:33" x14ac:dyDescent="0.25">
      <c r="A2" s="101" t="s">
        <v>1135</v>
      </c>
      <c r="B2" s="102" t="s">
        <v>1136</v>
      </c>
      <c r="C2" s="163">
        <v>1348418.15</v>
      </c>
      <c r="D2" s="164">
        <v>204775.33999999991</v>
      </c>
      <c r="E2" s="165">
        <v>0.15186338154822368</v>
      </c>
      <c r="F2" s="163">
        <v>1671021.29</v>
      </c>
      <c r="G2" s="164">
        <v>254298.99000000011</v>
      </c>
      <c r="H2" s="165">
        <v>0.15218177740871278</v>
      </c>
      <c r="I2" s="163">
        <v>1698230.3499999989</v>
      </c>
      <c r="J2" s="163">
        <v>1328070.810000001</v>
      </c>
      <c r="K2" s="163">
        <v>1501950.56</v>
      </c>
      <c r="L2" s="163">
        <v>1567569.77</v>
      </c>
      <c r="M2" s="163">
        <v>2104896.060000001</v>
      </c>
      <c r="N2" s="163"/>
      <c r="Q2" s="164">
        <v>298948.71999999997</v>
      </c>
      <c r="R2" s="164">
        <v>306208.7099999999</v>
      </c>
      <c r="S2" s="164">
        <v>268511.21999999991</v>
      </c>
      <c r="T2" s="164">
        <v>425100.79000000039</v>
      </c>
      <c r="U2" s="164">
        <v>954907.04999999993</v>
      </c>
      <c r="V2" s="164"/>
      <c r="Y2" s="165">
        <v>0.17603543594660181</v>
      </c>
      <c r="Z2" s="165">
        <v>0.23056655390234779</v>
      </c>
      <c r="AA2" s="165">
        <v>0.1787750057498563</v>
      </c>
      <c r="AB2" s="165">
        <v>0.27118460570976716</v>
      </c>
      <c r="AC2" s="165">
        <v>0.45365995411668902</v>
      </c>
      <c r="AD2" s="165"/>
      <c r="AE2" s="163">
        <v>11220156.99</v>
      </c>
      <c r="AF2" s="163">
        <v>2712750.8200000003</v>
      </c>
      <c r="AG2" s="168">
        <v>0.24177476504274834</v>
      </c>
    </row>
    <row r="3" spans="1:33" x14ac:dyDescent="0.25">
      <c r="A3" s="101" t="s">
        <v>1139</v>
      </c>
      <c r="B3" s="102" t="s">
        <v>1136</v>
      </c>
      <c r="C3" s="164">
        <v>869313.47000000032</v>
      </c>
      <c r="D3" s="163">
        <v>1112376.1000000001</v>
      </c>
      <c r="E3" s="165">
        <v>1.2796029722166846</v>
      </c>
      <c r="F3" s="164">
        <v>1119839.31</v>
      </c>
      <c r="G3" s="163">
        <v>1220338.92</v>
      </c>
      <c r="H3" s="165">
        <v>1.0897446705992129</v>
      </c>
      <c r="I3" s="164">
        <v>968663.75999999989</v>
      </c>
      <c r="J3" s="164">
        <v>822958.95000000007</v>
      </c>
      <c r="K3" s="163">
        <v>1357231.5099999991</v>
      </c>
      <c r="L3" s="164">
        <v>981591.3400000002</v>
      </c>
      <c r="M3" s="164">
        <v>772386.0000000007</v>
      </c>
      <c r="N3" s="164"/>
      <c r="Q3" s="163">
        <v>1238331.42</v>
      </c>
      <c r="R3" s="163">
        <v>1355477.06</v>
      </c>
      <c r="S3" s="163">
        <v>1367922.76</v>
      </c>
      <c r="T3" s="164">
        <v>753131.19000000006</v>
      </c>
      <c r="U3" s="164">
        <v>807307.20999999892</v>
      </c>
      <c r="V3" s="164"/>
      <c r="Y3" s="165">
        <v>1.2783913997154184</v>
      </c>
      <c r="Z3" s="165">
        <v>1.6470773663741065</v>
      </c>
      <c r="AA3" s="165">
        <v>1.007877248591142</v>
      </c>
      <c r="AB3" s="165">
        <v>0.7672553325501017</v>
      </c>
      <c r="AC3" s="165">
        <v>1.045212121918313</v>
      </c>
      <c r="AD3" s="165"/>
      <c r="AE3" s="163">
        <v>6891984.3399999999</v>
      </c>
      <c r="AF3" s="163">
        <v>7854884.6599999992</v>
      </c>
      <c r="AG3" s="168">
        <v>1.1397130742754995</v>
      </c>
    </row>
    <row r="4" spans="1:33" ht="15.75" thickBot="1" x14ac:dyDescent="0.3">
      <c r="A4" s="182" t="s">
        <v>1160</v>
      </c>
      <c r="B4" s="183"/>
      <c r="C4" s="185">
        <f>SUM(C2:C3)</f>
        <v>2217731.62</v>
      </c>
      <c r="D4" s="185">
        <f>SUM(D2:D3)</f>
        <v>1317151.44</v>
      </c>
      <c r="E4" s="184">
        <f>D4/C4</f>
        <v>0.59391832091928232</v>
      </c>
      <c r="F4" s="185">
        <f t="shared" ref="F4:AF4" si="0">SUM(F2:F3)</f>
        <v>2790860.6</v>
      </c>
      <c r="G4" s="185">
        <f>SUM(G2:G3)</f>
        <v>1474637.9100000001</v>
      </c>
      <c r="H4" s="184">
        <f>G4/F4</f>
        <v>0.52838106998249934</v>
      </c>
      <c r="I4" s="185">
        <f t="shared" si="0"/>
        <v>2666894.1099999989</v>
      </c>
      <c r="J4" s="185">
        <f t="shared" si="0"/>
        <v>2151029.7600000012</v>
      </c>
      <c r="K4" s="185">
        <f t="shared" si="0"/>
        <v>2859182.0699999994</v>
      </c>
      <c r="L4" s="185">
        <f t="shared" si="0"/>
        <v>2549161.1100000003</v>
      </c>
      <c r="M4" s="185">
        <f t="shared" si="0"/>
        <v>2877282.0600000015</v>
      </c>
      <c r="N4" s="185"/>
      <c r="Q4" s="185">
        <f t="shared" si="0"/>
        <v>1537280.14</v>
      </c>
      <c r="R4" s="185">
        <f t="shared" si="0"/>
        <v>1661685.77</v>
      </c>
      <c r="S4" s="185">
        <f t="shared" si="0"/>
        <v>1636433.98</v>
      </c>
      <c r="T4" s="185">
        <f t="shared" si="0"/>
        <v>1178231.9800000004</v>
      </c>
      <c r="U4" s="185">
        <f t="shared" si="0"/>
        <v>1762214.2599999988</v>
      </c>
      <c r="V4" s="209"/>
      <c r="Y4" s="184">
        <f t="shared" ref="Y4:AC4" si="1">Q4/I4</f>
        <v>0.57643088798902498</v>
      </c>
      <c r="Z4" s="184">
        <f t="shared" si="1"/>
        <v>0.77250710376038645</v>
      </c>
      <c r="AA4" s="184">
        <f t="shared" si="1"/>
        <v>0.57234339749479479</v>
      </c>
      <c r="AB4" s="184">
        <f t="shared" si="1"/>
        <v>0.46220381104119396</v>
      </c>
      <c r="AC4" s="184">
        <f t="shared" si="1"/>
        <v>0.61245794581571122</v>
      </c>
      <c r="AD4" s="210"/>
      <c r="AE4" s="185">
        <f t="shared" si="0"/>
        <v>18112141.329999998</v>
      </c>
      <c r="AF4" s="185">
        <f t="shared" si="0"/>
        <v>10567635.48</v>
      </c>
      <c r="AG4" s="186">
        <f>AF4/AE4</f>
        <v>0.58345588671485937</v>
      </c>
    </row>
    <row r="5" spans="1:33" x14ac:dyDescent="0.25">
      <c r="A5" s="160" t="s">
        <v>1137</v>
      </c>
      <c r="B5" s="169" t="s">
        <v>1138</v>
      </c>
      <c r="C5" s="170">
        <v>689392.20999999985</v>
      </c>
      <c r="D5" s="170">
        <v>90575.726507936488</v>
      </c>
      <c r="E5" s="172">
        <v>0.13138489990761065</v>
      </c>
      <c r="F5" s="170">
        <v>874333.07999999984</v>
      </c>
      <c r="G5" s="170">
        <v>69120.557752380948</v>
      </c>
      <c r="H5" s="172">
        <v>7.9055178550925878E-2</v>
      </c>
      <c r="I5" s="170">
        <v>633817.20999999985</v>
      </c>
      <c r="J5" s="170">
        <v>848412.2100000002</v>
      </c>
      <c r="K5" s="171">
        <v>1299380.22</v>
      </c>
      <c r="L5" s="171">
        <v>1110479.72</v>
      </c>
      <c r="M5" s="171">
        <v>1919223.36</v>
      </c>
      <c r="N5" s="171"/>
      <c r="Q5" s="170">
        <v>54206.656666666669</v>
      </c>
      <c r="R5" s="170">
        <v>243255.90729999999</v>
      </c>
      <c r="S5" s="170">
        <v>224595.88957777779</v>
      </c>
      <c r="T5" s="170">
        <v>135560.2402</v>
      </c>
      <c r="U5" s="170">
        <v>216728.2985</v>
      </c>
      <c r="V5" s="170"/>
      <c r="Y5" s="172">
        <v>8.5524116119640683E-2</v>
      </c>
      <c r="Z5" s="172">
        <v>0.28671900808688261</v>
      </c>
      <c r="AA5" s="172">
        <v>0.17284847508127976</v>
      </c>
      <c r="AB5" s="172">
        <v>0.12207358473867493</v>
      </c>
      <c r="AC5" s="172">
        <v>0.11292500029803722</v>
      </c>
      <c r="AD5" s="172"/>
      <c r="AE5" s="171">
        <v>7375038.0099999998</v>
      </c>
      <c r="AF5" s="171">
        <v>1034043.276504762</v>
      </c>
      <c r="AG5" s="173">
        <v>0.14020853521062218</v>
      </c>
    </row>
    <row r="6" spans="1:33" x14ac:dyDescent="0.25">
      <c r="A6" s="101" t="s">
        <v>1140</v>
      </c>
      <c r="B6" s="102" t="s">
        <v>1138</v>
      </c>
      <c r="C6" s="163">
        <v>1290923.78</v>
      </c>
      <c r="D6" s="164">
        <v>157666.88</v>
      </c>
      <c r="E6" s="165">
        <v>0.12213492573511969</v>
      </c>
      <c r="F6" s="163">
        <v>1157762.1300000011</v>
      </c>
      <c r="G6" s="164">
        <v>136107.33999999991</v>
      </c>
      <c r="H6" s="165">
        <v>0.11756071171545383</v>
      </c>
      <c r="I6" s="164">
        <v>389072.30999999988</v>
      </c>
      <c r="J6" s="164">
        <v>843019.20000000019</v>
      </c>
      <c r="K6" s="164">
        <v>596988.11999999988</v>
      </c>
      <c r="L6" s="164">
        <v>487012.90000000031</v>
      </c>
      <c r="M6" s="164">
        <v>748452.8200000003</v>
      </c>
      <c r="N6" s="164"/>
      <c r="Q6" s="164">
        <v>97409.896666666682</v>
      </c>
      <c r="R6" s="164">
        <v>109734.36</v>
      </c>
      <c r="S6" s="164">
        <v>122776.52</v>
      </c>
      <c r="T6" s="164">
        <v>76885.229999999967</v>
      </c>
      <c r="U6" s="164">
        <v>144509.66</v>
      </c>
      <c r="V6" s="164"/>
      <c r="Y6" s="165">
        <v>0.2503645059363559</v>
      </c>
      <c r="Z6" s="165">
        <v>0.13016828086477744</v>
      </c>
      <c r="AA6" s="165">
        <v>0.20565990492407124</v>
      </c>
      <c r="AB6" s="165">
        <v>0.15787103380629119</v>
      </c>
      <c r="AC6" s="165">
        <v>0.193077848247001</v>
      </c>
      <c r="AD6" s="165"/>
      <c r="AE6" s="163">
        <v>5513231.2600000016</v>
      </c>
      <c r="AF6" s="163">
        <v>845089.8866666666</v>
      </c>
      <c r="AG6" s="168">
        <v>0.15328395396689135</v>
      </c>
    </row>
    <row r="7" spans="1:33" x14ac:dyDescent="0.25">
      <c r="A7" s="101" t="s">
        <v>1141</v>
      </c>
      <c r="B7" s="102" t="s">
        <v>1138</v>
      </c>
      <c r="C7" s="164">
        <v>699480.7799999998</v>
      </c>
      <c r="D7" s="164">
        <v>129956.11999999989</v>
      </c>
      <c r="E7" s="165">
        <v>0.1857894079662917</v>
      </c>
      <c r="F7" s="164">
        <v>702747.13999999978</v>
      </c>
      <c r="G7" s="163">
        <v>1626794.709999999</v>
      </c>
      <c r="H7" s="165">
        <v>2.3149076209687593</v>
      </c>
      <c r="I7" s="164">
        <v>778492.87000000034</v>
      </c>
      <c r="J7" s="164">
        <v>345734.45</v>
      </c>
      <c r="K7" s="164">
        <v>746345.05</v>
      </c>
      <c r="L7" s="164">
        <v>385516.58</v>
      </c>
      <c r="M7" s="164">
        <v>452901.30999999971</v>
      </c>
      <c r="N7" s="164"/>
      <c r="Q7" s="164">
        <v>580317.24999999953</v>
      </c>
      <c r="R7" s="164">
        <v>288550.55</v>
      </c>
      <c r="S7" s="164">
        <v>326500.81999999989</v>
      </c>
      <c r="T7" s="164">
        <v>361160.14000000007</v>
      </c>
      <c r="U7" s="164">
        <v>289965.27000000031</v>
      </c>
      <c r="V7" s="164"/>
      <c r="Y7" s="165">
        <v>0.74543682076368822</v>
      </c>
      <c r="Z7" s="165">
        <v>0.83460167189008783</v>
      </c>
      <c r="AA7" s="165">
        <v>0.43746631668555969</v>
      </c>
      <c r="AB7" s="165">
        <v>0.93682129053956653</v>
      </c>
      <c r="AC7" s="165">
        <v>0.64023941551416685</v>
      </c>
      <c r="AD7" s="165"/>
      <c r="AE7" s="163">
        <v>4111218.1799999997</v>
      </c>
      <c r="AF7" s="163">
        <v>3603244.8599999985</v>
      </c>
      <c r="AG7" s="168">
        <v>0.87644214007635046</v>
      </c>
    </row>
    <row r="8" spans="1:33" x14ac:dyDescent="0.25">
      <c r="A8" s="101" t="s">
        <v>1150</v>
      </c>
      <c r="B8" s="102" t="s">
        <v>1138</v>
      </c>
      <c r="C8" s="164">
        <v>112968.55</v>
      </c>
      <c r="D8" s="164">
        <v>3911.560000000015</v>
      </c>
      <c r="E8" s="165">
        <v>3.4625212061233104E-2</v>
      </c>
      <c r="F8" s="164">
        <v>117904.44</v>
      </c>
      <c r="G8" s="164">
        <v>15547.54000000001</v>
      </c>
      <c r="H8" s="165">
        <v>0.13186560234712119</v>
      </c>
      <c r="I8" s="164">
        <v>92012.96</v>
      </c>
      <c r="J8" s="164">
        <v>246387.05</v>
      </c>
      <c r="K8" s="164">
        <v>38628.199999999997</v>
      </c>
      <c r="L8" s="164">
        <v>209783.88</v>
      </c>
      <c r="M8" s="164">
        <v>111545.29</v>
      </c>
      <c r="N8" s="164"/>
      <c r="Q8" s="164">
        <v>5821.5100000000066</v>
      </c>
      <c r="R8" s="164">
        <v>9357.8499999999658</v>
      </c>
      <c r="S8" s="164">
        <v>1068.2100000000021</v>
      </c>
      <c r="T8" s="164">
        <v>11227.12</v>
      </c>
      <c r="U8" s="164">
        <v>7018.24</v>
      </c>
      <c r="V8" s="164"/>
      <c r="Y8" s="165">
        <v>6.3268370020918854E-2</v>
      </c>
      <c r="Z8" s="165">
        <v>3.7980283460514526E-2</v>
      </c>
      <c r="AA8" s="165">
        <v>2.7653631284916259E-2</v>
      </c>
      <c r="AB8" s="165">
        <v>5.3517553398287801E-2</v>
      </c>
      <c r="AC8" s="165">
        <v>6.291829982243087E-2</v>
      </c>
      <c r="AD8" s="165"/>
      <c r="AE8" s="163">
        <v>929230.37</v>
      </c>
      <c r="AF8" s="163">
        <v>53952.029999999992</v>
      </c>
      <c r="AG8" s="168">
        <v>5.8060984382161326E-2</v>
      </c>
    </row>
    <row r="9" spans="1:33" ht="15.75" thickBot="1" x14ac:dyDescent="0.3">
      <c r="A9" s="176" t="s">
        <v>1161</v>
      </c>
      <c r="B9" s="177"/>
      <c r="C9" s="180">
        <f>SUM(C5:C8)</f>
        <v>2792765.3199999994</v>
      </c>
      <c r="D9" s="178">
        <f>SUM(D5:D8)</f>
        <v>382110.28650793637</v>
      </c>
      <c r="E9" s="179">
        <f>D9/C9</f>
        <v>0.13682148076371001</v>
      </c>
      <c r="F9" s="180">
        <f t="shared" ref="F9:AF9" si="2">SUM(F5:F8)</f>
        <v>2852746.7900000005</v>
      </c>
      <c r="G9" s="180">
        <f>SUM(G5:G8)</f>
        <v>1847570.14775238</v>
      </c>
      <c r="H9" s="179">
        <f>G9/F9</f>
        <v>0.6476460351226544</v>
      </c>
      <c r="I9" s="180">
        <f t="shared" si="2"/>
        <v>1893395.35</v>
      </c>
      <c r="J9" s="180">
        <f t="shared" si="2"/>
        <v>2283552.91</v>
      </c>
      <c r="K9" s="180">
        <f t="shared" si="2"/>
        <v>2681341.59</v>
      </c>
      <c r="L9" s="180">
        <f t="shared" si="2"/>
        <v>2192793.0800000005</v>
      </c>
      <c r="M9" s="180">
        <f t="shared" si="2"/>
        <v>3232122.7800000003</v>
      </c>
      <c r="N9" s="206"/>
      <c r="Q9" s="178">
        <f t="shared" si="2"/>
        <v>737755.31333333289</v>
      </c>
      <c r="R9" s="178">
        <f t="shared" si="2"/>
        <v>650898.66729999997</v>
      </c>
      <c r="S9" s="178">
        <f t="shared" si="2"/>
        <v>674941.43957777764</v>
      </c>
      <c r="T9" s="178">
        <f t="shared" si="2"/>
        <v>584832.73019999999</v>
      </c>
      <c r="U9" s="178">
        <f t="shared" si="2"/>
        <v>658221.46850000031</v>
      </c>
      <c r="V9" s="178"/>
      <c r="Y9" s="179">
        <f t="shared" ref="Y9:AC9" si="3">Q9/I9</f>
        <v>0.38964673349035789</v>
      </c>
      <c r="Z9" s="179">
        <f t="shared" si="3"/>
        <v>0.28503769912648969</v>
      </c>
      <c r="AA9" s="179">
        <f t="shared" si="3"/>
        <v>0.25171781249168546</v>
      </c>
      <c r="AB9" s="179">
        <f t="shared" si="3"/>
        <v>0.26670675657185122</v>
      </c>
      <c r="AC9" s="179">
        <f t="shared" si="3"/>
        <v>0.20364989615276938</v>
      </c>
      <c r="AD9" s="211"/>
      <c r="AE9" s="180">
        <f t="shared" si="2"/>
        <v>17928717.820000004</v>
      </c>
      <c r="AF9" s="180">
        <f t="shared" si="2"/>
        <v>5536330.053171427</v>
      </c>
      <c r="AG9" s="181">
        <f>AF9/AE9</f>
        <v>0.30879676442871395</v>
      </c>
    </row>
    <row r="10" spans="1:33" x14ac:dyDescent="0.25">
      <c r="A10" s="160" t="s">
        <v>1142</v>
      </c>
      <c r="B10" s="169" t="s">
        <v>1143</v>
      </c>
      <c r="C10" s="170">
        <v>565878.70999999985</v>
      </c>
      <c r="D10" s="170">
        <v>43869.879999999983</v>
      </c>
      <c r="E10" s="172">
        <v>7.752523504551001E-2</v>
      </c>
      <c r="F10" s="170">
        <v>334443.79999999987</v>
      </c>
      <c r="G10" s="170">
        <v>31337.35000000002</v>
      </c>
      <c r="H10" s="172">
        <v>9.3699898159272293E-2</v>
      </c>
      <c r="I10" s="170">
        <v>348441.22999999992</v>
      </c>
      <c r="J10" s="170">
        <v>437652.65000000008</v>
      </c>
      <c r="K10" s="170">
        <v>264467.18000000011</v>
      </c>
      <c r="L10" s="170">
        <v>454879.04</v>
      </c>
      <c r="M10" s="170">
        <v>416539.08999999991</v>
      </c>
      <c r="N10" s="170"/>
      <c r="Q10" s="170">
        <v>39180.903333333343</v>
      </c>
      <c r="R10" s="170">
        <v>45642.359999999993</v>
      </c>
      <c r="S10" s="170">
        <v>22343.35</v>
      </c>
      <c r="T10" s="170">
        <v>38409.760000000009</v>
      </c>
      <c r="U10" s="170">
        <v>30916.610000000011</v>
      </c>
      <c r="V10" s="170"/>
      <c r="Y10" s="172">
        <v>0.11244623184613758</v>
      </c>
      <c r="Z10" s="172">
        <v>0.10428900636155176</v>
      </c>
      <c r="AA10" s="172">
        <v>8.4484396135656559E-2</v>
      </c>
      <c r="AB10" s="172">
        <v>8.4439502862123553E-2</v>
      </c>
      <c r="AC10" s="172">
        <v>7.4222589769426001E-2</v>
      </c>
      <c r="AD10" s="172"/>
      <c r="AE10" s="171">
        <v>2822301.6999999997</v>
      </c>
      <c r="AF10" s="171">
        <v>251700.21333333338</v>
      </c>
      <c r="AG10" s="174">
        <v>8.9182603452116191E-2</v>
      </c>
    </row>
    <row r="11" spans="1:33" x14ac:dyDescent="0.25">
      <c r="A11" s="101" t="s">
        <v>1147</v>
      </c>
      <c r="B11" s="102" t="s">
        <v>1143</v>
      </c>
      <c r="C11" s="164">
        <v>185239.91</v>
      </c>
      <c r="D11" s="164">
        <v>9316.7500000000018</v>
      </c>
      <c r="E11" s="165">
        <v>5.0295586949918092E-2</v>
      </c>
      <c r="F11" s="164">
        <v>347838.17</v>
      </c>
      <c r="G11" s="164">
        <v>39869.230000000003</v>
      </c>
      <c r="H11" s="165">
        <v>0.11462005449258202</v>
      </c>
      <c r="I11" s="164">
        <v>313794.7099999999</v>
      </c>
      <c r="J11" s="164">
        <v>500964.01000000013</v>
      </c>
      <c r="K11" s="164">
        <v>329070.90000000002</v>
      </c>
      <c r="L11" s="164">
        <v>316846.67</v>
      </c>
      <c r="M11" s="164">
        <v>350975.54</v>
      </c>
      <c r="N11" s="164"/>
      <c r="Q11" s="164">
        <v>27554.45</v>
      </c>
      <c r="R11" s="164">
        <v>51581.96</v>
      </c>
      <c r="S11" s="164">
        <v>34022.220000000008</v>
      </c>
      <c r="T11" s="164">
        <v>28164.35999999999</v>
      </c>
      <c r="U11" s="164">
        <v>33021.440000000002</v>
      </c>
      <c r="V11" s="164"/>
      <c r="Y11" s="165">
        <v>8.7810435045256208E-2</v>
      </c>
      <c r="Z11" s="165">
        <v>0.10296540064824215</v>
      </c>
      <c r="AA11" s="165">
        <v>0.10338872261266495</v>
      </c>
      <c r="AB11" s="165">
        <v>8.8889556579527851E-2</v>
      </c>
      <c r="AC11" s="165">
        <v>9.4084733084248556E-2</v>
      </c>
      <c r="AD11" s="165"/>
      <c r="AE11" s="163">
        <v>2344729.9099999997</v>
      </c>
      <c r="AF11" s="163">
        <v>223530.41</v>
      </c>
      <c r="AG11" s="175">
        <v>9.5333116640287166E-2</v>
      </c>
    </row>
    <row r="12" spans="1:33" x14ac:dyDescent="0.25">
      <c r="A12" s="101" t="s">
        <v>1148</v>
      </c>
      <c r="B12" s="102" t="s">
        <v>1143</v>
      </c>
      <c r="C12" s="164">
        <v>106570.25</v>
      </c>
      <c r="D12" s="164">
        <v>37231.050000000003</v>
      </c>
      <c r="E12" s="165">
        <v>0.34935687961696632</v>
      </c>
      <c r="F12" s="164">
        <v>226334.75</v>
      </c>
      <c r="G12" s="164">
        <v>39325.229999999989</v>
      </c>
      <c r="H12" s="165">
        <v>0.17374808773288233</v>
      </c>
      <c r="I12" s="164">
        <v>154125.26999999999</v>
      </c>
      <c r="J12" s="164">
        <v>174009.29</v>
      </c>
      <c r="K12" s="164">
        <v>291469.65999999997</v>
      </c>
      <c r="L12" s="164">
        <v>164044.43</v>
      </c>
      <c r="M12" s="164">
        <v>256625.49</v>
      </c>
      <c r="N12" s="164"/>
      <c r="Q12" s="164">
        <v>12121.78999999999</v>
      </c>
      <c r="R12" s="164">
        <v>26002.74</v>
      </c>
      <c r="S12" s="164">
        <v>34797.700000000012</v>
      </c>
      <c r="T12" s="164">
        <v>44610.84</v>
      </c>
      <c r="U12" s="164">
        <v>29927.62999999999</v>
      </c>
      <c r="V12" s="164"/>
      <c r="Y12" s="165">
        <v>7.8648945756915722E-2</v>
      </c>
      <c r="Z12" s="165">
        <v>0.14943305613165825</v>
      </c>
      <c r="AA12" s="165">
        <v>0.11938704014682014</v>
      </c>
      <c r="AB12" s="165">
        <v>0.27194364356046713</v>
      </c>
      <c r="AC12" s="165">
        <v>0.11661986500249835</v>
      </c>
      <c r="AD12" s="165"/>
      <c r="AE12" s="163">
        <v>1373179.14</v>
      </c>
      <c r="AF12" s="163">
        <v>224016.97999999998</v>
      </c>
      <c r="AG12" s="175">
        <v>0.1631374767315501</v>
      </c>
    </row>
    <row r="13" spans="1:33" x14ac:dyDescent="0.25">
      <c r="A13" s="101" t="s">
        <v>1151</v>
      </c>
      <c r="B13" s="102" t="s">
        <v>1143</v>
      </c>
      <c r="C13" s="164">
        <v>56810.73</v>
      </c>
      <c r="D13" s="164">
        <v>9372.5199999999913</v>
      </c>
      <c r="E13" s="165">
        <v>0.1649779891932385</v>
      </c>
      <c r="F13" s="164">
        <v>174389.27</v>
      </c>
      <c r="G13" s="164">
        <v>72887.09</v>
      </c>
      <c r="H13" s="165">
        <v>0.41795627678239605</v>
      </c>
      <c r="I13" s="164">
        <v>102890.18</v>
      </c>
      <c r="J13" s="164">
        <v>59261.72</v>
      </c>
      <c r="K13" s="164">
        <v>16707.14</v>
      </c>
      <c r="L13" s="164">
        <v>201000.12</v>
      </c>
      <c r="M13" s="164">
        <v>115453.22</v>
      </c>
      <c r="N13" s="164"/>
      <c r="Q13" s="164">
        <v>17631.05000000001</v>
      </c>
      <c r="R13" s="164">
        <v>4226.2999999999993</v>
      </c>
      <c r="S13" s="164">
        <v>1962.4099999999989</v>
      </c>
      <c r="T13" s="164">
        <v>17589.23000000001</v>
      </c>
      <c r="U13" s="164">
        <v>24852.82</v>
      </c>
      <c r="V13" s="164"/>
      <c r="Y13" s="165">
        <v>0.17135794689055855</v>
      </c>
      <c r="Z13" s="165">
        <v>7.131585110928268E-2</v>
      </c>
      <c r="AA13" s="165">
        <v>0.11745936168608145</v>
      </c>
      <c r="AB13" s="165">
        <v>8.7508554721260914E-2</v>
      </c>
      <c r="AC13" s="165">
        <v>0.21526311695767342</v>
      </c>
      <c r="AD13" s="165"/>
      <c r="AE13" s="163">
        <v>726512.38</v>
      </c>
      <c r="AF13" s="163">
        <v>148521.42000000001</v>
      </c>
      <c r="AG13" s="175">
        <v>0.20443068017643418</v>
      </c>
    </row>
    <row r="14" spans="1:33" x14ac:dyDescent="0.25">
      <c r="A14" s="101" t="s">
        <v>1157</v>
      </c>
      <c r="B14" s="102" t="s">
        <v>1143</v>
      </c>
      <c r="C14" s="164">
        <v>52537.67</v>
      </c>
      <c r="D14" s="164">
        <v>2682.11</v>
      </c>
      <c r="E14" s="165">
        <v>5.105117908731012E-2</v>
      </c>
      <c r="F14" s="164">
        <v>16333.8</v>
      </c>
      <c r="G14" s="164">
        <v>1671.099999999999</v>
      </c>
      <c r="H14" s="165">
        <v>0.10230932177447985</v>
      </c>
      <c r="I14" s="164">
        <v>33326.620000000003</v>
      </c>
      <c r="J14" s="164">
        <v>44666.55</v>
      </c>
      <c r="K14" s="164">
        <v>30574.3</v>
      </c>
      <c r="L14" s="164">
        <v>43998.879999999997</v>
      </c>
      <c r="M14" s="164"/>
      <c r="N14" s="164"/>
      <c r="Q14" s="164">
        <v>1937.419999999998</v>
      </c>
      <c r="R14" s="164">
        <v>3993.530000000002</v>
      </c>
      <c r="S14" s="164">
        <v>3736.4999999999991</v>
      </c>
      <c r="T14" s="164">
        <v>3802.0999999999972</v>
      </c>
      <c r="U14" s="164">
        <v>0</v>
      </c>
      <c r="V14" s="164"/>
      <c r="Y14" s="165">
        <v>5.8134308249681424E-2</v>
      </c>
      <c r="Z14" s="165">
        <v>8.9407621587071343E-2</v>
      </c>
      <c r="AA14" s="165">
        <v>0.12221048396856181</v>
      </c>
      <c r="AB14" s="165">
        <v>8.6413563254337328E-2</v>
      </c>
      <c r="AC14" s="165">
        <v>0</v>
      </c>
      <c r="AD14" s="165"/>
      <c r="AE14" s="163">
        <v>221437.82</v>
      </c>
      <c r="AF14" s="163">
        <v>17822.759999999998</v>
      </c>
      <c r="AG14" s="175">
        <v>8.0486522130682095E-2</v>
      </c>
    </row>
    <row r="15" spans="1:33" ht="15.75" thickBot="1" x14ac:dyDescent="0.3">
      <c r="A15" s="192" t="s">
        <v>1162</v>
      </c>
      <c r="B15" s="193"/>
      <c r="C15" s="194">
        <f>SUM(C10:C14)</f>
        <v>967037.2699999999</v>
      </c>
      <c r="D15" s="194">
        <f>SUM(D10:D14)</f>
        <v>102472.30999999998</v>
      </c>
      <c r="E15" s="195">
        <f>D15/C15</f>
        <v>0.10596521269547346</v>
      </c>
      <c r="F15" s="196">
        <f t="shared" ref="F15:U15" si="4">SUM(F10:F14)</f>
        <v>1099339.7899999998</v>
      </c>
      <c r="G15" s="194">
        <f>SUM(G10:G14)</f>
        <v>185090</v>
      </c>
      <c r="H15" s="195">
        <f>G15/F15</f>
        <v>0.16836468731837681</v>
      </c>
      <c r="I15" s="194">
        <f t="shared" si="4"/>
        <v>952578.00999999989</v>
      </c>
      <c r="J15" s="196">
        <f t="shared" si="4"/>
        <v>1216554.2200000002</v>
      </c>
      <c r="K15" s="194">
        <f t="shared" si="4"/>
        <v>932289.18</v>
      </c>
      <c r="L15" s="196">
        <f t="shared" si="4"/>
        <v>1180769.1399999997</v>
      </c>
      <c r="M15" s="196">
        <f t="shared" si="4"/>
        <v>1139593.3399999999</v>
      </c>
      <c r="N15" s="207"/>
      <c r="Q15" s="194">
        <f t="shared" si="4"/>
        <v>98425.613333333356</v>
      </c>
      <c r="R15" s="194">
        <f t="shared" si="4"/>
        <v>131446.89000000001</v>
      </c>
      <c r="S15" s="194">
        <f t="shared" si="4"/>
        <v>96862.180000000022</v>
      </c>
      <c r="T15" s="194">
        <f t="shared" si="4"/>
        <v>132576.29</v>
      </c>
      <c r="U15" s="194">
        <f t="shared" si="4"/>
        <v>118718.5</v>
      </c>
      <c r="V15" s="194"/>
      <c r="Y15" s="195">
        <f t="shared" ref="Y15" si="5">Q15/I15</f>
        <v>0.10332551486605634</v>
      </c>
      <c r="Z15" s="195">
        <f t="shared" ref="Z15" si="6">R15/J15</f>
        <v>0.10804852577799615</v>
      </c>
      <c r="AA15" s="195">
        <f t="shared" ref="AA15" si="7">S15/K15</f>
        <v>0.10389714058464136</v>
      </c>
      <c r="AB15" s="195">
        <f t="shared" ref="AB15" si="8">T15/L15</f>
        <v>0.11227960276807374</v>
      </c>
      <c r="AC15" s="195">
        <f t="shared" ref="AC15" si="9">U15/M15</f>
        <v>0.10417619674751698</v>
      </c>
      <c r="AD15" s="212"/>
      <c r="AE15" s="196">
        <f>SUM(AE10:AE14)</f>
        <v>7488160.9499999993</v>
      </c>
      <c r="AF15" s="194">
        <f>SUM(AF10:AF14)</f>
        <v>865591.78333333344</v>
      </c>
      <c r="AG15" s="197">
        <f>AF15/AE15</f>
        <v>0.11559470864916886</v>
      </c>
    </row>
    <row r="16" spans="1:33" x14ac:dyDescent="0.25">
      <c r="A16" s="160" t="s">
        <v>1144</v>
      </c>
      <c r="B16" s="169" t="s">
        <v>1145</v>
      </c>
      <c r="C16" s="170">
        <v>223714.27</v>
      </c>
      <c r="D16" s="170">
        <v>46112.63</v>
      </c>
      <c r="E16" s="172">
        <v>0.20612288165614112</v>
      </c>
      <c r="F16" s="170">
        <v>551042.64999999991</v>
      </c>
      <c r="G16" s="170">
        <v>82877.400000000009</v>
      </c>
      <c r="H16" s="172">
        <v>0.15040106242230075</v>
      </c>
      <c r="I16" s="170">
        <v>567255.14999999979</v>
      </c>
      <c r="J16" s="170">
        <v>462186.74</v>
      </c>
      <c r="K16" s="170">
        <v>376598.21</v>
      </c>
      <c r="L16" s="170">
        <v>339443.82</v>
      </c>
      <c r="M16" s="170">
        <v>228085.77</v>
      </c>
      <c r="N16" s="170"/>
      <c r="Q16" s="170">
        <v>100039.27</v>
      </c>
      <c r="R16" s="170">
        <v>111510.59</v>
      </c>
      <c r="S16" s="170">
        <v>63744.679999999993</v>
      </c>
      <c r="T16" s="170">
        <v>47326.69</v>
      </c>
      <c r="U16" s="170">
        <v>38644.370000000003</v>
      </c>
      <c r="V16" s="170"/>
      <c r="Y16" s="172">
        <v>0.1763567417589775</v>
      </c>
      <c r="Z16" s="172">
        <v>0.24126739334841152</v>
      </c>
      <c r="AA16" s="172">
        <v>0.16926442640287639</v>
      </c>
      <c r="AB16" s="172">
        <v>0.1394242204792534</v>
      </c>
      <c r="AC16" s="172">
        <v>0.16942911431958252</v>
      </c>
      <c r="AD16" s="172"/>
      <c r="AE16" s="171">
        <v>2748326.61</v>
      </c>
      <c r="AF16" s="171">
        <v>490255.63</v>
      </c>
      <c r="AG16" s="173">
        <v>0.17838332176975139</v>
      </c>
    </row>
    <row r="17" spans="1:33" x14ac:dyDescent="0.25">
      <c r="A17" s="101" t="s">
        <v>1146</v>
      </c>
      <c r="B17" s="102" t="s">
        <v>1145</v>
      </c>
      <c r="C17" s="164">
        <v>336338.56000000011</v>
      </c>
      <c r="D17" s="164">
        <v>52520.12</v>
      </c>
      <c r="E17" s="165">
        <v>0.15615253868007278</v>
      </c>
      <c r="F17" s="164">
        <v>418981.91000000009</v>
      </c>
      <c r="G17" s="164">
        <v>59643.329999999987</v>
      </c>
      <c r="H17" s="165">
        <v>0.14235299562217371</v>
      </c>
      <c r="I17" s="164">
        <v>234450.81</v>
      </c>
      <c r="J17" s="164">
        <v>423738.20000000013</v>
      </c>
      <c r="K17" s="164">
        <v>400099.48</v>
      </c>
      <c r="L17" s="164">
        <v>220333.99</v>
      </c>
      <c r="M17" s="164">
        <v>332719.53999999998</v>
      </c>
      <c r="N17" s="164"/>
      <c r="Q17" s="164">
        <v>48836.629999999983</v>
      </c>
      <c r="R17" s="164">
        <v>101000.43</v>
      </c>
      <c r="S17" s="164">
        <v>44988.81</v>
      </c>
      <c r="T17" s="164">
        <v>23395.510000000009</v>
      </c>
      <c r="U17" s="164">
        <v>39895.779999999992</v>
      </c>
      <c r="V17" s="164"/>
      <c r="Y17" s="165">
        <v>0.20830224472246431</v>
      </c>
      <c r="Z17" s="165">
        <v>0.23835573474376387</v>
      </c>
      <c r="AA17" s="165">
        <v>0.11244406016223765</v>
      </c>
      <c r="AB17" s="165">
        <v>0.10618202847413606</v>
      </c>
      <c r="AC17" s="165">
        <v>0.11990813644428576</v>
      </c>
      <c r="AD17" s="165"/>
      <c r="AE17" s="163">
        <v>2366662.4900000002</v>
      </c>
      <c r="AF17" s="163">
        <v>370280.60999999993</v>
      </c>
      <c r="AG17" s="168">
        <v>0.15645687188797244</v>
      </c>
    </row>
    <row r="18" spans="1:33" x14ac:dyDescent="0.25">
      <c r="A18" s="101" t="s">
        <v>1149</v>
      </c>
      <c r="B18" s="102" t="s">
        <v>1145</v>
      </c>
      <c r="C18" s="164">
        <v>99498.570000000022</v>
      </c>
      <c r="D18" s="164">
        <v>10798.51</v>
      </c>
      <c r="E18" s="165">
        <v>0.10852929846127435</v>
      </c>
      <c r="F18" s="164">
        <v>224850.44</v>
      </c>
      <c r="G18" s="164">
        <v>18667.36</v>
      </c>
      <c r="H18" s="165">
        <v>8.3021229578203182E-2</v>
      </c>
      <c r="I18" s="164">
        <v>83351.22</v>
      </c>
      <c r="J18" s="164">
        <v>249448.26</v>
      </c>
      <c r="K18" s="164">
        <v>179216.94</v>
      </c>
      <c r="L18" s="164">
        <v>275950.48</v>
      </c>
      <c r="M18" s="164">
        <v>140532.5</v>
      </c>
      <c r="N18" s="164"/>
      <c r="Q18" s="164">
        <v>4588.13</v>
      </c>
      <c r="R18" s="164">
        <v>16763.5</v>
      </c>
      <c r="S18" s="164">
        <v>12713.93</v>
      </c>
      <c r="T18" s="164">
        <v>16744.420000000009</v>
      </c>
      <c r="U18" s="164">
        <v>10355.209999999999</v>
      </c>
      <c r="V18" s="164"/>
      <c r="Y18" s="165">
        <v>5.5045744981297218E-2</v>
      </c>
      <c r="Z18" s="165">
        <v>6.7202312816293047E-2</v>
      </c>
      <c r="AA18" s="165">
        <v>7.0941563894573803E-2</v>
      </c>
      <c r="AB18" s="165">
        <v>6.0679075463104866E-2</v>
      </c>
      <c r="AC18" s="165">
        <v>7.3685517584900287E-2</v>
      </c>
      <c r="AD18" s="165"/>
      <c r="AE18" s="163">
        <v>1252848.4099999999</v>
      </c>
      <c r="AF18" s="163">
        <v>90631.06</v>
      </c>
      <c r="AG18" s="168">
        <v>7.2340004805529504E-2</v>
      </c>
    </row>
    <row r="19" spans="1:33" x14ac:dyDescent="0.25">
      <c r="A19" s="101" t="s">
        <v>1152</v>
      </c>
      <c r="B19" s="102" t="s">
        <v>1145</v>
      </c>
      <c r="C19" s="164">
        <v>73053.900000000009</v>
      </c>
      <c r="D19" s="164">
        <v>1498.33</v>
      </c>
      <c r="E19" s="165">
        <v>2.0509924863696526E-2</v>
      </c>
      <c r="F19" s="164">
        <v>45401.3</v>
      </c>
      <c r="G19" s="164">
        <v>1331.33</v>
      </c>
      <c r="H19" s="165">
        <v>2.9323609676374901E-2</v>
      </c>
      <c r="I19" s="164">
        <v>84981.08</v>
      </c>
      <c r="J19" s="164">
        <v>110704.08</v>
      </c>
      <c r="K19" s="164">
        <v>91250.299999999988</v>
      </c>
      <c r="L19" s="164">
        <v>68344.149999999994</v>
      </c>
      <c r="M19" s="164">
        <v>82738.37</v>
      </c>
      <c r="N19" s="164"/>
      <c r="Q19" s="164">
        <v>2245.94</v>
      </c>
      <c r="R19" s="164">
        <v>2775.9300000000012</v>
      </c>
      <c r="S19" s="164">
        <v>3410.43</v>
      </c>
      <c r="T19" s="164">
        <v>3045.130000000001</v>
      </c>
      <c r="U19" s="164">
        <v>4462.5700000000006</v>
      </c>
      <c r="V19" s="164"/>
      <c r="Y19" s="165">
        <v>2.6428706248496723E-2</v>
      </c>
      <c r="Z19" s="165">
        <v>2.5075227579688129E-2</v>
      </c>
      <c r="AA19" s="165">
        <v>3.7374452467553533E-2</v>
      </c>
      <c r="AB19" s="165">
        <v>4.4555825187671531E-2</v>
      </c>
      <c r="AC19" s="165">
        <v>5.3935918727913069E-2</v>
      </c>
      <c r="AD19" s="165"/>
      <c r="AE19" s="163">
        <v>556473.18000000005</v>
      </c>
      <c r="AF19" s="163">
        <v>18769.660000000003</v>
      </c>
      <c r="AG19" s="168">
        <v>3.3729675884828808E-2</v>
      </c>
    </row>
    <row r="20" spans="1:33" x14ac:dyDescent="0.25">
      <c r="A20" s="101" t="s">
        <v>1153</v>
      </c>
      <c r="B20" s="102" t="s">
        <v>1145</v>
      </c>
      <c r="C20" s="164">
        <v>9105</v>
      </c>
      <c r="D20" s="164">
        <v>4777.9999999999991</v>
      </c>
      <c r="E20" s="165">
        <v>0.52476661175178463</v>
      </c>
      <c r="F20" s="164">
        <v>132859.78</v>
      </c>
      <c r="G20" s="164">
        <v>34424.259999999987</v>
      </c>
      <c r="H20" s="165">
        <v>0.25910219029415815</v>
      </c>
      <c r="I20" s="164">
        <v>152526.48000000001</v>
      </c>
      <c r="J20" s="164">
        <v>58890.420000000013</v>
      </c>
      <c r="K20" s="164">
        <v>47394.170000000013</v>
      </c>
      <c r="L20" s="164">
        <v>43426</v>
      </c>
      <c r="M20" s="164">
        <v>79047.98</v>
      </c>
      <c r="N20" s="164"/>
      <c r="Q20" s="164">
        <v>23074.400000000009</v>
      </c>
      <c r="R20" s="164">
        <v>29558.48</v>
      </c>
      <c r="S20" s="164">
        <v>27862.36</v>
      </c>
      <c r="T20" s="164">
        <v>20600.2</v>
      </c>
      <c r="U20" s="164">
        <v>16710.82</v>
      </c>
      <c r="V20" s="164"/>
      <c r="Y20" s="165">
        <v>0.15128127260263272</v>
      </c>
      <c r="Z20" s="165">
        <v>0.50192340282171521</v>
      </c>
      <c r="AA20" s="165">
        <v>0.58788580958375247</v>
      </c>
      <c r="AB20" s="165">
        <v>0.47437479850780639</v>
      </c>
      <c r="AC20" s="165">
        <v>0.21140097444615283</v>
      </c>
      <c r="AD20" s="165"/>
      <c r="AE20" s="163">
        <v>523249.83000000007</v>
      </c>
      <c r="AF20" s="163">
        <v>157008.52000000002</v>
      </c>
      <c r="AG20" s="168">
        <v>0.30006415864482938</v>
      </c>
    </row>
    <row r="21" spans="1:33" x14ac:dyDescent="0.25">
      <c r="A21" s="101" t="s">
        <v>1154</v>
      </c>
      <c r="B21" s="102" t="s">
        <v>1145</v>
      </c>
      <c r="C21" s="164">
        <v>61919.56</v>
      </c>
      <c r="D21" s="164">
        <v>12601.54</v>
      </c>
      <c r="E21" s="165">
        <v>0.20351468905786801</v>
      </c>
      <c r="F21" s="164">
        <v>57670.460000000006</v>
      </c>
      <c r="G21" s="164">
        <v>7257.8899999999976</v>
      </c>
      <c r="H21" s="165">
        <v>0.12585108563378888</v>
      </c>
      <c r="I21" s="164">
        <v>64466.79</v>
      </c>
      <c r="J21" s="164">
        <v>88777.790000000008</v>
      </c>
      <c r="K21" s="164">
        <v>28039.54</v>
      </c>
      <c r="L21" s="164">
        <v>35702</v>
      </c>
      <c r="M21" s="164">
        <v>63773.95</v>
      </c>
      <c r="N21" s="164"/>
      <c r="Q21" s="164">
        <v>2763.399999999996</v>
      </c>
      <c r="R21" s="164">
        <v>3752.3399999999979</v>
      </c>
      <c r="S21" s="164">
        <v>1401.349999999999</v>
      </c>
      <c r="T21" s="164">
        <v>1919.049999999999</v>
      </c>
      <c r="U21" s="164">
        <v>4594.2900000000063</v>
      </c>
      <c r="V21" s="164"/>
      <c r="Y21" s="165">
        <v>4.2865481591374349E-2</v>
      </c>
      <c r="Z21" s="165">
        <v>4.2266652503965212E-2</v>
      </c>
      <c r="AA21" s="165">
        <v>4.9977638720178678E-2</v>
      </c>
      <c r="AB21" s="165">
        <v>5.3751890650383702E-2</v>
      </c>
      <c r="AC21" s="165">
        <v>7.2040229592176847E-2</v>
      </c>
      <c r="AD21" s="165"/>
      <c r="AE21" s="163">
        <v>400350.08999999997</v>
      </c>
      <c r="AF21" s="163">
        <v>34289.859999999993</v>
      </c>
      <c r="AG21" s="168">
        <v>8.5649687252474446E-2</v>
      </c>
    </row>
    <row r="22" spans="1:33" x14ac:dyDescent="0.25">
      <c r="A22" s="101" t="s">
        <v>1155</v>
      </c>
      <c r="B22" s="102" t="s">
        <v>1145</v>
      </c>
      <c r="C22" s="164">
        <v>3319</v>
      </c>
      <c r="D22" s="164">
        <v>846.00000000000011</v>
      </c>
      <c r="E22" s="165">
        <v>0.25489605302802054</v>
      </c>
      <c r="F22" s="164">
        <v>61177.600000000013</v>
      </c>
      <c r="G22" s="164">
        <v>11276.6</v>
      </c>
      <c r="H22" s="165">
        <v>0.1843256355267287</v>
      </c>
      <c r="I22" s="164">
        <v>75704.95</v>
      </c>
      <c r="J22" s="164">
        <v>46539.73</v>
      </c>
      <c r="K22" s="164">
        <v>53117.399999999987</v>
      </c>
      <c r="L22" s="164">
        <v>21231.83</v>
      </c>
      <c r="M22" s="164">
        <v>110265.92</v>
      </c>
      <c r="N22" s="164"/>
      <c r="Q22" s="164">
        <v>4233.3900000000021</v>
      </c>
      <c r="R22" s="164">
        <v>5247.4500000000025</v>
      </c>
      <c r="S22" s="164">
        <v>4490.2000000000016</v>
      </c>
      <c r="T22" s="164">
        <v>18499.810000000001</v>
      </c>
      <c r="U22" s="164">
        <v>24089.100000000009</v>
      </c>
      <c r="V22" s="164"/>
      <c r="Y22" s="165">
        <v>5.5919593104546035E-2</v>
      </c>
      <c r="Z22" s="165">
        <v>0.11275205077468224</v>
      </c>
      <c r="AA22" s="165">
        <v>8.4533505028484127E-2</v>
      </c>
      <c r="AB22" s="165">
        <v>0.87132432767217893</v>
      </c>
      <c r="AC22" s="165">
        <v>0.21846369213624672</v>
      </c>
      <c r="AD22" s="165"/>
      <c r="AE22" s="163">
        <v>371356.43</v>
      </c>
      <c r="AF22" s="163">
        <v>68682.550000000017</v>
      </c>
      <c r="AG22" s="168">
        <v>0.18495048005497042</v>
      </c>
    </row>
    <row r="23" spans="1:33" x14ac:dyDescent="0.25">
      <c r="A23" s="101" t="s">
        <v>1156</v>
      </c>
      <c r="B23" s="102" t="s">
        <v>1145</v>
      </c>
      <c r="C23" s="164">
        <v>21028.32</v>
      </c>
      <c r="D23" s="164">
        <v>1737.099999999999</v>
      </c>
      <c r="E23" s="165">
        <v>8.260764530880256E-2</v>
      </c>
      <c r="F23" s="164">
        <v>15714.72</v>
      </c>
      <c r="G23" s="164">
        <v>874.5</v>
      </c>
      <c r="H23" s="165">
        <v>5.5648462078866187E-2</v>
      </c>
      <c r="I23" s="164">
        <v>13432.47</v>
      </c>
      <c r="J23" s="164">
        <v>23852.26</v>
      </c>
      <c r="K23" s="164">
        <v>43224.72</v>
      </c>
      <c r="L23" s="164">
        <v>32082.9</v>
      </c>
      <c r="M23" s="164">
        <v>115147.84</v>
      </c>
      <c r="N23" s="164"/>
      <c r="Q23" s="164">
        <v>831.78</v>
      </c>
      <c r="R23" s="164">
        <v>1192.3800000000001</v>
      </c>
      <c r="S23" s="164">
        <v>8109.6600000000008</v>
      </c>
      <c r="T23" s="164">
        <v>1363</v>
      </c>
      <c r="U23" s="164">
        <v>10422.799999999999</v>
      </c>
      <c r="V23" s="164"/>
      <c r="Y23" s="165">
        <v>6.1923086372052197E-2</v>
      </c>
      <c r="Z23" s="165">
        <v>4.9990231533615689E-2</v>
      </c>
      <c r="AA23" s="165">
        <v>0.18761625292193912</v>
      </c>
      <c r="AB23" s="165">
        <v>4.2483690688809299E-2</v>
      </c>
      <c r="AC23" s="165">
        <v>9.0516678384935392E-2</v>
      </c>
      <c r="AD23" s="165"/>
      <c r="AE23" s="163">
        <v>264483.23</v>
      </c>
      <c r="AF23" s="163">
        <v>24531.22</v>
      </c>
      <c r="AG23" s="168">
        <v>9.2751513961773696E-2</v>
      </c>
    </row>
    <row r="24" spans="1:33" x14ac:dyDescent="0.25">
      <c r="A24" s="101" t="s">
        <v>1158</v>
      </c>
      <c r="B24" s="102" t="s">
        <v>1145</v>
      </c>
      <c r="C24" s="164">
        <v>10813.8</v>
      </c>
      <c r="D24" s="164">
        <v>1039.3</v>
      </c>
      <c r="E24" s="165">
        <v>9.6108675951099523E-2</v>
      </c>
      <c r="F24" s="164">
        <v>67248.59</v>
      </c>
      <c r="G24" s="164">
        <v>3206.1299999999978</v>
      </c>
      <c r="H24" s="165">
        <v>4.7675795135630326E-2</v>
      </c>
      <c r="I24" s="164">
        <v>8758.75</v>
      </c>
      <c r="J24" s="164">
        <v>23701.38</v>
      </c>
      <c r="K24" s="164">
        <v>30306.79</v>
      </c>
      <c r="L24" s="164">
        <v>24618.6</v>
      </c>
      <c r="M24" s="164">
        <v>43855.67</v>
      </c>
      <c r="N24" s="164"/>
      <c r="Q24" s="164">
        <v>276.85000000000059</v>
      </c>
      <c r="R24" s="164">
        <v>5742.82</v>
      </c>
      <c r="S24" s="164">
        <v>32077.48</v>
      </c>
      <c r="T24" s="164">
        <v>20540.8</v>
      </c>
      <c r="U24" s="164">
        <v>35613.74</v>
      </c>
      <c r="V24" s="164"/>
      <c r="Y24" s="165">
        <v>3.1608391608391677E-2</v>
      </c>
      <c r="Z24" s="165">
        <v>0.2422989716210617</v>
      </c>
      <c r="AA24" s="165">
        <v>1.0584255211455915</v>
      </c>
      <c r="AB24" s="165">
        <v>0.83436101159286069</v>
      </c>
      <c r="AC24" s="165">
        <v>0.81206694596160545</v>
      </c>
      <c r="AD24" s="165"/>
      <c r="AE24" s="163">
        <v>209303.58000000002</v>
      </c>
      <c r="AF24" s="163">
        <v>98497.12</v>
      </c>
      <c r="AG24" s="168">
        <v>0.47059453068122381</v>
      </c>
    </row>
    <row r="25" spans="1:33" x14ac:dyDescent="0.25">
      <c r="A25" s="101" t="s">
        <v>1159</v>
      </c>
      <c r="B25" s="102" t="s">
        <v>1145</v>
      </c>
      <c r="C25" s="164">
        <v>580.5</v>
      </c>
      <c r="D25" s="164">
        <v>87.000000000000014</v>
      </c>
      <c r="E25" s="165">
        <v>0.14987080103359177</v>
      </c>
      <c r="F25" s="164"/>
      <c r="G25" s="164"/>
      <c r="H25" s="165">
        <v>0</v>
      </c>
      <c r="I25" s="164"/>
      <c r="J25" s="164"/>
      <c r="K25" s="164">
        <v>580.5</v>
      </c>
      <c r="L25" s="164">
        <v>1147.5</v>
      </c>
      <c r="M25" s="164">
        <v>1288.3</v>
      </c>
      <c r="N25" s="164"/>
      <c r="Q25" s="164"/>
      <c r="R25" s="164"/>
      <c r="S25" s="164">
        <v>114.0000000000001</v>
      </c>
      <c r="T25" s="164">
        <v>238.99999999999989</v>
      </c>
      <c r="U25" s="164">
        <v>268.69999999999987</v>
      </c>
      <c r="V25" s="164"/>
      <c r="Y25" s="165">
        <v>0</v>
      </c>
      <c r="Z25" s="165">
        <v>0</v>
      </c>
      <c r="AA25" s="165">
        <v>0.19638242894056865</v>
      </c>
      <c r="AB25" s="165">
        <v>0.2082788671023964</v>
      </c>
      <c r="AC25" s="165">
        <v>0.20856943258557781</v>
      </c>
      <c r="AD25" s="165"/>
      <c r="AE25" s="163">
        <v>3596.8</v>
      </c>
      <c r="AF25" s="163">
        <v>708.69999999999982</v>
      </c>
      <c r="AG25" s="168">
        <v>0.19703625444839851</v>
      </c>
    </row>
    <row r="26" spans="1:33" ht="15.75" thickBot="1" x14ac:dyDescent="0.3">
      <c r="A26" s="187" t="s">
        <v>1163</v>
      </c>
      <c r="B26" s="188"/>
      <c r="C26" s="189">
        <f t="shared" ref="C26:U26" si="10">SUM(C16:C25)</f>
        <v>839371.4800000001</v>
      </c>
      <c r="D26" s="189">
        <f>SUM(D16:D25)</f>
        <v>132018.53</v>
      </c>
      <c r="E26" s="190">
        <f>D26/C26</f>
        <v>0.15728260150082771</v>
      </c>
      <c r="F26" s="201">
        <f t="shared" si="10"/>
        <v>1574947.4500000002</v>
      </c>
      <c r="G26" s="189">
        <f>SUM(G16:G25)</f>
        <v>219558.79999999993</v>
      </c>
      <c r="H26" s="190">
        <f>G26/F26</f>
        <v>0.13940706402616793</v>
      </c>
      <c r="I26" s="201">
        <f t="shared" si="10"/>
        <v>1284927.6999999997</v>
      </c>
      <c r="J26" s="201">
        <f t="shared" si="10"/>
        <v>1487838.86</v>
      </c>
      <c r="K26" s="201">
        <f t="shared" si="10"/>
        <v>1249828.0499999998</v>
      </c>
      <c r="L26" s="201">
        <f t="shared" si="10"/>
        <v>1062281.27</v>
      </c>
      <c r="M26" s="201">
        <f t="shared" si="10"/>
        <v>1197455.8399999999</v>
      </c>
      <c r="N26" s="201"/>
      <c r="Q26" s="189">
        <f t="shared" si="10"/>
        <v>186889.79</v>
      </c>
      <c r="R26" s="189">
        <f t="shared" si="10"/>
        <v>277543.92000000004</v>
      </c>
      <c r="S26" s="189">
        <f t="shared" si="10"/>
        <v>198912.9</v>
      </c>
      <c r="T26" s="189">
        <f t="shared" si="10"/>
        <v>153673.61000000002</v>
      </c>
      <c r="U26" s="189">
        <f t="shared" si="10"/>
        <v>185057.38</v>
      </c>
      <c r="V26" s="189"/>
      <c r="Y26" s="190">
        <f t="shared" ref="Y26" si="11">Q26/I26</f>
        <v>0.145447708847743</v>
      </c>
      <c r="Z26" s="190">
        <f t="shared" ref="Z26" si="12">R26/J26</f>
        <v>0.1865416527701125</v>
      </c>
      <c r="AA26" s="190">
        <f t="shared" ref="AA26" si="13">S26/K26</f>
        <v>0.15915221297841733</v>
      </c>
      <c r="AB26" s="190">
        <f t="shared" ref="AB26" si="14">T26/L26</f>
        <v>0.14466376687598004</v>
      </c>
      <c r="AC26" s="190">
        <f t="shared" ref="AC26" si="15">U26/M26</f>
        <v>0.15454213326146543</v>
      </c>
      <c r="AD26" s="190"/>
      <c r="AE26" s="201">
        <f>SUM(AE16:AE25)</f>
        <v>8696650.6500000004</v>
      </c>
      <c r="AF26" s="201">
        <f>SUM(AF16:AF25)</f>
        <v>1353654.93</v>
      </c>
      <c r="AG26" s="191">
        <f>AF26/AE26</f>
        <v>0.15565244419700819</v>
      </c>
    </row>
    <row r="27" spans="1:33" x14ac:dyDescent="0.25">
      <c r="A27" s="264" t="s">
        <v>1264</v>
      </c>
      <c r="C27" s="166">
        <v>6816905.6900000013</v>
      </c>
      <c r="D27" s="166">
        <v>1933752.5665079367</v>
      </c>
      <c r="F27" s="166">
        <v>8317894.6299999999</v>
      </c>
      <c r="G27" s="166">
        <v>3726856.85775238</v>
      </c>
      <c r="I27" s="166">
        <v>6797795.1699999971</v>
      </c>
      <c r="J27" s="166">
        <v>7138975.7500000019</v>
      </c>
      <c r="K27" s="166">
        <v>7722640.8899999987</v>
      </c>
      <c r="L27" s="166">
        <v>6985004.6000000006</v>
      </c>
      <c r="M27" s="166">
        <v>8446454.0200000033</v>
      </c>
      <c r="N27" s="166"/>
      <c r="Q27" s="166">
        <v>2560350.8566666655</v>
      </c>
      <c r="R27" s="166">
        <v>2721575.2472999999</v>
      </c>
      <c r="S27" s="166">
        <v>2607150.4995777789</v>
      </c>
      <c r="T27" s="166">
        <v>2049314.6102000007</v>
      </c>
      <c r="U27" s="166">
        <v>2724211.6084999992</v>
      </c>
      <c r="V27" s="208"/>
      <c r="AE27" s="167">
        <v>52225670.749999993</v>
      </c>
      <c r="AF27" s="167">
        <v>18323212.246504761</v>
      </c>
      <c r="AG27" s="213">
        <f>AF27/AE27</f>
        <v>0.35084685334567511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workbookViewId="0"/>
  </sheetViews>
  <sheetFormatPr defaultRowHeight="15" x14ac:dyDescent="0.25"/>
  <cols>
    <col min="1" max="1" width="14.42578125" bestFit="1" customWidth="1"/>
    <col min="2" max="2" width="14.42578125" customWidth="1"/>
    <col min="3" max="3" width="13.140625" bestFit="1" customWidth="1"/>
    <col min="4" max="4" width="64" style="262" bestFit="1" customWidth="1"/>
    <col min="5" max="5" width="14.42578125" hidden="1" customWidth="1"/>
    <col min="6" max="6" width="15.140625" bestFit="1" customWidth="1"/>
    <col min="7" max="7" width="21.42578125" style="262" bestFit="1" customWidth="1"/>
    <col min="8" max="8" width="17.5703125" style="132" bestFit="1" customWidth="1"/>
    <col min="10" max="10" width="14.42578125" hidden="1" customWidth="1"/>
    <col min="11" max="11" width="14.140625" hidden="1" customWidth="1"/>
    <col min="13" max="13" width="21.42578125" bestFit="1" customWidth="1"/>
    <col min="14" max="14" width="14.140625" bestFit="1" customWidth="1"/>
  </cols>
  <sheetData>
    <row r="1" spans="1:14" x14ac:dyDescent="0.25">
      <c r="A1" s="241" t="s">
        <v>1181</v>
      </c>
      <c r="B1" s="241" t="s">
        <v>1254</v>
      </c>
      <c r="C1" s="241" t="s">
        <v>0</v>
      </c>
      <c r="D1" s="241" t="s">
        <v>1184</v>
      </c>
      <c r="E1" s="241" t="s">
        <v>1181</v>
      </c>
      <c r="F1" s="241" t="s">
        <v>1185</v>
      </c>
      <c r="G1" s="241" t="s">
        <v>1186</v>
      </c>
      <c r="H1" s="241" t="s">
        <v>1173</v>
      </c>
    </row>
    <row r="2" spans="1:14" x14ac:dyDescent="0.25">
      <c r="A2" s="102" t="s">
        <v>1140</v>
      </c>
      <c r="B2" s="102" t="s">
        <v>1138</v>
      </c>
      <c r="C2" s="102" t="s">
        <v>277</v>
      </c>
      <c r="D2" s="260" t="s">
        <v>278</v>
      </c>
      <c r="E2" s="102" t="s">
        <v>1140</v>
      </c>
      <c r="F2" s="205">
        <v>46062</v>
      </c>
      <c r="G2" s="263" t="s">
        <v>1165</v>
      </c>
      <c r="H2" s="31" t="s">
        <v>1246</v>
      </c>
      <c r="J2" s="269" t="s">
        <v>1182</v>
      </c>
      <c r="K2" s="269"/>
      <c r="M2" s="269" t="s">
        <v>1183</v>
      </c>
      <c r="N2" s="269"/>
    </row>
    <row r="3" spans="1:14" x14ac:dyDescent="0.25">
      <c r="A3" s="102" t="s">
        <v>1148</v>
      </c>
      <c r="B3" s="102" t="s">
        <v>1143</v>
      </c>
      <c r="C3" s="102"/>
      <c r="D3" s="260" t="s">
        <v>1187</v>
      </c>
      <c r="E3" s="102" t="s">
        <v>1148</v>
      </c>
      <c r="F3" s="205">
        <v>46066</v>
      </c>
      <c r="G3" s="263" t="s">
        <v>1168</v>
      </c>
      <c r="H3" s="31" t="s">
        <v>1246</v>
      </c>
      <c r="J3" s="204" t="s">
        <v>1181</v>
      </c>
      <c r="K3" s="204" t="s">
        <v>1172</v>
      </c>
      <c r="M3" s="202" t="s">
        <v>1173</v>
      </c>
      <c r="N3" s="202" t="s">
        <v>1172</v>
      </c>
    </row>
    <row r="4" spans="1:14" x14ac:dyDescent="0.25">
      <c r="A4" s="102" t="s">
        <v>1139</v>
      </c>
      <c r="B4" s="102" t="s">
        <v>1136</v>
      </c>
      <c r="C4" s="102">
        <v>5028</v>
      </c>
      <c r="D4" s="260" t="s">
        <v>1188</v>
      </c>
      <c r="E4" s="102" t="s">
        <v>1139</v>
      </c>
      <c r="F4" s="205">
        <v>46079</v>
      </c>
      <c r="G4" s="263" t="s">
        <v>1168</v>
      </c>
      <c r="H4" s="31" t="s">
        <v>1246</v>
      </c>
      <c r="J4" s="31" t="s">
        <v>1174</v>
      </c>
      <c r="K4" s="31">
        <v>2</v>
      </c>
      <c r="M4" s="31" t="s">
        <v>1166</v>
      </c>
      <c r="N4" s="31">
        <v>0</v>
      </c>
    </row>
    <row r="5" spans="1:14" x14ac:dyDescent="0.25">
      <c r="A5" s="102" t="s">
        <v>1139</v>
      </c>
      <c r="B5" s="102" t="s">
        <v>1136</v>
      </c>
      <c r="C5" s="102">
        <v>360</v>
      </c>
      <c r="D5" s="260" t="s">
        <v>313</v>
      </c>
      <c r="E5" s="102" t="s">
        <v>1139</v>
      </c>
      <c r="F5" s="205">
        <v>46101</v>
      </c>
      <c r="G5" s="263" t="s">
        <v>1165</v>
      </c>
      <c r="H5" s="31" t="s">
        <v>1246</v>
      </c>
      <c r="J5" s="31" t="s">
        <v>1149</v>
      </c>
      <c r="K5" s="31">
        <v>1</v>
      </c>
      <c r="M5" s="31" t="s">
        <v>1168</v>
      </c>
      <c r="N5" s="31">
        <v>3</v>
      </c>
    </row>
    <row r="6" spans="1:14" x14ac:dyDescent="0.25">
      <c r="A6" s="102" t="s">
        <v>1139</v>
      </c>
      <c r="B6" s="102" t="s">
        <v>1136</v>
      </c>
      <c r="C6" s="102">
        <v>5029</v>
      </c>
      <c r="D6" s="260" t="s">
        <v>14</v>
      </c>
      <c r="E6" s="102" t="s">
        <v>1139</v>
      </c>
      <c r="F6" s="205">
        <v>46086</v>
      </c>
      <c r="G6" s="263" t="s">
        <v>1165</v>
      </c>
      <c r="H6" s="31" t="s">
        <v>1246</v>
      </c>
      <c r="J6" s="31" t="s">
        <v>1175</v>
      </c>
      <c r="K6" s="31">
        <v>2</v>
      </c>
      <c r="M6" s="31" t="s">
        <v>1170</v>
      </c>
      <c r="N6" s="31">
        <v>3</v>
      </c>
    </row>
    <row r="7" spans="1:14" x14ac:dyDescent="0.25">
      <c r="A7" s="102" t="s">
        <v>1139</v>
      </c>
      <c r="B7" s="102" t="s">
        <v>1136</v>
      </c>
      <c r="C7" s="102">
        <v>5040</v>
      </c>
      <c r="D7" s="260" t="s">
        <v>829</v>
      </c>
      <c r="E7" s="102" t="s">
        <v>1139</v>
      </c>
      <c r="F7" s="205">
        <v>46101</v>
      </c>
      <c r="G7" s="263" t="s">
        <v>1165</v>
      </c>
      <c r="H7" s="31" t="s">
        <v>1246</v>
      </c>
      <c r="J7" s="31" t="s">
        <v>1140</v>
      </c>
      <c r="K7" s="31">
        <v>9</v>
      </c>
      <c r="M7" s="31" t="s">
        <v>1167</v>
      </c>
      <c r="N7" s="31">
        <v>4</v>
      </c>
    </row>
    <row r="8" spans="1:14" x14ac:dyDescent="0.25">
      <c r="A8" s="102" t="s">
        <v>1135</v>
      </c>
      <c r="B8" s="102" t="s">
        <v>1136</v>
      </c>
      <c r="C8" s="102">
        <v>163</v>
      </c>
      <c r="D8" s="260" t="s">
        <v>1189</v>
      </c>
      <c r="E8" s="102" t="s">
        <v>1135</v>
      </c>
      <c r="F8" s="205">
        <v>46090</v>
      </c>
      <c r="G8" s="263" t="s">
        <v>1165</v>
      </c>
      <c r="H8" s="31" t="s">
        <v>1246</v>
      </c>
      <c r="J8" s="31" t="s">
        <v>1176</v>
      </c>
      <c r="K8" s="31">
        <v>2</v>
      </c>
      <c r="M8" s="31" t="s">
        <v>1164</v>
      </c>
      <c r="N8" s="31">
        <v>7</v>
      </c>
    </row>
    <row r="9" spans="1:14" x14ac:dyDescent="0.25">
      <c r="A9" s="102" t="s">
        <v>1140</v>
      </c>
      <c r="B9" s="102" t="s">
        <v>1138</v>
      </c>
      <c r="C9" s="102" t="s">
        <v>802</v>
      </c>
      <c r="D9" s="260" t="s">
        <v>845</v>
      </c>
      <c r="E9" s="102" t="s">
        <v>1140</v>
      </c>
      <c r="F9" s="205">
        <v>46106</v>
      </c>
      <c r="G9" s="263" t="s">
        <v>1165</v>
      </c>
      <c r="H9" s="31" t="s">
        <v>1246</v>
      </c>
      <c r="J9" s="31" t="s">
        <v>1137</v>
      </c>
      <c r="K9" s="31">
        <v>2</v>
      </c>
      <c r="M9" s="31" t="s">
        <v>1165</v>
      </c>
      <c r="N9" s="31">
        <v>26</v>
      </c>
    </row>
    <row r="10" spans="1:14" x14ac:dyDescent="0.25">
      <c r="A10" s="102" t="s">
        <v>1139</v>
      </c>
      <c r="B10" s="102" t="s">
        <v>1136</v>
      </c>
      <c r="C10" s="102" t="s">
        <v>1190</v>
      </c>
      <c r="D10" s="260" t="s">
        <v>1191</v>
      </c>
      <c r="E10" s="102" t="s">
        <v>1139</v>
      </c>
      <c r="F10" s="205">
        <v>46108</v>
      </c>
      <c r="G10" s="263" t="s">
        <v>1167</v>
      </c>
      <c r="H10" s="31" t="s">
        <v>1246</v>
      </c>
      <c r="J10" s="31" t="s">
        <v>1135</v>
      </c>
      <c r="K10" s="31">
        <v>16</v>
      </c>
      <c r="M10" s="31" t="s">
        <v>1169</v>
      </c>
      <c r="N10" s="31">
        <v>32</v>
      </c>
    </row>
    <row r="11" spans="1:14" x14ac:dyDescent="0.25">
      <c r="A11" s="102" t="s">
        <v>1153</v>
      </c>
      <c r="B11" s="102" t="s">
        <v>1145</v>
      </c>
      <c r="C11" s="102">
        <v>1101</v>
      </c>
      <c r="D11" s="260" t="s">
        <v>1192</v>
      </c>
      <c r="E11" s="102" t="s">
        <v>1153</v>
      </c>
      <c r="F11" s="205">
        <v>46106</v>
      </c>
      <c r="G11" s="263" t="s">
        <v>1165</v>
      </c>
      <c r="H11" s="31" t="s">
        <v>1246</v>
      </c>
      <c r="J11" s="31" t="s">
        <v>1177</v>
      </c>
      <c r="K11" s="31">
        <v>2</v>
      </c>
      <c r="M11" s="203" t="s">
        <v>1171</v>
      </c>
      <c r="N11" s="203">
        <v>75</v>
      </c>
    </row>
    <row r="12" spans="1:14" x14ac:dyDescent="0.25">
      <c r="A12" s="102" t="s">
        <v>1141</v>
      </c>
      <c r="B12" s="102" t="s">
        <v>1138</v>
      </c>
      <c r="C12" s="102">
        <v>5248</v>
      </c>
      <c r="D12" s="260" t="s">
        <v>1193</v>
      </c>
      <c r="E12" s="102" t="s">
        <v>1141</v>
      </c>
      <c r="F12" s="205">
        <v>46121</v>
      </c>
      <c r="G12" s="263" t="s">
        <v>1165</v>
      </c>
      <c r="H12" s="31" t="s">
        <v>1246</v>
      </c>
      <c r="J12" s="31" t="s">
        <v>1148</v>
      </c>
      <c r="K12" s="31">
        <v>5</v>
      </c>
    </row>
    <row r="13" spans="1:14" x14ac:dyDescent="0.25">
      <c r="A13" s="102" t="s">
        <v>1137</v>
      </c>
      <c r="B13" s="102" t="s">
        <v>1138</v>
      </c>
      <c r="C13" s="102">
        <v>5296</v>
      </c>
      <c r="D13" s="261" t="s">
        <v>524</v>
      </c>
      <c r="E13" s="102" t="s">
        <v>1137</v>
      </c>
      <c r="F13" s="205">
        <v>46142</v>
      </c>
      <c r="G13" s="263" t="s">
        <v>1165</v>
      </c>
      <c r="H13" s="31" t="s">
        <v>1246</v>
      </c>
      <c r="J13" s="31" t="s">
        <v>1141</v>
      </c>
      <c r="K13" s="31">
        <v>2</v>
      </c>
    </row>
    <row r="14" spans="1:14" x14ac:dyDescent="0.25">
      <c r="A14" s="102" t="s">
        <v>1135</v>
      </c>
      <c r="B14" s="102" t="s">
        <v>1136</v>
      </c>
      <c r="C14" s="102">
        <v>6813</v>
      </c>
      <c r="D14" s="260" t="s">
        <v>1194</v>
      </c>
      <c r="E14" s="102" t="s">
        <v>1135</v>
      </c>
      <c r="F14" s="205">
        <v>46126</v>
      </c>
      <c r="G14" s="263" t="s">
        <v>1170</v>
      </c>
      <c r="H14" s="31" t="s">
        <v>1246</v>
      </c>
      <c r="J14" s="31" t="s">
        <v>1178</v>
      </c>
      <c r="K14" s="31">
        <v>1</v>
      </c>
    </row>
    <row r="15" spans="1:14" x14ac:dyDescent="0.25">
      <c r="A15" s="102" t="s">
        <v>1139</v>
      </c>
      <c r="B15" s="102" t="s">
        <v>1136</v>
      </c>
      <c r="C15" s="102">
        <v>8500</v>
      </c>
      <c r="D15" s="260" t="s">
        <v>1195</v>
      </c>
      <c r="E15" s="102" t="s">
        <v>1139</v>
      </c>
      <c r="F15" s="205">
        <v>46134</v>
      </c>
      <c r="G15" s="263" t="s">
        <v>1170</v>
      </c>
      <c r="H15" s="31" t="s">
        <v>1246</v>
      </c>
      <c r="J15" s="31" t="s">
        <v>1179</v>
      </c>
      <c r="K15" s="31">
        <v>8</v>
      </c>
    </row>
    <row r="16" spans="1:14" x14ac:dyDescent="0.25">
      <c r="A16" s="102" t="s">
        <v>1139</v>
      </c>
      <c r="B16" s="102" t="s">
        <v>1136</v>
      </c>
      <c r="C16" s="102"/>
      <c r="D16" s="260" t="s">
        <v>1196</v>
      </c>
      <c r="E16" s="102" t="s">
        <v>1139</v>
      </c>
      <c r="F16" s="205">
        <v>46113</v>
      </c>
      <c r="G16" s="263" t="s">
        <v>1167</v>
      </c>
      <c r="H16" s="31" t="s">
        <v>1246</v>
      </c>
      <c r="J16" s="31" t="s">
        <v>1153</v>
      </c>
      <c r="K16" s="31">
        <v>1</v>
      </c>
    </row>
    <row r="17" spans="1:11" x14ac:dyDescent="0.25">
      <c r="A17" s="102" t="s">
        <v>1174</v>
      </c>
      <c r="B17" s="102" t="s">
        <v>1138</v>
      </c>
      <c r="C17" s="102"/>
      <c r="D17" s="261" t="s">
        <v>1197</v>
      </c>
      <c r="E17" s="102" t="s">
        <v>1174</v>
      </c>
      <c r="F17" s="205">
        <v>46170</v>
      </c>
      <c r="G17" s="263" t="s">
        <v>1166</v>
      </c>
      <c r="H17" s="31" t="s">
        <v>1246</v>
      </c>
      <c r="J17" s="31" t="s">
        <v>1147</v>
      </c>
      <c r="K17" s="31">
        <v>3</v>
      </c>
    </row>
    <row r="18" spans="1:11" x14ac:dyDescent="0.25">
      <c r="A18" s="102" t="s">
        <v>1174</v>
      </c>
      <c r="B18" s="102" t="s">
        <v>1138</v>
      </c>
      <c r="C18" s="102"/>
      <c r="D18" s="261" t="s">
        <v>1198</v>
      </c>
      <c r="E18" s="102" t="s">
        <v>1174</v>
      </c>
      <c r="F18" s="205">
        <v>46170</v>
      </c>
      <c r="G18" s="263" t="s">
        <v>1166</v>
      </c>
      <c r="H18" s="31" t="s">
        <v>1246</v>
      </c>
      <c r="J18" s="31" t="s">
        <v>1180</v>
      </c>
      <c r="K18" s="31">
        <v>5</v>
      </c>
    </row>
    <row r="19" spans="1:11" x14ac:dyDescent="0.25">
      <c r="A19" s="102" t="s">
        <v>1140</v>
      </c>
      <c r="B19" s="102" t="s">
        <v>1138</v>
      </c>
      <c r="C19" s="102" t="s">
        <v>498</v>
      </c>
      <c r="D19" s="260" t="s">
        <v>499</v>
      </c>
      <c r="E19" s="102" t="s">
        <v>1140</v>
      </c>
      <c r="F19" s="205">
        <v>46156</v>
      </c>
      <c r="G19" s="263" t="s">
        <v>1167</v>
      </c>
      <c r="H19" s="31" t="s">
        <v>1246</v>
      </c>
      <c r="J19" s="31" t="s">
        <v>1139</v>
      </c>
      <c r="K19" s="31">
        <v>14</v>
      </c>
    </row>
    <row r="20" spans="1:11" x14ac:dyDescent="0.25">
      <c r="A20" s="102" t="s">
        <v>1137</v>
      </c>
      <c r="B20" s="102" t="s">
        <v>1138</v>
      </c>
      <c r="C20" s="102">
        <v>2366</v>
      </c>
      <c r="D20" s="260" t="s">
        <v>1199</v>
      </c>
      <c r="E20" s="102" t="s">
        <v>1137</v>
      </c>
      <c r="F20" s="205">
        <v>46148</v>
      </c>
      <c r="G20" s="263" t="s">
        <v>1168</v>
      </c>
      <c r="H20" s="31" t="s">
        <v>1246</v>
      </c>
      <c r="J20" s="203" t="s">
        <v>1171</v>
      </c>
      <c r="K20" s="203">
        <v>75</v>
      </c>
    </row>
    <row r="21" spans="1:11" x14ac:dyDescent="0.25">
      <c r="A21" s="102" t="s">
        <v>1135</v>
      </c>
      <c r="B21" s="102" t="s">
        <v>1136</v>
      </c>
      <c r="C21" s="102">
        <v>5045</v>
      </c>
      <c r="D21" s="260" t="s">
        <v>1200</v>
      </c>
      <c r="E21" s="102" t="s">
        <v>1135</v>
      </c>
      <c r="F21" s="205">
        <v>46161</v>
      </c>
      <c r="G21" s="263" t="s">
        <v>1167</v>
      </c>
      <c r="H21" s="31" t="s">
        <v>1246</v>
      </c>
    </row>
    <row r="22" spans="1:11" x14ac:dyDescent="0.25">
      <c r="A22" s="102" t="s">
        <v>1178</v>
      </c>
      <c r="B22" s="102" t="s">
        <v>1145</v>
      </c>
      <c r="C22" s="102" t="s">
        <v>60</v>
      </c>
      <c r="D22" s="261" t="s">
        <v>61</v>
      </c>
      <c r="E22" s="102" t="s">
        <v>1178</v>
      </c>
      <c r="F22" s="205">
        <v>46162</v>
      </c>
      <c r="G22" s="263" t="s">
        <v>1165</v>
      </c>
      <c r="H22" s="31" t="s">
        <v>1246</v>
      </c>
    </row>
    <row r="23" spans="1:11" x14ac:dyDescent="0.25">
      <c r="A23" s="102" t="s">
        <v>1148</v>
      </c>
      <c r="B23" s="102" t="s">
        <v>1143</v>
      </c>
      <c r="C23" s="102" t="s">
        <v>798</v>
      </c>
      <c r="D23" s="260" t="s">
        <v>841</v>
      </c>
      <c r="E23" s="102" t="s">
        <v>1148</v>
      </c>
      <c r="F23" s="205">
        <v>46157</v>
      </c>
      <c r="G23" s="263" t="s">
        <v>1165</v>
      </c>
      <c r="H23" s="31" t="s">
        <v>1246</v>
      </c>
    </row>
    <row r="24" spans="1:11" x14ac:dyDescent="0.25">
      <c r="A24" s="102" t="s">
        <v>1146</v>
      </c>
      <c r="B24" s="102" t="s">
        <v>1145</v>
      </c>
      <c r="C24" s="102" t="s">
        <v>807</v>
      </c>
      <c r="D24" s="261" t="s">
        <v>850</v>
      </c>
      <c r="E24" s="102" t="s">
        <v>1146</v>
      </c>
      <c r="F24" s="205">
        <v>46156</v>
      </c>
      <c r="G24" s="263" t="s">
        <v>1165</v>
      </c>
      <c r="H24" s="31" t="s">
        <v>1246</v>
      </c>
    </row>
    <row r="25" spans="1:11" x14ac:dyDescent="0.25">
      <c r="A25" s="102" t="s">
        <v>1139</v>
      </c>
      <c r="B25" s="102" t="s">
        <v>1136</v>
      </c>
      <c r="C25" s="102">
        <v>5045</v>
      </c>
      <c r="D25" s="261" t="s">
        <v>1200</v>
      </c>
      <c r="E25" s="102" t="s">
        <v>1139</v>
      </c>
      <c r="F25" s="205">
        <v>46160</v>
      </c>
      <c r="G25" s="263" t="s">
        <v>1167</v>
      </c>
      <c r="H25" s="31" t="s">
        <v>1246</v>
      </c>
    </row>
    <row r="26" spans="1:11" x14ac:dyDescent="0.25">
      <c r="A26" s="102" t="s">
        <v>1146</v>
      </c>
      <c r="B26" s="102" t="s">
        <v>1145</v>
      </c>
      <c r="C26" s="102">
        <v>1237</v>
      </c>
      <c r="D26" s="260" t="s">
        <v>1201</v>
      </c>
      <c r="E26" s="102" t="s">
        <v>1146</v>
      </c>
      <c r="F26" s="205">
        <v>46195</v>
      </c>
      <c r="G26" s="263" t="s">
        <v>1165</v>
      </c>
      <c r="H26" s="31" t="s">
        <v>1246</v>
      </c>
    </row>
    <row r="27" spans="1:11" x14ac:dyDescent="0.25">
      <c r="A27" s="102" t="s">
        <v>1147</v>
      </c>
      <c r="B27" s="102" t="s">
        <v>1143</v>
      </c>
      <c r="C27" s="102">
        <v>5426</v>
      </c>
      <c r="D27" s="261" t="s">
        <v>1202</v>
      </c>
      <c r="E27" s="102" t="s">
        <v>1147</v>
      </c>
      <c r="F27" s="205">
        <v>46184</v>
      </c>
      <c r="G27" s="263" t="s">
        <v>1165</v>
      </c>
      <c r="H27" s="31" t="s">
        <v>1246</v>
      </c>
    </row>
    <row r="28" spans="1:11" x14ac:dyDescent="0.25">
      <c r="A28" s="102" t="s">
        <v>1179</v>
      </c>
      <c r="B28" s="102" t="s">
        <v>1143</v>
      </c>
      <c r="C28" s="102">
        <v>5591</v>
      </c>
      <c r="D28" s="261" t="s">
        <v>1203</v>
      </c>
      <c r="E28" s="102" t="s">
        <v>1179</v>
      </c>
      <c r="F28" s="205">
        <v>46184</v>
      </c>
      <c r="G28" s="263" t="s">
        <v>1165</v>
      </c>
      <c r="H28" s="31" t="s">
        <v>1246</v>
      </c>
    </row>
    <row r="29" spans="1:11" x14ac:dyDescent="0.25">
      <c r="A29" s="102" t="s">
        <v>1135</v>
      </c>
      <c r="B29" s="102" t="s">
        <v>1136</v>
      </c>
      <c r="C29" s="102" t="s">
        <v>1204</v>
      </c>
      <c r="D29" s="261" t="s">
        <v>1205</v>
      </c>
      <c r="E29" s="102" t="s">
        <v>1135</v>
      </c>
      <c r="F29" s="205">
        <v>46177</v>
      </c>
      <c r="G29" s="263" t="s">
        <v>1165</v>
      </c>
      <c r="H29" s="31" t="s">
        <v>1246</v>
      </c>
    </row>
    <row r="30" spans="1:11" x14ac:dyDescent="0.25">
      <c r="A30" s="102" t="s">
        <v>1135</v>
      </c>
      <c r="B30" s="102" t="s">
        <v>1136</v>
      </c>
      <c r="C30" s="102" t="s">
        <v>1206</v>
      </c>
      <c r="D30" s="261" t="s">
        <v>1207</v>
      </c>
      <c r="E30" s="102" t="s">
        <v>1135</v>
      </c>
      <c r="F30" s="205">
        <v>46197</v>
      </c>
      <c r="G30" s="263" t="s">
        <v>1165</v>
      </c>
      <c r="H30" s="31" t="s">
        <v>1246</v>
      </c>
    </row>
    <row r="31" spans="1:11" x14ac:dyDescent="0.25">
      <c r="A31" s="102" t="s">
        <v>1148</v>
      </c>
      <c r="B31" s="102" t="s">
        <v>1143</v>
      </c>
      <c r="C31" s="102">
        <v>5458</v>
      </c>
      <c r="D31" s="261" t="s">
        <v>310</v>
      </c>
      <c r="E31" s="102" t="s">
        <v>1148</v>
      </c>
      <c r="F31" s="205">
        <v>46185</v>
      </c>
      <c r="G31" s="263" t="s">
        <v>1165</v>
      </c>
      <c r="H31" s="31" t="s">
        <v>1246</v>
      </c>
    </row>
    <row r="32" spans="1:11" x14ac:dyDescent="0.25">
      <c r="A32" s="102" t="s">
        <v>1148</v>
      </c>
      <c r="B32" s="102" t="s">
        <v>1143</v>
      </c>
      <c r="C32" s="102" t="s">
        <v>1208</v>
      </c>
      <c r="D32" s="261" t="s">
        <v>1209</v>
      </c>
      <c r="E32" s="102" t="s">
        <v>1148</v>
      </c>
      <c r="F32" s="205">
        <v>46178</v>
      </c>
      <c r="G32" s="263" t="s">
        <v>1165</v>
      </c>
      <c r="H32" s="31" t="s">
        <v>1246</v>
      </c>
    </row>
    <row r="33" spans="1:8" x14ac:dyDescent="0.25">
      <c r="A33" s="102" t="s">
        <v>1148</v>
      </c>
      <c r="B33" s="102" t="s">
        <v>1143</v>
      </c>
      <c r="C33" s="102" t="s">
        <v>1210</v>
      </c>
      <c r="D33" s="261" t="s">
        <v>1211</v>
      </c>
      <c r="E33" s="102" t="s">
        <v>1148</v>
      </c>
      <c r="F33" s="205">
        <v>46195</v>
      </c>
      <c r="G33" s="263" t="s">
        <v>1168</v>
      </c>
      <c r="H33" s="31" t="s">
        <v>1246</v>
      </c>
    </row>
    <row r="34" spans="1:8" x14ac:dyDescent="0.25">
      <c r="A34" s="102" t="s">
        <v>1175</v>
      </c>
      <c r="B34" s="102" t="s">
        <v>1145</v>
      </c>
      <c r="C34" s="102" t="s">
        <v>335</v>
      </c>
      <c r="D34" s="261" t="s">
        <v>336</v>
      </c>
      <c r="E34" s="102" t="s">
        <v>1175</v>
      </c>
      <c r="F34" s="205">
        <v>46178</v>
      </c>
      <c r="G34" s="263" t="s">
        <v>1165</v>
      </c>
      <c r="H34" s="31" t="s">
        <v>1246</v>
      </c>
    </row>
    <row r="35" spans="1:8" x14ac:dyDescent="0.25">
      <c r="A35" s="102" t="s">
        <v>1179</v>
      </c>
      <c r="B35" s="102" t="s">
        <v>1143</v>
      </c>
      <c r="C35" s="102">
        <v>170</v>
      </c>
      <c r="D35" s="261" t="s">
        <v>1212</v>
      </c>
      <c r="E35" s="102" t="s">
        <v>1179</v>
      </c>
      <c r="F35" s="205">
        <v>46178</v>
      </c>
      <c r="G35" s="263" t="s">
        <v>1165</v>
      </c>
      <c r="H35" s="31" t="s">
        <v>1246</v>
      </c>
    </row>
    <row r="36" spans="1:8" x14ac:dyDescent="0.25">
      <c r="A36" s="102" t="s">
        <v>1179</v>
      </c>
      <c r="B36" s="102" t="s">
        <v>1143</v>
      </c>
      <c r="C36" s="102">
        <v>294</v>
      </c>
      <c r="D36" s="261" t="s">
        <v>1213</v>
      </c>
      <c r="E36" s="102" t="s">
        <v>1179</v>
      </c>
      <c r="F36" s="205">
        <v>46178</v>
      </c>
      <c r="G36" s="263" t="s">
        <v>1165</v>
      </c>
      <c r="H36" s="31" t="s">
        <v>1246</v>
      </c>
    </row>
    <row r="37" spans="1:8" x14ac:dyDescent="0.25">
      <c r="A37" s="102" t="s">
        <v>1179</v>
      </c>
      <c r="B37" s="102" t="s">
        <v>1143</v>
      </c>
      <c r="C37" s="102">
        <v>5458</v>
      </c>
      <c r="D37" s="261" t="s">
        <v>1214</v>
      </c>
      <c r="E37" s="102" t="s">
        <v>1179</v>
      </c>
      <c r="F37" s="205">
        <v>46203</v>
      </c>
      <c r="G37" s="263" t="s">
        <v>1165</v>
      </c>
      <c r="H37" s="31" t="s">
        <v>1246</v>
      </c>
    </row>
    <row r="38" spans="1:8" x14ac:dyDescent="0.25">
      <c r="A38" s="102" t="s">
        <v>1179</v>
      </c>
      <c r="B38" s="102" t="s">
        <v>1143</v>
      </c>
      <c r="C38" s="102">
        <v>6031</v>
      </c>
      <c r="D38" s="261" t="s">
        <v>1215</v>
      </c>
      <c r="E38" s="102" t="s">
        <v>1179</v>
      </c>
      <c r="F38" s="205">
        <v>46178</v>
      </c>
      <c r="G38" s="263" t="s">
        <v>1165</v>
      </c>
      <c r="H38" s="31" t="s">
        <v>1246</v>
      </c>
    </row>
    <row r="39" spans="1:8" x14ac:dyDescent="0.25">
      <c r="A39" s="102" t="s">
        <v>1179</v>
      </c>
      <c r="B39" s="102" t="s">
        <v>1143</v>
      </c>
      <c r="C39" s="102" t="s">
        <v>415</v>
      </c>
      <c r="D39" s="261" t="s">
        <v>416</v>
      </c>
      <c r="E39" s="102" t="s">
        <v>1179</v>
      </c>
      <c r="F39" s="205">
        <v>46192</v>
      </c>
      <c r="G39" s="263" t="s">
        <v>1165</v>
      </c>
      <c r="H39" s="31" t="s">
        <v>1246</v>
      </c>
    </row>
    <row r="40" spans="1:8" x14ac:dyDescent="0.25">
      <c r="A40" s="102" t="s">
        <v>1135</v>
      </c>
      <c r="B40" s="102" t="s">
        <v>1136</v>
      </c>
      <c r="C40" s="102" t="s">
        <v>807</v>
      </c>
      <c r="D40" s="261" t="s">
        <v>850</v>
      </c>
      <c r="E40" s="102" t="s">
        <v>1135</v>
      </c>
      <c r="F40" s="205">
        <v>46185</v>
      </c>
      <c r="G40" s="263" t="s">
        <v>1165</v>
      </c>
      <c r="H40" s="31" t="s">
        <v>1246</v>
      </c>
    </row>
    <row r="41" spans="1:8" x14ac:dyDescent="0.25">
      <c r="A41" s="102" t="s">
        <v>1140</v>
      </c>
      <c r="B41" s="102" t="s">
        <v>1138</v>
      </c>
      <c r="C41" s="102" t="s">
        <v>1216</v>
      </c>
      <c r="D41" s="261" t="s">
        <v>1217</v>
      </c>
      <c r="E41" s="102" t="s">
        <v>1140</v>
      </c>
      <c r="F41" s="205">
        <v>46224</v>
      </c>
      <c r="G41" s="263" t="s">
        <v>1164</v>
      </c>
      <c r="H41" s="31" t="s">
        <v>1246</v>
      </c>
    </row>
    <row r="42" spans="1:8" x14ac:dyDescent="0.25">
      <c r="A42" s="102" t="s">
        <v>1140</v>
      </c>
      <c r="B42" s="102" t="s">
        <v>1138</v>
      </c>
      <c r="C42" s="102" t="s">
        <v>1218</v>
      </c>
      <c r="D42" s="261" t="s">
        <v>1219</v>
      </c>
      <c r="E42" s="102" t="s">
        <v>1140</v>
      </c>
      <c r="F42" s="205">
        <v>46206</v>
      </c>
      <c r="G42" s="263" t="s">
        <v>1164</v>
      </c>
      <c r="H42" s="31" t="s">
        <v>1246</v>
      </c>
    </row>
    <row r="43" spans="1:8" x14ac:dyDescent="0.25">
      <c r="A43" s="102" t="s">
        <v>1140</v>
      </c>
      <c r="B43" s="102" t="s">
        <v>1138</v>
      </c>
      <c r="C43" s="102" t="s">
        <v>1220</v>
      </c>
      <c r="D43" s="261" t="s">
        <v>1221</v>
      </c>
      <c r="E43" s="102" t="s">
        <v>1140</v>
      </c>
      <c r="F43" s="205">
        <v>46223</v>
      </c>
      <c r="G43" s="263" t="s">
        <v>1164</v>
      </c>
      <c r="H43" s="31" t="s">
        <v>1246</v>
      </c>
    </row>
    <row r="44" spans="1:8" x14ac:dyDescent="0.25">
      <c r="A44" s="102" t="s">
        <v>1179</v>
      </c>
      <c r="B44" s="102" t="s">
        <v>1143</v>
      </c>
      <c r="C44" s="102" t="s">
        <v>825</v>
      </c>
      <c r="D44" s="261" t="s">
        <v>1222</v>
      </c>
      <c r="E44" s="102" t="s">
        <v>1179</v>
      </c>
      <c r="F44" s="205">
        <v>46224</v>
      </c>
      <c r="G44" s="263" t="s">
        <v>1164</v>
      </c>
      <c r="H44" s="31" t="s">
        <v>1246</v>
      </c>
    </row>
    <row r="45" spans="1:8" x14ac:dyDescent="0.25">
      <c r="A45" s="102" t="s">
        <v>1147</v>
      </c>
      <c r="B45" s="102" t="s">
        <v>1143</v>
      </c>
      <c r="C45" s="102" t="s">
        <v>1223</v>
      </c>
      <c r="D45" s="261" t="s">
        <v>1224</v>
      </c>
      <c r="E45" s="102" t="s">
        <v>1147</v>
      </c>
      <c r="F45" s="205">
        <v>46225</v>
      </c>
      <c r="G45" s="263" t="s">
        <v>1164</v>
      </c>
      <c r="H45" s="31" t="s">
        <v>1246</v>
      </c>
    </row>
    <row r="46" spans="1:8" x14ac:dyDescent="0.25">
      <c r="A46" s="102" t="s">
        <v>1147</v>
      </c>
      <c r="B46" s="102" t="s">
        <v>1143</v>
      </c>
      <c r="C46" s="102" t="s">
        <v>1220</v>
      </c>
      <c r="D46" s="261" t="s">
        <v>1225</v>
      </c>
      <c r="E46" s="102" t="s">
        <v>1147</v>
      </c>
      <c r="F46" s="205">
        <v>46223</v>
      </c>
      <c r="G46" s="263" t="s">
        <v>1164</v>
      </c>
      <c r="H46" s="31" t="s">
        <v>1246</v>
      </c>
    </row>
    <row r="47" spans="1:8" x14ac:dyDescent="0.25">
      <c r="A47" s="102" t="s">
        <v>1180</v>
      </c>
      <c r="B47" s="102" t="s">
        <v>1145</v>
      </c>
      <c r="C47" s="102" t="s">
        <v>825</v>
      </c>
      <c r="D47" s="261" t="s">
        <v>868</v>
      </c>
      <c r="E47" s="102" t="s">
        <v>1180</v>
      </c>
      <c r="F47" s="205">
        <v>46224</v>
      </c>
      <c r="G47" s="263" t="s">
        <v>1170</v>
      </c>
      <c r="H47" s="31" t="s">
        <v>1246</v>
      </c>
    </row>
    <row r="48" spans="1:8" x14ac:dyDescent="0.25">
      <c r="A48" s="102" t="s">
        <v>1139</v>
      </c>
      <c r="B48" s="102" t="s">
        <v>1136</v>
      </c>
      <c r="C48" s="102">
        <v>927</v>
      </c>
      <c r="D48" s="261" t="s">
        <v>1226</v>
      </c>
      <c r="E48" s="102" t="s">
        <v>1139</v>
      </c>
      <c r="F48" s="205">
        <v>46225</v>
      </c>
      <c r="G48" s="263" t="s">
        <v>1164</v>
      </c>
      <c r="H48" s="31" t="s">
        <v>1246</v>
      </c>
    </row>
    <row r="49" spans="1:8" x14ac:dyDescent="0.25">
      <c r="A49" s="102" t="s">
        <v>1139</v>
      </c>
      <c r="B49" s="102" t="s">
        <v>1136</v>
      </c>
      <c r="C49" s="102"/>
      <c r="D49" s="261" t="s">
        <v>1227</v>
      </c>
      <c r="E49" s="102" t="s">
        <v>1139</v>
      </c>
      <c r="F49" s="205">
        <v>46217</v>
      </c>
      <c r="G49" s="263" t="s">
        <v>1164</v>
      </c>
      <c r="H49" s="31" t="s">
        <v>1246</v>
      </c>
    </row>
  </sheetData>
  <mergeCells count="2">
    <mergeCell ref="J2:K2"/>
    <mergeCell ref="M2:N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workbookViewId="0">
      <selection sqref="A1:L1"/>
    </sheetView>
  </sheetViews>
  <sheetFormatPr defaultRowHeight="15" x14ac:dyDescent="0.25"/>
  <cols>
    <col min="1" max="1" width="6.85546875" bestFit="1" customWidth="1"/>
    <col min="2" max="2" width="6.140625" bestFit="1" customWidth="1"/>
    <col min="3" max="3" width="6" bestFit="1" customWidth="1"/>
    <col min="4" max="4" width="7.140625" bestFit="1" customWidth="1"/>
    <col min="5" max="5" width="5.5703125" customWidth="1"/>
    <col min="6" max="6" width="6" customWidth="1"/>
    <col min="7" max="7" width="9.140625" customWidth="1"/>
    <col min="9" max="9" width="6.85546875" customWidth="1"/>
    <col min="10" max="10" width="6.140625" customWidth="1"/>
    <col min="11" max="11" width="6" customWidth="1"/>
    <col min="12" max="12" width="7.140625" customWidth="1"/>
  </cols>
  <sheetData>
    <row r="1" spans="1:12" ht="15.75" x14ac:dyDescent="0.25">
      <c r="A1" s="270" t="s">
        <v>1247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</row>
    <row r="2" spans="1:12" x14ac:dyDescent="0.25">
      <c r="A2" s="271" t="s">
        <v>1248</v>
      </c>
      <c r="B2" s="272"/>
      <c r="C2" s="272"/>
      <c r="D2" s="273"/>
      <c r="E2" s="277" t="s">
        <v>1249</v>
      </c>
      <c r="F2" s="278"/>
      <c r="G2" s="279"/>
      <c r="I2" s="274" t="s">
        <v>1253</v>
      </c>
      <c r="J2" s="275"/>
      <c r="K2" s="275"/>
      <c r="L2" s="276"/>
    </row>
    <row r="3" spans="1:12" x14ac:dyDescent="0.25">
      <c r="A3" s="242" t="s">
        <v>777</v>
      </c>
      <c r="B3" s="243" t="s">
        <v>1250</v>
      </c>
      <c r="C3" s="243" t="s">
        <v>776</v>
      </c>
      <c r="D3" s="243" t="s">
        <v>1251</v>
      </c>
      <c r="E3" s="248" t="s">
        <v>1250</v>
      </c>
      <c r="F3" s="248" t="s">
        <v>776</v>
      </c>
      <c r="G3" s="248" t="s">
        <v>1251</v>
      </c>
      <c r="I3" s="249" t="s">
        <v>777</v>
      </c>
      <c r="J3" s="247" t="s">
        <v>1250</v>
      </c>
      <c r="K3" s="247" t="s">
        <v>776</v>
      </c>
      <c r="L3" s="247" t="s">
        <v>1251</v>
      </c>
    </row>
    <row r="4" spans="1:12" x14ac:dyDescent="0.25">
      <c r="A4" s="244" t="s">
        <v>1252</v>
      </c>
      <c r="B4" s="245">
        <v>430351.94599993352</v>
      </c>
      <c r="C4" s="245">
        <v>41838.883000004054</v>
      </c>
      <c r="D4" s="246">
        <v>9.7220155244773815E-2</v>
      </c>
      <c r="E4" s="245">
        <v>25377.100999999599</v>
      </c>
      <c r="F4" s="245">
        <v>2118.5484999999699</v>
      </c>
      <c r="G4" s="246">
        <v>8.348268385738794E-2</v>
      </c>
      <c r="I4" s="244" t="s">
        <v>1252</v>
      </c>
      <c r="J4" s="245">
        <f>B4+E4</f>
        <v>455729.04699993314</v>
      </c>
      <c r="K4" s="245">
        <f>C4+F4</f>
        <v>43957.431500004022</v>
      </c>
      <c r="L4" s="246">
        <f>K4/J4</f>
        <v>9.6455189304645028E-2</v>
      </c>
    </row>
    <row r="5" spans="1:12" x14ac:dyDescent="0.25">
      <c r="A5" s="244" t="s">
        <v>769</v>
      </c>
      <c r="B5" s="245">
        <v>423523.44600004551</v>
      </c>
      <c r="C5" s="245">
        <v>43051.94250000365</v>
      </c>
      <c r="D5" s="246">
        <v>0.10165185164270463</v>
      </c>
      <c r="E5" s="245">
        <v>36198.541999998852</v>
      </c>
      <c r="F5" s="245">
        <v>2065.156000000015</v>
      </c>
      <c r="G5" s="246">
        <v>5.7050806079429403E-2</v>
      </c>
      <c r="I5" s="244" t="s">
        <v>769</v>
      </c>
      <c r="J5" s="245">
        <f t="shared" ref="J5:J11" si="0">B5+E5</f>
        <v>459721.98800004437</v>
      </c>
      <c r="K5" s="245">
        <f t="shared" ref="K5:K11" si="1">C5+F5</f>
        <v>45117.098500003667</v>
      </c>
      <c r="L5" s="246">
        <f t="shared" ref="L5:L11" si="2">K5/J5</f>
        <v>9.8139962145990092E-2</v>
      </c>
    </row>
    <row r="6" spans="1:12" x14ac:dyDescent="0.25">
      <c r="A6" s="244" t="s">
        <v>770</v>
      </c>
      <c r="B6" s="245">
        <v>453932.28347827389</v>
      </c>
      <c r="C6" s="245">
        <v>47647.482173916957</v>
      </c>
      <c r="D6" s="246">
        <v>0.1049660575115219</v>
      </c>
      <c r="E6" s="245">
        <v>45983.650869566089</v>
      </c>
      <c r="F6" s="245">
        <v>2906.8760869564953</v>
      </c>
      <c r="G6" s="246">
        <v>6.3215426178359138E-2</v>
      </c>
      <c r="I6" s="244" t="s">
        <v>770</v>
      </c>
      <c r="J6" s="245">
        <f t="shared" si="0"/>
        <v>499915.93434783997</v>
      </c>
      <c r="K6" s="245">
        <f t="shared" si="1"/>
        <v>50554.35826087345</v>
      </c>
      <c r="L6" s="246">
        <f t="shared" si="2"/>
        <v>0.10112571892076935</v>
      </c>
    </row>
    <row r="7" spans="1:12" x14ac:dyDescent="0.25">
      <c r="A7" s="244" t="s">
        <v>1241</v>
      </c>
      <c r="B7" s="245">
        <v>472463.06150010898</v>
      </c>
      <c r="C7" s="245">
        <v>55662.929000004995</v>
      </c>
      <c r="D7" s="246">
        <v>0.11781435108021066</v>
      </c>
      <c r="E7" s="245">
        <v>50116.838000002499</v>
      </c>
      <c r="F7" s="245">
        <v>3088.1085000002099</v>
      </c>
      <c r="G7" s="246">
        <v>6.1618183094473276E-2</v>
      </c>
      <c r="I7" s="244" t="s">
        <v>1241</v>
      </c>
      <c r="J7" s="245">
        <f t="shared" si="0"/>
        <v>522579.89950011147</v>
      </c>
      <c r="K7" s="245">
        <f t="shared" si="1"/>
        <v>58751.037500005208</v>
      </c>
      <c r="L7" s="246">
        <f t="shared" si="2"/>
        <v>0.11242498526293332</v>
      </c>
    </row>
    <row r="8" spans="1:12" x14ac:dyDescent="0.25">
      <c r="A8" s="244" t="s">
        <v>1242</v>
      </c>
      <c r="B8" s="245">
        <v>483690.46473684791</v>
      </c>
      <c r="C8" s="245">
        <v>58984.246315797376</v>
      </c>
      <c r="D8" s="246">
        <v>0.12194626649894327</v>
      </c>
      <c r="E8" s="245">
        <v>64766.922105262631</v>
      </c>
      <c r="F8" s="245">
        <v>4655.3073684211631</v>
      </c>
      <c r="G8" s="246">
        <v>7.1877853958462176E-2</v>
      </c>
      <c r="I8" s="244" t="s">
        <v>1242</v>
      </c>
      <c r="J8" s="245">
        <f t="shared" si="0"/>
        <v>548457.38684211054</v>
      </c>
      <c r="K8" s="245">
        <f t="shared" si="1"/>
        <v>63639.553684218539</v>
      </c>
      <c r="L8" s="246">
        <f t="shared" si="2"/>
        <v>0.11603372515527637</v>
      </c>
    </row>
    <row r="9" spans="1:12" x14ac:dyDescent="0.25">
      <c r="A9" s="244" t="s">
        <v>773</v>
      </c>
      <c r="B9" s="245">
        <v>466213.94181813637</v>
      </c>
      <c r="C9" s="245">
        <v>57529.82954546409</v>
      </c>
      <c r="D9" s="246">
        <v>0.12339791753354661</v>
      </c>
      <c r="E9" s="245">
        <v>67126.458636366355</v>
      </c>
      <c r="F9" s="245">
        <v>5297.5972727271819</v>
      </c>
      <c r="G9" s="246">
        <v>7.8919659704156681E-2</v>
      </c>
      <c r="I9" s="244" t="s">
        <v>773</v>
      </c>
      <c r="J9" s="245">
        <f t="shared" si="0"/>
        <v>533340.40045450279</v>
      </c>
      <c r="K9" s="245">
        <f t="shared" si="1"/>
        <v>62827.42681819127</v>
      </c>
      <c r="L9" s="246">
        <f t="shared" si="2"/>
        <v>0.11779986433551799</v>
      </c>
    </row>
    <row r="10" spans="1:12" x14ac:dyDescent="0.25">
      <c r="A10" s="244" t="s">
        <v>790</v>
      </c>
      <c r="B10" s="245">
        <v>482720.95999992272</v>
      </c>
      <c r="C10" s="245">
        <v>54189.386818191822</v>
      </c>
      <c r="D10" s="246">
        <v>0.11225820154608679</v>
      </c>
      <c r="E10" s="245">
        <v>74922.156363637725</v>
      </c>
      <c r="F10" s="245">
        <v>7609.4640909089094</v>
      </c>
      <c r="G10" s="246">
        <v>0.10156493699909099</v>
      </c>
      <c r="I10" s="244" t="s">
        <v>790</v>
      </c>
      <c r="J10" s="245">
        <f t="shared" si="0"/>
        <v>557643.11636356043</v>
      </c>
      <c r="K10" s="245">
        <f t="shared" si="1"/>
        <v>61798.850909100729</v>
      </c>
      <c r="L10" s="246">
        <f t="shared" si="2"/>
        <v>0.11082150769132854</v>
      </c>
    </row>
    <row r="11" spans="1:12" x14ac:dyDescent="0.25">
      <c r="A11" s="244" t="s">
        <v>1245</v>
      </c>
      <c r="B11" s="245">
        <v>495741.37176489172</v>
      </c>
      <c r="C11" s="245">
        <v>55291.387058825232</v>
      </c>
      <c r="D11" s="246">
        <v>0.11153272695797417</v>
      </c>
      <c r="E11" s="245">
        <v>72208.683529413524</v>
      </c>
      <c r="F11" s="245">
        <v>9952.0117647054121</v>
      </c>
      <c r="G11" s="246">
        <v>0.13782292209567226</v>
      </c>
      <c r="I11" s="244" t="s">
        <v>1245</v>
      </c>
      <c r="J11" s="245">
        <f t="shared" si="0"/>
        <v>567950.0552943052</v>
      </c>
      <c r="K11" s="245">
        <f t="shared" si="1"/>
        <v>65243.398823530646</v>
      </c>
      <c r="L11" s="246">
        <f t="shared" si="2"/>
        <v>0.11487523984784589</v>
      </c>
    </row>
  </sheetData>
  <mergeCells count="4">
    <mergeCell ref="A1:L1"/>
    <mergeCell ref="A2:D2"/>
    <mergeCell ref="I2:L2"/>
    <mergeCell ref="E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57"/>
  <sheetViews>
    <sheetView workbookViewId="0">
      <selection activeCell="Q71" sqref="Q71"/>
    </sheetView>
  </sheetViews>
  <sheetFormatPr defaultRowHeight="15" x14ac:dyDescent="0.25"/>
  <cols>
    <col min="1" max="1" width="10.5703125" bestFit="1" customWidth="1"/>
    <col min="2" max="2" width="38.42578125" style="310" customWidth="1"/>
    <col min="3" max="3" width="14.28515625" bestFit="1" customWidth="1"/>
    <col min="4" max="4" width="12.85546875" bestFit="1" customWidth="1"/>
    <col min="5" max="5" width="10.5703125" customWidth="1"/>
    <col min="6" max="6" width="9.42578125" customWidth="1"/>
    <col min="7" max="7" width="8.85546875" bestFit="1" customWidth="1"/>
    <col min="8" max="8" width="8.5703125" customWidth="1"/>
    <col min="9" max="9" width="18.5703125" customWidth="1"/>
    <col min="10" max="10" width="16.85546875" customWidth="1"/>
    <col min="11" max="11" width="18.85546875" customWidth="1"/>
    <col min="12" max="12" width="17.28515625" hidden="1" customWidth="1"/>
  </cols>
  <sheetData>
    <row r="1" spans="1:12" x14ac:dyDescent="0.25">
      <c r="E1" s="280" t="s">
        <v>1067</v>
      </c>
      <c r="F1" s="281"/>
      <c r="G1" s="282"/>
      <c r="H1" s="283" t="s">
        <v>1068</v>
      </c>
      <c r="I1" s="284"/>
      <c r="J1" s="285"/>
      <c r="K1" s="269" t="s">
        <v>1261</v>
      </c>
      <c r="L1" s="269"/>
    </row>
    <row r="2" spans="1:12" x14ac:dyDescent="0.25">
      <c r="A2" s="152" t="s">
        <v>1069</v>
      </c>
      <c r="B2" s="312" t="s">
        <v>1070</v>
      </c>
      <c r="C2" s="152" t="s">
        <v>778</v>
      </c>
      <c r="D2" s="152" t="s">
        <v>1071</v>
      </c>
      <c r="E2" s="153" t="s">
        <v>1074</v>
      </c>
      <c r="F2" s="152" t="s">
        <v>1075</v>
      </c>
      <c r="G2" s="154" t="s">
        <v>1076</v>
      </c>
      <c r="H2" s="153" t="s">
        <v>1072</v>
      </c>
      <c r="I2" s="152" t="s">
        <v>1073</v>
      </c>
      <c r="J2" s="236" t="s">
        <v>1076</v>
      </c>
      <c r="K2" s="152" t="s">
        <v>1262</v>
      </c>
      <c r="L2" s="152" t="s">
        <v>1263</v>
      </c>
    </row>
    <row r="3" spans="1:12" x14ac:dyDescent="0.25">
      <c r="A3" s="102" t="s">
        <v>692</v>
      </c>
      <c r="B3" s="311" t="s">
        <v>693</v>
      </c>
      <c r="C3" s="102" t="s">
        <v>1077</v>
      </c>
      <c r="D3" s="102">
        <v>850</v>
      </c>
      <c r="E3" s="101">
        <v>5</v>
      </c>
      <c r="F3" s="102">
        <v>-1</v>
      </c>
      <c r="G3" s="155">
        <f t="shared" ref="G3:G34" si="0">F3-E3</f>
        <v>-6</v>
      </c>
      <c r="H3" s="101">
        <v>100</v>
      </c>
      <c r="I3" s="102">
        <v>895</v>
      </c>
      <c r="J3" s="238">
        <f t="shared" ref="J3:J34" si="1">I3-H3</f>
        <v>795</v>
      </c>
      <c r="K3" s="240">
        <f t="shared" ref="K3:K34" si="2">I3/H3</f>
        <v>8.9499999999999993</v>
      </c>
      <c r="L3" s="259">
        <f t="shared" ref="L3:L34" si="3">F3/E3</f>
        <v>-0.2</v>
      </c>
    </row>
    <row r="4" spans="1:12" hidden="1" x14ac:dyDescent="0.25">
      <c r="A4" s="102" t="s">
        <v>1105</v>
      </c>
      <c r="B4" s="102" t="s">
        <v>1106</v>
      </c>
      <c r="C4" s="102" t="s">
        <v>1080</v>
      </c>
      <c r="D4" s="102">
        <v>0</v>
      </c>
      <c r="E4" s="101">
        <v>10</v>
      </c>
      <c r="F4" s="102">
        <v>0</v>
      </c>
      <c r="G4" s="155">
        <f t="shared" si="0"/>
        <v>-10</v>
      </c>
      <c r="H4" s="101">
        <v>200</v>
      </c>
      <c r="I4" s="102">
        <v>0</v>
      </c>
      <c r="J4" s="237">
        <f t="shared" si="1"/>
        <v>-200</v>
      </c>
      <c r="K4" s="240">
        <f t="shared" si="2"/>
        <v>0</v>
      </c>
      <c r="L4" s="240">
        <f t="shared" si="3"/>
        <v>0</v>
      </c>
    </row>
    <row r="5" spans="1:12" hidden="1" x14ac:dyDescent="0.25">
      <c r="A5" s="102" t="s">
        <v>1085</v>
      </c>
      <c r="B5" s="102" t="s">
        <v>1086</v>
      </c>
      <c r="C5" s="102" t="s">
        <v>1080</v>
      </c>
      <c r="D5" s="102">
        <v>0</v>
      </c>
      <c r="E5" s="101">
        <v>66</v>
      </c>
      <c r="F5" s="102">
        <v>0</v>
      </c>
      <c r="G5" s="155">
        <f t="shared" si="0"/>
        <v>-66</v>
      </c>
      <c r="H5" s="101">
        <v>1320</v>
      </c>
      <c r="I5" s="102">
        <v>2</v>
      </c>
      <c r="J5" s="237">
        <f t="shared" si="1"/>
        <v>-1318</v>
      </c>
      <c r="K5" s="240">
        <f t="shared" si="2"/>
        <v>1.5151515151515152E-3</v>
      </c>
      <c r="L5" s="240">
        <f t="shared" si="3"/>
        <v>0</v>
      </c>
    </row>
    <row r="6" spans="1:12" hidden="1" x14ac:dyDescent="0.25">
      <c r="A6" s="102" t="s">
        <v>1083</v>
      </c>
      <c r="B6" s="102" t="s">
        <v>1084</v>
      </c>
      <c r="C6" s="102" t="s">
        <v>1080</v>
      </c>
      <c r="D6" s="102">
        <v>0</v>
      </c>
      <c r="E6" s="101">
        <v>72</v>
      </c>
      <c r="F6" s="102">
        <v>0</v>
      </c>
      <c r="G6" s="155">
        <f t="shared" si="0"/>
        <v>-72</v>
      </c>
      <c r="H6" s="101">
        <v>1440</v>
      </c>
      <c r="I6" s="102">
        <v>5</v>
      </c>
      <c r="J6" s="237">
        <f t="shared" si="1"/>
        <v>-1435</v>
      </c>
      <c r="K6" s="240">
        <f t="shared" si="2"/>
        <v>3.472222222222222E-3</v>
      </c>
      <c r="L6" s="240">
        <f t="shared" si="3"/>
        <v>0</v>
      </c>
    </row>
    <row r="7" spans="1:12" hidden="1" x14ac:dyDescent="0.25">
      <c r="A7" s="102" t="s">
        <v>885</v>
      </c>
      <c r="B7" s="102" t="s">
        <v>23</v>
      </c>
      <c r="C7" s="102" t="s">
        <v>1077</v>
      </c>
      <c r="D7" s="102">
        <v>0</v>
      </c>
      <c r="E7" s="101">
        <v>23</v>
      </c>
      <c r="F7" s="102">
        <v>0</v>
      </c>
      <c r="G7" s="155">
        <f t="shared" si="0"/>
        <v>-23</v>
      </c>
      <c r="H7" s="101">
        <v>460</v>
      </c>
      <c r="I7" s="102">
        <v>2</v>
      </c>
      <c r="J7" s="237">
        <f t="shared" si="1"/>
        <v>-458</v>
      </c>
      <c r="K7" s="240">
        <f t="shared" si="2"/>
        <v>4.3478260869565218E-3</v>
      </c>
      <c r="L7" s="240">
        <f t="shared" si="3"/>
        <v>0</v>
      </c>
    </row>
    <row r="8" spans="1:12" x14ac:dyDescent="0.25">
      <c r="A8" s="102" t="s">
        <v>1087</v>
      </c>
      <c r="B8" s="311" t="s">
        <v>1088</v>
      </c>
      <c r="C8" s="102" t="s">
        <v>1080</v>
      </c>
      <c r="D8" s="102">
        <v>597</v>
      </c>
      <c r="E8" s="101">
        <v>57</v>
      </c>
      <c r="F8" s="102">
        <v>0</v>
      </c>
      <c r="G8" s="155">
        <f t="shared" si="0"/>
        <v>-57</v>
      </c>
      <c r="H8" s="101">
        <v>1140</v>
      </c>
      <c r="I8" s="102">
        <v>7</v>
      </c>
      <c r="J8" s="237">
        <f t="shared" si="1"/>
        <v>-1133</v>
      </c>
      <c r="K8" s="240">
        <f t="shared" si="2"/>
        <v>6.1403508771929825E-3</v>
      </c>
      <c r="L8" s="259">
        <f t="shared" si="3"/>
        <v>0</v>
      </c>
    </row>
    <row r="9" spans="1:12" x14ac:dyDescent="0.25">
      <c r="A9" s="102" t="s">
        <v>38</v>
      </c>
      <c r="B9" s="311" t="s">
        <v>39</v>
      </c>
      <c r="C9" s="102" t="s">
        <v>1080</v>
      </c>
      <c r="D9" s="102">
        <v>299</v>
      </c>
      <c r="E9" s="101">
        <v>8</v>
      </c>
      <c r="F9" s="102">
        <v>0</v>
      </c>
      <c r="G9" s="155">
        <f t="shared" si="0"/>
        <v>-8</v>
      </c>
      <c r="H9" s="101">
        <v>160</v>
      </c>
      <c r="I9" s="102">
        <v>1</v>
      </c>
      <c r="J9" s="237">
        <f t="shared" si="1"/>
        <v>-159</v>
      </c>
      <c r="K9" s="240">
        <f t="shared" si="2"/>
        <v>6.2500000000000003E-3</v>
      </c>
      <c r="L9" s="259">
        <f t="shared" si="3"/>
        <v>0</v>
      </c>
    </row>
    <row r="10" spans="1:12" hidden="1" x14ac:dyDescent="0.25">
      <c r="A10" s="102" t="s">
        <v>1107</v>
      </c>
      <c r="B10" s="102" t="s">
        <v>1108</v>
      </c>
      <c r="C10" s="102" t="s">
        <v>1077</v>
      </c>
      <c r="D10" s="102">
        <v>0</v>
      </c>
      <c r="E10" s="101">
        <v>2</v>
      </c>
      <c r="F10" s="102">
        <v>0</v>
      </c>
      <c r="G10" s="155">
        <f t="shared" si="0"/>
        <v>-2</v>
      </c>
      <c r="H10" s="101">
        <v>40</v>
      </c>
      <c r="I10" s="102">
        <v>1</v>
      </c>
      <c r="J10" s="237">
        <f t="shared" si="1"/>
        <v>-39</v>
      </c>
      <c r="K10" s="240">
        <f t="shared" si="2"/>
        <v>2.5000000000000001E-2</v>
      </c>
      <c r="L10" s="240">
        <f t="shared" si="3"/>
        <v>0</v>
      </c>
    </row>
    <row r="11" spans="1:12" hidden="1" x14ac:dyDescent="0.25">
      <c r="A11" s="102" t="s">
        <v>1109</v>
      </c>
      <c r="B11" s="102" t="s">
        <v>1110</v>
      </c>
      <c r="C11" s="102" t="s">
        <v>1077</v>
      </c>
      <c r="D11" s="102">
        <v>0</v>
      </c>
      <c r="E11" s="101">
        <v>2</v>
      </c>
      <c r="F11" s="102">
        <v>0</v>
      </c>
      <c r="G11" s="155">
        <f t="shared" si="0"/>
        <v>-2</v>
      </c>
      <c r="H11" s="101">
        <v>40</v>
      </c>
      <c r="I11" s="102">
        <v>1</v>
      </c>
      <c r="J11" s="237">
        <f t="shared" si="1"/>
        <v>-39</v>
      </c>
      <c r="K11" s="240">
        <f t="shared" si="2"/>
        <v>2.5000000000000001E-2</v>
      </c>
      <c r="L11" s="240">
        <f t="shared" si="3"/>
        <v>0</v>
      </c>
    </row>
    <row r="12" spans="1:12" hidden="1" x14ac:dyDescent="0.25">
      <c r="A12" s="102" t="s">
        <v>73</v>
      </c>
      <c r="B12" s="102" t="s">
        <v>74</v>
      </c>
      <c r="C12" s="102" t="s">
        <v>1080</v>
      </c>
      <c r="D12" s="102">
        <v>0</v>
      </c>
      <c r="E12" s="101">
        <v>48</v>
      </c>
      <c r="F12" s="102">
        <v>0</v>
      </c>
      <c r="G12" s="155">
        <f t="shared" si="0"/>
        <v>-48</v>
      </c>
      <c r="H12" s="101">
        <v>960</v>
      </c>
      <c r="I12" s="102">
        <v>29</v>
      </c>
      <c r="J12" s="237">
        <f t="shared" si="1"/>
        <v>-931</v>
      </c>
      <c r="K12" s="240">
        <f t="shared" si="2"/>
        <v>3.0208333333333334E-2</v>
      </c>
      <c r="L12" s="240">
        <f t="shared" si="3"/>
        <v>0</v>
      </c>
    </row>
    <row r="13" spans="1:12" hidden="1" x14ac:dyDescent="0.25">
      <c r="A13" s="102" t="s">
        <v>502</v>
      </c>
      <c r="B13" s="102" t="s">
        <v>503</v>
      </c>
      <c r="C13" s="102" t="s">
        <v>1077</v>
      </c>
      <c r="D13" s="102">
        <v>0</v>
      </c>
      <c r="E13" s="101">
        <v>404</v>
      </c>
      <c r="F13" s="102">
        <v>0</v>
      </c>
      <c r="G13" s="155">
        <f t="shared" si="0"/>
        <v>-404</v>
      </c>
      <c r="H13" s="101">
        <v>8080</v>
      </c>
      <c r="I13" s="102">
        <v>297</v>
      </c>
      <c r="J13" s="237">
        <f t="shared" si="1"/>
        <v>-7783</v>
      </c>
      <c r="K13" s="240">
        <f t="shared" si="2"/>
        <v>3.6757425742574255E-2</v>
      </c>
      <c r="L13" s="240">
        <f t="shared" si="3"/>
        <v>0</v>
      </c>
    </row>
    <row r="14" spans="1:12" hidden="1" x14ac:dyDescent="0.25">
      <c r="A14" s="102" t="s">
        <v>1078</v>
      </c>
      <c r="B14" s="102" t="s">
        <v>1079</v>
      </c>
      <c r="C14" s="102" t="s">
        <v>1080</v>
      </c>
      <c r="D14" s="102">
        <v>5</v>
      </c>
      <c r="E14" s="101">
        <v>150</v>
      </c>
      <c r="F14" s="102">
        <v>0</v>
      </c>
      <c r="G14" s="155">
        <f t="shared" si="0"/>
        <v>-150</v>
      </c>
      <c r="H14" s="101">
        <v>3000</v>
      </c>
      <c r="I14" s="102">
        <v>137</v>
      </c>
      <c r="J14" s="237">
        <f t="shared" si="1"/>
        <v>-2863</v>
      </c>
      <c r="K14" s="240">
        <f t="shared" si="2"/>
        <v>4.5666666666666668E-2</v>
      </c>
      <c r="L14" s="240">
        <f t="shared" si="3"/>
        <v>0</v>
      </c>
    </row>
    <row r="15" spans="1:12" hidden="1" x14ac:dyDescent="0.25">
      <c r="A15" s="102" t="s">
        <v>1092</v>
      </c>
      <c r="B15" s="102" t="s">
        <v>1093</v>
      </c>
      <c r="C15" s="102" t="s">
        <v>1077</v>
      </c>
      <c r="D15" s="102">
        <v>0</v>
      </c>
      <c r="E15" s="101">
        <v>37</v>
      </c>
      <c r="F15" s="102">
        <v>0</v>
      </c>
      <c r="G15" s="155">
        <f t="shared" si="0"/>
        <v>-37</v>
      </c>
      <c r="H15" s="101">
        <v>740</v>
      </c>
      <c r="I15" s="102">
        <v>120</v>
      </c>
      <c r="J15" s="237">
        <f t="shared" si="1"/>
        <v>-620</v>
      </c>
      <c r="K15" s="240">
        <f t="shared" si="2"/>
        <v>0.16216216216216217</v>
      </c>
      <c r="L15" s="240">
        <f t="shared" si="3"/>
        <v>0</v>
      </c>
    </row>
    <row r="16" spans="1:12" hidden="1" x14ac:dyDescent="0.25">
      <c r="A16" s="102" t="s">
        <v>246</v>
      </c>
      <c r="B16" s="102" t="s">
        <v>247</v>
      </c>
      <c r="C16" s="102" t="s">
        <v>1080</v>
      </c>
      <c r="D16" s="102">
        <v>0</v>
      </c>
      <c r="E16" s="101">
        <v>83</v>
      </c>
      <c r="F16" s="102">
        <v>0</v>
      </c>
      <c r="G16" s="155">
        <f t="shared" si="0"/>
        <v>-83</v>
      </c>
      <c r="H16" s="101">
        <v>1660</v>
      </c>
      <c r="I16" s="102">
        <v>300</v>
      </c>
      <c r="J16" s="237">
        <f t="shared" si="1"/>
        <v>-1360</v>
      </c>
      <c r="K16" s="240">
        <f t="shared" si="2"/>
        <v>0.18072289156626506</v>
      </c>
      <c r="L16" s="240">
        <f t="shared" si="3"/>
        <v>0</v>
      </c>
    </row>
    <row r="17" spans="1:12" hidden="1" x14ac:dyDescent="0.25">
      <c r="A17" s="102" t="s">
        <v>931</v>
      </c>
      <c r="B17" s="102" t="s">
        <v>225</v>
      </c>
      <c r="C17" s="102" t="s">
        <v>1077</v>
      </c>
      <c r="D17" s="102">
        <v>0</v>
      </c>
      <c r="E17" s="101">
        <v>94</v>
      </c>
      <c r="F17" s="102">
        <v>0</v>
      </c>
      <c r="G17" s="155">
        <f t="shared" si="0"/>
        <v>-94</v>
      </c>
      <c r="H17" s="101">
        <v>1880</v>
      </c>
      <c r="I17" s="102">
        <v>350</v>
      </c>
      <c r="J17" s="237">
        <f t="shared" si="1"/>
        <v>-1530</v>
      </c>
      <c r="K17" s="240">
        <f t="shared" si="2"/>
        <v>0.18617021276595744</v>
      </c>
      <c r="L17" s="240">
        <f t="shared" si="3"/>
        <v>0</v>
      </c>
    </row>
    <row r="18" spans="1:12" hidden="1" x14ac:dyDescent="0.25">
      <c r="A18" s="102" t="s">
        <v>547</v>
      </c>
      <c r="B18" s="102" t="s">
        <v>548</v>
      </c>
      <c r="C18" s="102" t="s">
        <v>1091</v>
      </c>
      <c r="D18" s="102">
        <v>0</v>
      </c>
      <c r="E18" s="101">
        <v>18</v>
      </c>
      <c r="F18" s="102">
        <v>0</v>
      </c>
      <c r="G18" s="155">
        <f t="shared" si="0"/>
        <v>-18</v>
      </c>
      <c r="H18" s="101">
        <v>360</v>
      </c>
      <c r="I18" s="102">
        <v>72</v>
      </c>
      <c r="J18" s="237">
        <f t="shared" si="1"/>
        <v>-288</v>
      </c>
      <c r="K18" s="240">
        <f t="shared" si="2"/>
        <v>0.2</v>
      </c>
      <c r="L18" s="240">
        <f t="shared" si="3"/>
        <v>0</v>
      </c>
    </row>
    <row r="19" spans="1:12" hidden="1" x14ac:dyDescent="0.25">
      <c r="A19" s="102" t="s">
        <v>602</v>
      </c>
      <c r="B19" s="102" t="s">
        <v>603</v>
      </c>
      <c r="C19" s="102" t="s">
        <v>1077</v>
      </c>
      <c r="D19" s="102">
        <v>0</v>
      </c>
      <c r="E19" s="101">
        <v>63</v>
      </c>
      <c r="F19" s="102">
        <v>0</v>
      </c>
      <c r="G19" s="155">
        <f t="shared" si="0"/>
        <v>-63</v>
      </c>
      <c r="H19" s="101">
        <v>1260</v>
      </c>
      <c r="I19" s="102">
        <v>286</v>
      </c>
      <c r="J19" s="237">
        <f t="shared" si="1"/>
        <v>-974</v>
      </c>
      <c r="K19" s="240">
        <f t="shared" si="2"/>
        <v>0.22698412698412698</v>
      </c>
      <c r="L19" s="240">
        <f t="shared" si="3"/>
        <v>0</v>
      </c>
    </row>
    <row r="20" spans="1:12" hidden="1" x14ac:dyDescent="0.25">
      <c r="A20" s="102" t="s">
        <v>534</v>
      </c>
      <c r="B20" s="102" t="s">
        <v>535</v>
      </c>
      <c r="C20" s="102" t="s">
        <v>1077</v>
      </c>
      <c r="D20" s="102">
        <v>0</v>
      </c>
      <c r="E20" s="101">
        <v>7</v>
      </c>
      <c r="F20" s="102">
        <v>0</v>
      </c>
      <c r="G20" s="155">
        <f t="shared" si="0"/>
        <v>-7</v>
      </c>
      <c r="H20" s="101">
        <v>140</v>
      </c>
      <c r="I20" s="102">
        <v>188</v>
      </c>
      <c r="J20" s="238">
        <f t="shared" si="1"/>
        <v>48</v>
      </c>
      <c r="K20" s="240">
        <f t="shared" si="2"/>
        <v>1.3428571428571427</v>
      </c>
      <c r="L20" s="240">
        <f t="shared" si="3"/>
        <v>0</v>
      </c>
    </row>
    <row r="21" spans="1:12" hidden="1" x14ac:dyDescent="0.25">
      <c r="A21" s="102" t="s">
        <v>208</v>
      </c>
      <c r="B21" s="102" t="s">
        <v>209</v>
      </c>
      <c r="C21" s="102" t="s">
        <v>1077</v>
      </c>
      <c r="D21" s="102">
        <v>0</v>
      </c>
      <c r="E21" s="101">
        <v>22</v>
      </c>
      <c r="F21" s="102">
        <v>0</v>
      </c>
      <c r="G21" s="155">
        <f t="shared" si="0"/>
        <v>-22</v>
      </c>
      <c r="H21" s="101">
        <v>440</v>
      </c>
      <c r="I21" s="102">
        <v>1126</v>
      </c>
      <c r="J21" s="238">
        <f t="shared" si="1"/>
        <v>686</v>
      </c>
      <c r="K21" s="240">
        <f t="shared" si="2"/>
        <v>2.5590909090909091</v>
      </c>
      <c r="L21" s="240">
        <f t="shared" si="3"/>
        <v>0</v>
      </c>
    </row>
    <row r="22" spans="1:12" x14ac:dyDescent="0.25">
      <c r="A22" s="102" t="s">
        <v>430</v>
      </c>
      <c r="B22" s="311" t="s">
        <v>431</v>
      </c>
      <c r="C22" s="102" t="s">
        <v>1077</v>
      </c>
      <c r="D22" s="102">
        <v>147</v>
      </c>
      <c r="E22" s="101">
        <v>171</v>
      </c>
      <c r="F22" s="102">
        <v>2</v>
      </c>
      <c r="G22" s="155">
        <f t="shared" si="0"/>
        <v>-169</v>
      </c>
      <c r="H22" s="101">
        <v>3420</v>
      </c>
      <c r="I22" s="102">
        <v>136</v>
      </c>
      <c r="J22" s="237">
        <f t="shared" si="1"/>
        <v>-3284</v>
      </c>
      <c r="K22" s="240">
        <f t="shared" si="2"/>
        <v>3.9766081871345033E-2</v>
      </c>
      <c r="L22" s="259">
        <f t="shared" si="3"/>
        <v>1.1695906432748537E-2</v>
      </c>
    </row>
    <row r="23" spans="1:12" hidden="1" x14ac:dyDescent="0.25">
      <c r="A23" s="102" t="s">
        <v>1100</v>
      </c>
      <c r="B23" s="102" t="s">
        <v>1101</v>
      </c>
      <c r="C23" s="102" t="s">
        <v>1077</v>
      </c>
      <c r="D23" s="102">
        <v>2</v>
      </c>
      <c r="E23" s="101">
        <v>25</v>
      </c>
      <c r="F23" s="102">
        <v>1</v>
      </c>
      <c r="G23" s="155">
        <f t="shared" si="0"/>
        <v>-24</v>
      </c>
      <c r="H23" s="101">
        <v>500</v>
      </c>
      <c r="I23" s="102">
        <v>32</v>
      </c>
      <c r="J23" s="237">
        <f t="shared" si="1"/>
        <v>-468</v>
      </c>
      <c r="K23" s="240">
        <f t="shared" si="2"/>
        <v>6.4000000000000001E-2</v>
      </c>
      <c r="L23" s="240">
        <f t="shared" si="3"/>
        <v>0.04</v>
      </c>
    </row>
    <row r="24" spans="1:12" x14ac:dyDescent="0.25">
      <c r="A24" s="102" t="s">
        <v>1089</v>
      </c>
      <c r="B24" s="311" t="s">
        <v>1090</v>
      </c>
      <c r="C24" s="102" t="s">
        <v>1080</v>
      </c>
      <c r="D24" s="102">
        <v>91</v>
      </c>
      <c r="E24" s="101">
        <v>47</v>
      </c>
      <c r="F24" s="102">
        <v>2</v>
      </c>
      <c r="G24" s="155">
        <f t="shared" si="0"/>
        <v>-45</v>
      </c>
      <c r="H24" s="101">
        <v>940</v>
      </c>
      <c r="I24" s="102">
        <v>230</v>
      </c>
      <c r="J24" s="237">
        <f t="shared" si="1"/>
        <v>-710</v>
      </c>
      <c r="K24" s="240">
        <f t="shared" si="2"/>
        <v>0.24468085106382978</v>
      </c>
      <c r="L24" s="259">
        <f t="shared" si="3"/>
        <v>4.2553191489361701E-2</v>
      </c>
    </row>
    <row r="25" spans="1:12" x14ac:dyDescent="0.25">
      <c r="A25" s="102" t="s">
        <v>1081</v>
      </c>
      <c r="B25" s="311" t="s">
        <v>1082</v>
      </c>
      <c r="C25" s="102" t="s">
        <v>1080</v>
      </c>
      <c r="D25" s="102">
        <v>637</v>
      </c>
      <c r="E25" s="101">
        <v>113</v>
      </c>
      <c r="F25" s="102">
        <v>6</v>
      </c>
      <c r="G25" s="155">
        <f t="shared" si="0"/>
        <v>-107</v>
      </c>
      <c r="H25" s="101">
        <v>2260</v>
      </c>
      <c r="I25" s="102">
        <v>218</v>
      </c>
      <c r="J25" s="237">
        <f t="shared" si="1"/>
        <v>-2042</v>
      </c>
      <c r="K25" s="240">
        <f t="shared" si="2"/>
        <v>9.6460176991150448E-2</v>
      </c>
      <c r="L25" s="259">
        <f t="shared" si="3"/>
        <v>5.3097345132743362E-2</v>
      </c>
    </row>
    <row r="26" spans="1:12" hidden="1" x14ac:dyDescent="0.25">
      <c r="A26" s="102" t="s">
        <v>883</v>
      </c>
      <c r="B26" s="102" t="s">
        <v>14</v>
      </c>
      <c r="C26" s="102" t="s">
        <v>1077</v>
      </c>
      <c r="D26" s="102">
        <v>0</v>
      </c>
      <c r="E26" s="101">
        <v>16</v>
      </c>
      <c r="F26" s="102">
        <v>1</v>
      </c>
      <c r="G26" s="155">
        <f t="shared" si="0"/>
        <v>-15</v>
      </c>
      <c r="H26" s="101">
        <v>320</v>
      </c>
      <c r="I26" s="102">
        <v>50</v>
      </c>
      <c r="J26" s="237">
        <f t="shared" si="1"/>
        <v>-270</v>
      </c>
      <c r="K26" s="240">
        <f t="shared" si="2"/>
        <v>0.15625</v>
      </c>
      <c r="L26" s="240">
        <f t="shared" si="3"/>
        <v>6.25E-2</v>
      </c>
    </row>
    <row r="27" spans="1:12" x14ac:dyDescent="0.25">
      <c r="A27" s="102" t="s">
        <v>595</v>
      </c>
      <c r="B27" s="311" t="s">
        <v>596</v>
      </c>
      <c r="C27" s="102" t="s">
        <v>1077</v>
      </c>
      <c r="D27" s="102">
        <v>219</v>
      </c>
      <c r="E27" s="101">
        <v>1373</v>
      </c>
      <c r="F27" s="102">
        <v>112</v>
      </c>
      <c r="G27" s="155">
        <f t="shared" si="0"/>
        <v>-1261</v>
      </c>
      <c r="H27" s="101">
        <v>27460</v>
      </c>
      <c r="I27" s="102">
        <v>2175</v>
      </c>
      <c r="J27" s="237">
        <f t="shared" si="1"/>
        <v>-25285</v>
      </c>
      <c r="K27" s="240">
        <f t="shared" si="2"/>
        <v>7.9206117989803357E-2</v>
      </c>
      <c r="L27" s="259">
        <f t="shared" si="3"/>
        <v>8.1573197378004364E-2</v>
      </c>
    </row>
    <row r="28" spans="1:12" x14ac:dyDescent="0.25">
      <c r="A28" s="102" t="s">
        <v>1103</v>
      </c>
      <c r="B28" s="311" t="s">
        <v>1104</v>
      </c>
      <c r="C28" s="102" t="s">
        <v>1077</v>
      </c>
      <c r="D28" s="102">
        <v>139</v>
      </c>
      <c r="E28" s="101">
        <v>11</v>
      </c>
      <c r="F28" s="102">
        <v>1</v>
      </c>
      <c r="G28" s="155">
        <f t="shared" si="0"/>
        <v>-10</v>
      </c>
      <c r="H28" s="101">
        <v>220</v>
      </c>
      <c r="I28" s="102">
        <v>47</v>
      </c>
      <c r="J28" s="237">
        <f t="shared" si="1"/>
        <v>-173</v>
      </c>
      <c r="K28" s="240">
        <f t="shared" si="2"/>
        <v>0.21363636363636362</v>
      </c>
      <c r="L28" s="259">
        <f t="shared" si="3"/>
        <v>9.0909090909090912E-2</v>
      </c>
    </row>
    <row r="29" spans="1:12" x14ac:dyDescent="0.25">
      <c r="A29" s="102" t="s">
        <v>598</v>
      </c>
      <c r="B29" s="311" t="s">
        <v>599</v>
      </c>
      <c r="C29" s="102" t="s">
        <v>1077</v>
      </c>
      <c r="D29" s="102">
        <v>1604</v>
      </c>
      <c r="E29" s="101">
        <v>1201</v>
      </c>
      <c r="F29" s="102">
        <v>132</v>
      </c>
      <c r="G29" s="155">
        <f t="shared" si="0"/>
        <v>-1069</v>
      </c>
      <c r="H29" s="101">
        <v>24020</v>
      </c>
      <c r="I29" s="102">
        <v>3914</v>
      </c>
      <c r="J29" s="237">
        <f t="shared" si="1"/>
        <v>-20106</v>
      </c>
      <c r="K29" s="240">
        <f t="shared" si="2"/>
        <v>0.16294754371357204</v>
      </c>
      <c r="L29" s="259">
        <f t="shared" si="3"/>
        <v>0.10990840965861781</v>
      </c>
    </row>
    <row r="30" spans="1:12" x14ac:dyDescent="0.25">
      <c r="A30" s="102" t="s">
        <v>1094</v>
      </c>
      <c r="B30" s="311" t="s">
        <v>1095</v>
      </c>
      <c r="C30" s="102" t="s">
        <v>1077</v>
      </c>
      <c r="D30" s="102">
        <v>1222</v>
      </c>
      <c r="E30" s="101">
        <v>40</v>
      </c>
      <c r="F30" s="102">
        <v>5</v>
      </c>
      <c r="G30" s="155">
        <f t="shared" si="0"/>
        <v>-35</v>
      </c>
      <c r="H30" s="101">
        <v>800</v>
      </c>
      <c r="I30" s="102">
        <v>496</v>
      </c>
      <c r="J30" s="237">
        <f t="shared" si="1"/>
        <v>-304</v>
      </c>
      <c r="K30" s="240">
        <f t="shared" si="2"/>
        <v>0.62</v>
      </c>
      <c r="L30" s="259">
        <f t="shared" si="3"/>
        <v>0.125</v>
      </c>
    </row>
    <row r="31" spans="1:12" x14ac:dyDescent="0.25">
      <c r="A31" s="102" t="s">
        <v>997</v>
      </c>
      <c r="B31" s="311" t="s">
        <v>642</v>
      </c>
      <c r="C31" s="102" t="s">
        <v>1077</v>
      </c>
      <c r="D31" s="102">
        <v>1974</v>
      </c>
      <c r="E31" s="101">
        <v>23</v>
      </c>
      <c r="F31" s="102">
        <v>3</v>
      </c>
      <c r="G31" s="155">
        <f t="shared" si="0"/>
        <v>-20</v>
      </c>
      <c r="H31" s="101">
        <v>460</v>
      </c>
      <c r="I31" s="102">
        <v>177</v>
      </c>
      <c r="J31" s="237">
        <f t="shared" si="1"/>
        <v>-283</v>
      </c>
      <c r="K31" s="240">
        <f t="shared" si="2"/>
        <v>0.38478260869565217</v>
      </c>
      <c r="L31" s="259">
        <f t="shared" si="3"/>
        <v>0.13043478260869565</v>
      </c>
    </row>
    <row r="32" spans="1:12" hidden="1" x14ac:dyDescent="0.25">
      <c r="A32" s="102" t="s">
        <v>1040</v>
      </c>
      <c r="B32" s="102" t="s">
        <v>708</v>
      </c>
      <c r="C32" s="102" t="s">
        <v>1077</v>
      </c>
      <c r="D32" s="102">
        <v>2208</v>
      </c>
      <c r="E32" s="101">
        <v>296</v>
      </c>
      <c r="F32" s="102">
        <v>56</v>
      </c>
      <c r="G32" s="155">
        <f t="shared" si="0"/>
        <v>-240</v>
      </c>
      <c r="H32" s="101">
        <v>5920</v>
      </c>
      <c r="I32" s="102">
        <v>4948</v>
      </c>
      <c r="J32" s="237">
        <f t="shared" si="1"/>
        <v>-972</v>
      </c>
      <c r="K32" s="240">
        <f t="shared" si="2"/>
        <v>0.83581081081081077</v>
      </c>
      <c r="L32" s="240">
        <f t="shared" si="3"/>
        <v>0.1891891891891892</v>
      </c>
    </row>
    <row r="33" spans="1:12" hidden="1" x14ac:dyDescent="0.25">
      <c r="A33" s="102" t="s">
        <v>982</v>
      </c>
      <c r="B33" s="102" t="s">
        <v>476</v>
      </c>
      <c r="C33" s="102" t="s">
        <v>1077</v>
      </c>
      <c r="D33" s="102">
        <v>292</v>
      </c>
      <c r="E33" s="101">
        <v>9</v>
      </c>
      <c r="F33" s="102">
        <v>3</v>
      </c>
      <c r="G33" s="155">
        <f t="shared" si="0"/>
        <v>-6</v>
      </c>
      <c r="H33" s="101">
        <v>180</v>
      </c>
      <c r="I33" s="102">
        <v>249</v>
      </c>
      <c r="J33" s="238">
        <f t="shared" si="1"/>
        <v>69</v>
      </c>
      <c r="K33" s="240">
        <f t="shared" si="2"/>
        <v>1.3833333333333333</v>
      </c>
      <c r="L33" s="240">
        <f t="shared" si="3"/>
        <v>0.33333333333333331</v>
      </c>
    </row>
    <row r="34" spans="1:12" hidden="1" x14ac:dyDescent="0.25">
      <c r="A34" s="102" t="s">
        <v>803</v>
      </c>
      <c r="B34" s="102" t="s">
        <v>846</v>
      </c>
      <c r="C34" s="102" t="s">
        <v>1077</v>
      </c>
      <c r="D34" s="102">
        <v>275</v>
      </c>
      <c r="E34" s="101">
        <v>23</v>
      </c>
      <c r="F34" s="102">
        <v>8</v>
      </c>
      <c r="G34" s="155">
        <f t="shared" si="0"/>
        <v>-15</v>
      </c>
      <c r="H34" s="101">
        <v>460</v>
      </c>
      <c r="I34" s="102">
        <v>175</v>
      </c>
      <c r="J34" s="237">
        <f t="shared" si="1"/>
        <v>-285</v>
      </c>
      <c r="K34" s="240">
        <f t="shared" si="2"/>
        <v>0.38043478260869568</v>
      </c>
      <c r="L34" s="240">
        <f t="shared" si="3"/>
        <v>0.34782608695652173</v>
      </c>
    </row>
    <row r="35" spans="1:12" hidden="1" x14ac:dyDescent="0.25">
      <c r="A35" s="102" t="s">
        <v>1016</v>
      </c>
      <c r="B35" s="102" t="s">
        <v>600</v>
      </c>
      <c r="C35" s="102" t="s">
        <v>1077</v>
      </c>
      <c r="D35" s="102">
        <v>546</v>
      </c>
      <c r="E35" s="101">
        <v>56</v>
      </c>
      <c r="F35" s="102">
        <v>22</v>
      </c>
      <c r="G35" s="155">
        <f t="shared" ref="G35:G57" si="4">F35-E35</f>
        <v>-34</v>
      </c>
      <c r="H35" s="101">
        <v>1120</v>
      </c>
      <c r="I35" s="102">
        <v>589</v>
      </c>
      <c r="J35" s="237">
        <f t="shared" ref="J35:J57" si="5">I35-H35</f>
        <v>-531</v>
      </c>
      <c r="K35" s="240">
        <f t="shared" ref="K35:K57" si="6">I35/H35</f>
        <v>0.52589285714285716</v>
      </c>
      <c r="L35" s="240">
        <f t="shared" ref="L35:L57" si="7">F35/E35</f>
        <v>0.39285714285714285</v>
      </c>
    </row>
    <row r="36" spans="1:12" hidden="1" x14ac:dyDescent="0.25">
      <c r="A36" s="102" t="s">
        <v>732</v>
      </c>
      <c r="B36" s="102" t="s">
        <v>733</v>
      </c>
      <c r="C36" s="102" t="s">
        <v>1077</v>
      </c>
      <c r="D36" s="102">
        <v>2842</v>
      </c>
      <c r="E36" s="101">
        <v>80</v>
      </c>
      <c r="F36" s="102">
        <v>35</v>
      </c>
      <c r="G36" s="155">
        <f t="shared" si="4"/>
        <v>-45</v>
      </c>
      <c r="H36" s="101">
        <v>1600</v>
      </c>
      <c r="I36" s="102">
        <v>1781</v>
      </c>
      <c r="J36" s="238">
        <f t="shared" si="5"/>
        <v>181</v>
      </c>
      <c r="K36" s="240">
        <f t="shared" si="6"/>
        <v>1.1131249999999999</v>
      </c>
      <c r="L36" s="240">
        <f t="shared" si="7"/>
        <v>0.4375</v>
      </c>
    </row>
    <row r="37" spans="1:12" hidden="1" x14ac:dyDescent="0.25">
      <c r="A37" s="102" t="s">
        <v>918</v>
      </c>
      <c r="B37" s="102" t="s">
        <v>292</v>
      </c>
      <c r="C37" s="102" t="s">
        <v>1077</v>
      </c>
      <c r="D37" s="102">
        <v>38</v>
      </c>
      <c r="E37" s="101">
        <v>43</v>
      </c>
      <c r="F37" s="102">
        <v>20</v>
      </c>
      <c r="G37" s="155">
        <f t="shared" si="4"/>
        <v>-23</v>
      </c>
      <c r="H37" s="101">
        <v>860</v>
      </c>
      <c r="I37" s="102">
        <v>240</v>
      </c>
      <c r="J37" s="237">
        <f t="shared" si="5"/>
        <v>-620</v>
      </c>
      <c r="K37" s="240">
        <f t="shared" si="6"/>
        <v>0.27906976744186046</v>
      </c>
      <c r="L37" s="240">
        <f t="shared" si="7"/>
        <v>0.46511627906976744</v>
      </c>
    </row>
    <row r="38" spans="1:12" hidden="1" x14ac:dyDescent="0.25">
      <c r="A38" s="102" t="s">
        <v>818</v>
      </c>
      <c r="B38" s="102" t="s">
        <v>861</v>
      </c>
      <c r="C38" s="102" t="s">
        <v>1091</v>
      </c>
      <c r="D38" s="102">
        <v>0</v>
      </c>
      <c r="E38" s="101">
        <v>58</v>
      </c>
      <c r="F38" s="102">
        <v>29</v>
      </c>
      <c r="G38" s="155">
        <f t="shared" si="4"/>
        <v>-29</v>
      </c>
      <c r="H38" s="101">
        <v>1160</v>
      </c>
      <c r="I38" s="102">
        <v>428</v>
      </c>
      <c r="J38" s="237">
        <f t="shared" si="5"/>
        <v>-732</v>
      </c>
      <c r="K38" s="240">
        <f t="shared" si="6"/>
        <v>0.36896551724137933</v>
      </c>
      <c r="L38" s="240">
        <f t="shared" si="7"/>
        <v>0.5</v>
      </c>
    </row>
    <row r="39" spans="1:12" hidden="1" x14ac:dyDescent="0.25">
      <c r="A39" s="102" t="s">
        <v>1096</v>
      </c>
      <c r="B39" s="102" t="s">
        <v>1097</v>
      </c>
      <c r="C39" s="102" t="s">
        <v>1080</v>
      </c>
      <c r="D39" s="102">
        <v>318</v>
      </c>
      <c r="E39" s="101">
        <v>73</v>
      </c>
      <c r="F39" s="102">
        <v>39</v>
      </c>
      <c r="G39" s="155">
        <f t="shared" si="4"/>
        <v>-34</v>
      </c>
      <c r="H39" s="101">
        <v>1460</v>
      </c>
      <c r="I39" s="102">
        <v>803</v>
      </c>
      <c r="J39" s="237">
        <f t="shared" si="5"/>
        <v>-657</v>
      </c>
      <c r="K39" s="240">
        <f t="shared" si="6"/>
        <v>0.55000000000000004</v>
      </c>
      <c r="L39" s="240">
        <f t="shared" si="7"/>
        <v>0.53424657534246578</v>
      </c>
    </row>
    <row r="40" spans="1:12" hidden="1" x14ac:dyDescent="0.25">
      <c r="A40" s="102" t="s">
        <v>1098</v>
      </c>
      <c r="B40" s="102" t="s">
        <v>1099</v>
      </c>
      <c r="C40" s="102" t="s">
        <v>1077</v>
      </c>
      <c r="D40" s="102">
        <v>537</v>
      </c>
      <c r="E40" s="101">
        <v>73</v>
      </c>
      <c r="F40" s="102">
        <v>39</v>
      </c>
      <c r="G40" s="155">
        <f t="shared" si="4"/>
        <v>-34</v>
      </c>
      <c r="H40" s="101">
        <v>1460</v>
      </c>
      <c r="I40" s="102">
        <v>877</v>
      </c>
      <c r="J40" s="237">
        <f t="shared" si="5"/>
        <v>-583</v>
      </c>
      <c r="K40" s="240">
        <f t="shared" si="6"/>
        <v>0.60068493150684932</v>
      </c>
      <c r="L40" s="240">
        <f t="shared" si="7"/>
        <v>0.53424657534246578</v>
      </c>
    </row>
    <row r="41" spans="1:12" hidden="1" x14ac:dyDescent="0.25">
      <c r="A41" s="102" t="s">
        <v>949</v>
      </c>
      <c r="B41" s="102" t="s">
        <v>1102</v>
      </c>
      <c r="C41" s="102" t="s">
        <v>1077</v>
      </c>
      <c r="D41" s="102">
        <v>0</v>
      </c>
      <c r="E41" s="101">
        <v>49</v>
      </c>
      <c r="F41" s="102">
        <v>27</v>
      </c>
      <c r="G41" s="155">
        <f t="shared" si="4"/>
        <v>-22</v>
      </c>
      <c r="H41" s="101">
        <v>980</v>
      </c>
      <c r="I41" s="102">
        <v>418</v>
      </c>
      <c r="J41" s="237">
        <f t="shared" si="5"/>
        <v>-562</v>
      </c>
      <c r="K41" s="240">
        <f t="shared" si="6"/>
        <v>0.42653061224489797</v>
      </c>
      <c r="L41" s="240">
        <f t="shared" si="7"/>
        <v>0.55102040816326525</v>
      </c>
    </row>
    <row r="42" spans="1:12" hidden="1" x14ac:dyDescent="0.25">
      <c r="A42" s="102" t="s">
        <v>817</v>
      </c>
      <c r="B42" s="102" t="s">
        <v>860</v>
      </c>
      <c r="C42" s="102" t="s">
        <v>1091</v>
      </c>
      <c r="D42" s="102">
        <v>0</v>
      </c>
      <c r="E42" s="101">
        <v>103</v>
      </c>
      <c r="F42" s="102">
        <v>59</v>
      </c>
      <c r="G42" s="155">
        <f t="shared" si="4"/>
        <v>-44</v>
      </c>
      <c r="H42" s="101">
        <v>2060</v>
      </c>
      <c r="I42" s="102">
        <v>1249</v>
      </c>
      <c r="J42" s="237">
        <f t="shared" si="5"/>
        <v>-811</v>
      </c>
      <c r="K42" s="240">
        <f t="shared" si="6"/>
        <v>0.60631067961165053</v>
      </c>
      <c r="L42" s="240">
        <f t="shared" si="7"/>
        <v>0.57281553398058249</v>
      </c>
    </row>
    <row r="43" spans="1:12" hidden="1" x14ac:dyDescent="0.25">
      <c r="A43" s="102" t="s">
        <v>615</v>
      </c>
      <c r="B43" s="102" t="s">
        <v>616</v>
      </c>
      <c r="C43" s="102" t="s">
        <v>1077</v>
      </c>
      <c r="D43" s="102">
        <v>4186</v>
      </c>
      <c r="E43" s="101">
        <v>76</v>
      </c>
      <c r="F43" s="102">
        <v>53</v>
      </c>
      <c r="G43" s="155">
        <f t="shared" si="4"/>
        <v>-23</v>
      </c>
      <c r="H43" s="101">
        <v>1520</v>
      </c>
      <c r="I43" s="102">
        <v>5023</v>
      </c>
      <c r="J43" s="238">
        <f t="shared" si="5"/>
        <v>3503</v>
      </c>
      <c r="K43" s="240">
        <f t="shared" si="6"/>
        <v>3.3046052631578946</v>
      </c>
      <c r="L43" s="240">
        <f t="shared" si="7"/>
        <v>0.69736842105263153</v>
      </c>
    </row>
    <row r="44" spans="1:12" hidden="1" x14ac:dyDescent="0.25">
      <c r="A44" s="102" t="s">
        <v>968</v>
      </c>
      <c r="B44" s="102" t="s">
        <v>578</v>
      </c>
      <c r="C44" s="102" t="s">
        <v>1077</v>
      </c>
      <c r="D44" s="102">
        <v>1888</v>
      </c>
      <c r="E44" s="101">
        <v>21</v>
      </c>
      <c r="F44" s="102">
        <v>16</v>
      </c>
      <c r="G44" s="155">
        <f t="shared" si="4"/>
        <v>-5</v>
      </c>
      <c r="H44" s="101">
        <v>420</v>
      </c>
      <c r="I44" s="102">
        <v>786</v>
      </c>
      <c r="J44" s="238">
        <f t="shared" si="5"/>
        <v>366</v>
      </c>
      <c r="K44" s="240">
        <f t="shared" si="6"/>
        <v>1.8714285714285714</v>
      </c>
      <c r="L44" s="240">
        <f t="shared" si="7"/>
        <v>0.76190476190476186</v>
      </c>
    </row>
    <row r="45" spans="1:12" hidden="1" x14ac:dyDescent="0.25">
      <c r="A45" s="102" t="s">
        <v>943</v>
      </c>
      <c r="B45" s="102" t="s">
        <v>359</v>
      </c>
      <c r="C45" s="102" t="s">
        <v>1077</v>
      </c>
      <c r="D45" s="102">
        <v>468</v>
      </c>
      <c r="E45" s="101">
        <v>14</v>
      </c>
      <c r="F45" s="102">
        <v>11</v>
      </c>
      <c r="G45" s="155">
        <f t="shared" si="4"/>
        <v>-3</v>
      </c>
      <c r="H45" s="101">
        <v>280</v>
      </c>
      <c r="I45" s="102">
        <v>470</v>
      </c>
      <c r="J45" s="238">
        <f t="shared" si="5"/>
        <v>190</v>
      </c>
      <c r="K45" s="240">
        <f t="shared" si="6"/>
        <v>1.6785714285714286</v>
      </c>
      <c r="L45" s="240">
        <f t="shared" si="7"/>
        <v>0.7857142857142857</v>
      </c>
    </row>
    <row r="46" spans="1:12" hidden="1" x14ac:dyDescent="0.25">
      <c r="A46" s="102" t="s">
        <v>617</v>
      </c>
      <c r="B46" s="102" t="s">
        <v>618</v>
      </c>
      <c r="C46" s="102" t="s">
        <v>1077</v>
      </c>
      <c r="D46" s="102">
        <v>1420</v>
      </c>
      <c r="E46" s="101">
        <v>121</v>
      </c>
      <c r="F46" s="102">
        <v>98</v>
      </c>
      <c r="G46" s="155">
        <f t="shared" si="4"/>
        <v>-23</v>
      </c>
      <c r="H46" s="101">
        <v>2420</v>
      </c>
      <c r="I46" s="102">
        <v>3704</v>
      </c>
      <c r="J46" s="238">
        <f t="shared" si="5"/>
        <v>1284</v>
      </c>
      <c r="K46" s="240">
        <f t="shared" si="6"/>
        <v>1.5305785123966942</v>
      </c>
      <c r="L46" s="240">
        <f t="shared" si="7"/>
        <v>0.80991735537190079</v>
      </c>
    </row>
    <row r="47" spans="1:12" hidden="1" x14ac:dyDescent="0.25">
      <c r="A47" s="102" t="s">
        <v>945</v>
      </c>
      <c r="B47" s="102" t="s">
        <v>524</v>
      </c>
      <c r="C47" s="102" t="s">
        <v>1077</v>
      </c>
      <c r="D47" s="102">
        <v>1083</v>
      </c>
      <c r="E47" s="101">
        <v>65</v>
      </c>
      <c r="F47" s="102">
        <v>61</v>
      </c>
      <c r="G47" s="155">
        <f t="shared" si="4"/>
        <v>-4</v>
      </c>
      <c r="H47" s="101">
        <v>1300</v>
      </c>
      <c r="I47" s="102">
        <v>2606</v>
      </c>
      <c r="J47" s="238">
        <f t="shared" si="5"/>
        <v>1306</v>
      </c>
      <c r="K47" s="240">
        <f t="shared" si="6"/>
        <v>2.0046153846153847</v>
      </c>
      <c r="L47" s="240">
        <f t="shared" si="7"/>
        <v>0.93846153846153846</v>
      </c>
    </row>
    <row r="48" spans="1:12" hidden="1" x14ac:dyDescent="0.25">
      <c r="A48" s="102" t="s">
        <v>542</v>
      </c>
      <c r="B48" s="102" t="s">
        <v>543</v>
      </c>
      <c r="C48" s="102" t="s">
        <v>1077</v>
      </c>
      <c r="D48" s="102">
        <v>618</v>
      </c>
      <c r="E48" s="101">
        <v>18</v>
      </c>
      <c r="F48" s="102">
        <v>23</v>
      </c>
      <c r="G48" s="156">
        <f t="shared" si="4"/>
        <v>5</v>
      </c>
      <c r="H48" s="101">
        <v>360</v>
      </c>
      <c r="I48" s="102">
        <v>710</v>
      </c>
      <c r="J48" s="238">
        <f t="shared" si="5"/>
        <v>350</v>
      </c>
      <c r="K48" s="240">
        <f t="shared" si="6"/>
        <v>1.9722222222222223</v>
      </c>
      <c r="L48" s="240">
        <f t="shared" si="7"/>
        <v>1.2777777777777777</v>
      </c>
    </row>
    <row r="49" spans="1:12" hidden="1" x14ac:dyDescent="0.25">
      <c r="A49" s="102" t="s">
        <v>477</v>
      </c>
      <c r="B49" s="102" t="s">
        <v>478</v>
      </c>
      <c r="C49" s="102" t="s">
        <v>1077</v>
      </c>
      <c r="D49" s="102">
        <v>2327</v>
      </c>
      <c r="E49" s="101">
        <v>117</v>
      </c>
      <c r="F49" s="102">
        <v>150</v>
      </c>
      <c r="G49" s="156">
        <f t="shared" si="4"/>
        <v>33</v>
      </c>
      <c r="H49" s="101">
        <v>2340</v>
      </c>
      <c r="I49" s="102">
        <v>3583</v>
      </c>
      <c r="J49" s="238">
        <f t="shared" si="5"/>
        <v>1243</v>
      </c>
      <c r="K49" s="240">
        <f t="shared" si="6"/>
        <v>1.5311965811965811</v>
      </c>
      <c r="L49" s="240">
        <f t="shared" si="7"/>
        <v>1.2820512820512822</v>
      </c>
    </row>
    <row r="50" spans="1:12" hidden="1" x14ac:dyDescent="0.25">
      <c r="A50" s="102" t="s">
        <v>619</v>
      </c>
      <c r="B50" s="102" t="s">
        <v>620</v>
      </c>
      <c r="C50" s="102" t="s">
        <v>1077</v>
      </c>
      <c r="D50" s="102">
        <v>3896</v>
      </c>
      <c r="E50" s="101">
        <v>78</v>
      </c>
      <c r="F50" s="102">
        <v>110</v>
      </c>
      <c r="G50" s="156">
        <f t="shared" si="4"/>
        <v>32</v>
      </c>
      <c r="H50" s="101">
        <v>1560</v>
      </c>
      <c r="I50" s="102">
        <v>2536</v>
      </c>
      <c r="J50" s="238">
        <f t="shared" si="5"/>
        <v>976</v>
      </c>
      <c r="K50" s="240">
        <f t="shared" si="6"/>
        <v>1.6256410256410256</v>
      </c>
      <c r="L50" s="240">
        <f t="shared" si="7"/>
        <v>1.4102564102564104</v>
      </c>
    </row>
    <row r="51" spans="1:12" hidden="1" x14ac:dyDescent="0.25">
      <c r="A51" s="102" t="s">
        <v>1010</v>
      </c>
      <c r="B51" s="102" t="s">
        <v>383</v>
      </c>
      <c r="C51" s="102" t="s">
        <v>1077</v>
      </c>
      <c r="D51" s="102">
        <v>3976</v>
      </c>
      <c r="E51" s="101">
        <v>92</v>
      </c>
      <c r="F51" s="102">
        <v>149</v>
      </c>
      <c r="G51" s="156">
        <f t="shared" si="4"/>
        <v>57</v>
      </c>
      <c r="H51" s="101">
        <v>1840</v>
      </c>
      <c r="I51" s="102">
        <v>3280</v>
      </c>
      <c r="J51" s="238">
        <f t="shared" si="5"/>
        <v>1440</v>
      </c>
      <c r="K51" s="240">
        <f t="shared" si="6"/>
        <v>1.7826086956521738</v>
      </c>
      <c r="L51" s="240">
        <f t="shared" si="7"/>
        <v>1.6195652173913044</v>
      </c>
    </row>
    <row r="52" spans="1:12" hidden="1" x14ac:dyDescent="0.25">
      <c r="A52" s="102" t="s">
        <v>995</v>
      </c>
      <c r="B52" s="102" t="s">
        <v>569</v>
      </c>
      <c r="C52" s="102" t="s">
        <v>1077</v>
      </c>
      <c r="D52" s="102">
        <v>0</v>
      </c>
      <c r="E52" s="101">
        <v>159</v>
      </c>
      <c r="F52" s="102">
        <v>270</v>
      </c>
      <c r="G52" s="156">
        <f t="shared" si="4"/>
        <v>111</v>
      </c>
      <c r="H52" s="101">
        <v>3180</v>
      </c>
      <c r="I52" s="102">
        <v>4775</v>
      </c>
      <c r="J52" s="238">
        <f t="shared" si="5"/>
        <v>1595</v>
      </c>
      <c r="K52" s="240">
        <f t="shared" si="6"/>
        <v>1.5015723270440251</v>
      </c>
      <c r="L52" s="240">
        <f t="shared" si="7"/>
        <v>1.6981132075471699</v>
      </c>
    </row>
    <row r="53" spans="1:12" hidden="1" x14ac:dyDescent="0.25">
      <c r="A53" s="102" t="s">
        <v>558</v>
      </c>
      <c r="B53" s="102" t="s">
        <v>1111</v>
      </c>
      <c r="C53" s="102" t="s">
        <v>1091</v>
      </c>
      <c r="D53" s="102">
        <v>2202</v>
      </c>
      <c r="E53" s="101">
        <v>14</v>
      </c>
      <c r="F53" s="102">
        <v>30</v>
      </c>
      <c r="G53" s="156">
        <f t="shared" si="4"/>
        <v>16</v>
      </c>
      <c r="H53" s="101">
        <v>280</v>
      </c>
      <c r="I53" s="102">
        <v>360</v>
      </c>
      <c r="J53" s="238">
        <f t="shared" si="5"/>
        <v>80</v>
      </c>
      <c r="K53" s="240">
        <f t="shared" si="6"/>
        <v>1.2857142857142858</v>
      </c>
      <c r="L53" s="240">
        <f t="shared" si="7"/>
        <v>2.1428571428571428</v>
      </c>
    </row>
    <row r="54" spans="1:12" hidden="1" x14ac:dyDescent="0.25">
      <c r="A54" s="102" t="s">
        <v>640</v>
      </c>
      <c r="B54" s="102" t="s">
        <v>641</v>
      </c>
      <c r="C54" s="102" t="s">
        <v>1077</v>
      </c>
      <c r="D54" s="102">
        <v>127</v>
      </c>
      <c r="E54" s="101">
        <v>50</v>
      </c>
      <c r="F54" s="102">
        <v>108</v>
      </c>
      <c r="G54" s="156">
        <f t="shared" si="4"/>
        <v>58</v>
      </c>
      <c r="H54" s="101">
        <v>1000</v>
      </c>
      <c r="I54" s="102">
        <v>846</v>
      </c>
      <c r="J54" s="237">
        <f t="shared" si="5"/>
        <v>-154</v>
      </c>
      <c r="K54" s="240">
        <f t="shared" si="6"/>
        <v>0.84599999999999997</v>
      </c>
      <c r="L54" s="240">
        <f t="shared" si="7"/>
        <v>2.16</v>
      </c>
    </row>
    <row r="55" spans="1:12" hidden="1" x14ac:dyDescent="0.25">
      <c r="A55" s="102" t="s">
        <v>816</v>
      </c>
      <c r="B55" s="102" t="s">
        <v>859</v>
      </c>
      <c r="C55" s="102" t="s">
        <v>1091</v>
      </c>
      <c r="D55" s="102">
        <v>262</v>
      </c>
      <c r="E55" s="101">
        <v>49</v>
      </c>
      <c r="F55" s="102">
        <v>107</v>
      </c>
      <c r="G55" s="156">
        <f t="shared" si="4"/>
        <v>58</v>
      </c>
      <c r="H55" s="101">
        <v>980</v>
      </c>
      <c r="I55" s="102">
        <v>1603</v>
      </c>
      <c r="J55" s="238">
        <f t="shared" si="5"/>
        <v>623</v>
      </c>
      <c r="K55" s="240">
        <f t="shared" si="6"/>
        <v>1.6357142857142857</v>
      </c>
      <c r="L55" s="240">
        <f t="shared" si="7"/>
        <v>2.1836734693877551</v>
      </c>
    </row>
    <row r="56" spans="1:12" hidden="1" x14ac:dyDescent="0.25">
      <c r="A56" s="102" t="s">
        <v>368</v>
      </c>
      <c r="B56" s="102" t="s">
        <v>369</v>
      </c>
      <c r="C56" s="102" t="s">
        <v>1077</v>
      </c>
      <c r="D56" s="102">
        <v>154</v>
      </c>
      <c r="E56" s="101">
        <v>64</v>
      </c>
      <c r="F56" s="102">
        <v>160</v>
      </c>
      <c r="G56" s="156">
        <f t="shared" si="4"/>
        <v>96</v>
      </c>
      <c r="H56" s="101">
        <v>1280</v>
      </c>
      <c r="I56" s="102">
        <v>3053</v>
      </c>
      <c r="J56" s="238">
        <f t="shared" si="5"/>
        <v>1773</v>
      </c>
      <c r="K56" s="240">
        <f t="shared" si="6"/>
        <v>2.3851562500000001</v>
      </c>
      <c r="L56" s="240">
        <f t="shared" si="7"/>
        <v>2.5</v>
      </c>
    </row>
    <row r="57" spans="1:12" ht="15.75" hidden="1" thickBot="1" x14ac:dyDescent="0.3">
      <c r="A57" s="102" t="s">
        <v>1112</v>
      </c>
      <c r="B57" s="102" t="s">
        <v>1113</v>
      </c>
      <c r="C57" s="102" t="s">
        <v>1077</v>
      </c>
      <c r="D57" s="102">
        <v>260</v>
      </c>
      <c r="E57" s="157">
        <v>8</v>
      </c>
      <c r="F57" s="158">
        <v>35</v>
      </c>
      <c r="G57" s="159">
        <f t="shared" si="4"/>
        <v>27</v>
      </c>
      <c r="H57" s="157">
        <v>160</v>
      </c>
      <c r="I57" s="158">
        <v>640</v>
      </c>
      <c r="J57" s="239">
        <f t="shared" si="5"/>
        <v>480</v>
      </c>
      <c r="K57" s="240">
        <f t="shared" si="6"/>
        <v>4</v>
      </c>
      <c r="L57" s="240">
        <f t="shared" si="7"/>
        <v>4.375</v>
      </c>
    </row>
  </sheetData>
  <autoFilter ref="A2:L57" xr:uid="{00000000-0001-0000-0100-000000000000}">
    <filterColumn colId="3">
      <filters>
        <filter val="1083"/>
        <filter val="1222"/>
        <filter val="127"/>
        <filter val="139"/>
        <filter val="1420"/>
        <filter val="147"/>
        <filter val="154"/>
        <filter val="1604"/>
        <filter val="1888"/>
        <filter val="1974"/>
        <filter val="219"/>
        <filter val="2202"/>
        <filter val="2208"/>
        <filter val="2327"/>
        <filter val="260"/>
        <filter val="262"/>
        <filter val="275"/>
        <filter val="2842"/>
        <filter val="292"/>
        <filter val="299"/>
        <filter val="318"/>
        <filter val="38"/>
        <filter val="3896"/>
        <filter val="3976"/>
        <filter val="4186"/>
        <filter val="468"/>
        <filter val="537"/>
        <filter val="546"/>
        <filter val="597"/>
        <filter val="618"/>
        <filter val="637"/>
        <filter val="850"/>
        <filter val="91"/>
      </filters>
    </filterColumn>
    <filterColumn colId="11">
      <customFilters>
        <customFilter operator="lessThanOrEqual" val="0.15"/>
      </customFilters>
    </filterColumn>
    <sortState xmlns:xlrd2="http://schemas.microsoft.com/office/spreadsheetml/2017/richdata2" ref="A3:L57">
      <sortCondition ref="L2:L57"/>
    </sortState>
  </autoFilter>
  <mergeCells count="3">
    <mergeCell ref="E1:G1"/>
    <mergeCell ref="H1:J1"/>
    <mergeCell ref="K1:L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selection activeCell="C19" sqref="C19"/>
    </sheetView>
  </sheetViews>
  <sheetFormatPr defaultRowHeight="15" x14ac:dyDescent="0.25"/>
  <cols>
    <col min="1" max="1" width="7.140625" bestFit="1" customWidth="1"/>
    <col min="2" max="2" width="43" bestFit="1" customWidth="1"/>
    <col min="3" max="3" width="13.140625" bestFit="1" customWidth="1"/>
    <col min="4" max="4" width="5.140625" bestFit="1" customWidth="1"/>
    <col min="5" max="5" width="8.42578125" bestFit="1" customWidth="1"/>
    <col min="6" max="6" width="11.140625" bestFit="1" customWidth="1"/>
    <col min="8" max="8" width="9.140625" customWidth="1"/>
  </cols>
  <sheetData>
    <row r="1" spans="1:7" ht="38.25" x14ac:dyDescent="0.25">
      <c r="A1" s="214" t="s">
        <v>1228</v>
      </c>
      <c r="B1" s="214" t="s">
        <v>1184</v>
      </c>
      <c r="C1" s="214" t="s">
        <v>778</v>
      </c>
      <c r="D1" s="217" t="s">
        <v>1229</v>
      </c>
      <c r="E1" s="217" t="s">
        <v>1231</v>
      </c>
      <c r="F1" s="217" t="s">
        <v>1230</v>
      </c>
      <c r="G1" s="258" t="s">
        <v>1260</v>
      </c>
    </row>
    <row r="2" spans="1:7" x14ac:dyDescent="0.25">
      <c r="A2" s="215" t="s">
        <v>716</v>
      </c>
      <c r="B2" s="215" t="s">
        <v>717</v>
      </c>
      <c r="C2" s="215" t="s">
        <v>1077</v>
      </c>
      <c r="D2" s="31">
        <v>427</v>
      </c>
      <c r="E2" s="216">
        <v>19.46</v>
      </c>
      <c r="F2" s="216">
        <v>8309.42</v>
      </c>
      <c r="G2" s="31">
        <v>421</v>
      </c>
    </row>
    <row r="3" spans="1:7" x14ac:dyDescent="0.25">
      <c r="A3" s="215" t="s">
        <v>888</v>
      </c>
      <c r="B3" s="215" t="s">
        <v>116</v>
      </c>
      <c r="C3" s="215" t="s">
        <v>1077</v>
      </c>
      <c r="D3" s="31">
        <v>442</v>
      </c>
      <c r="E3" s="216">
        <v>31.29</v>
      </c>
      <c r="F3" s="216">
        <v>13830.18</v>
      </c>
      <c r="G3" s="31">
        <v>351</v>
      </c>
    </row>
    <row r="4" spans="1:7" x14ac:dyDescent="0.25">
      <c r="A4" s="215" t="s">
        <v>200</v>
      </c>
      <c r="B4" s="215" t="s">
        <v>201</v>
      </c>
      <c r="C4" s="215" t="s">
        <v>1077</v>
      </c>
      <c r="D4" s="31">
        <v>421</v>
      </c>
      <c r="E4" s="216">
        <v>4.45</v>
      </c>
      <c r="F4" s="216">
        <v>1873.45</v>
      </c>
      <c r="G4" s="31">
        <v>136</v>
      </c>
    </row>
    <row r="5" spans="1:7" x14ac:dyDescent="0.25">
      <c r="A5" s="215" t="s">
        <v>739</v>
      </c>
      <c r="B5" s="215" t="s">
        <v>740</v>
      </c>
      <c r="C5" s="215" t="s">
        <v>1077</v>
      </c>
      <c r="D5" s="31">
        <v>539</v>
      </c>
      <c r="E5" s="216">
        <v>11.5</v>
      </c>
      <c r="F5" s="216">
        <v>6198.5</v>
      </c>
      <c r="G5" s="31">
        <v>135</v>
      </c>
    </row>
    <row r="6" spans="1:7" x14ac:dyDescent="0.25">
      <c r="A6" s="215" t="s">
        <v>1039</v>
      </c>
      <c r="B6" s="215" t="s">
        <v>573</v>
      </c>
      <c r="C6" s="215" t="s">
        <v>1077</v>
      </c>
      <c r="D6" s="31">
        <v>6819</v>
      </c>
      <c r="E6" s="216">
        <v>3.61</v>
      </c>
      <c r="F6" s="216">
        <v>24616.59</v>
      </c>
      <c r="G6" s="31">
        <v>128</v>
      </c>
    </row>
    <row r="7" spans="1:7" x14ac:dyDescent="0.25">
      <c r="A7" s="215" t="s">
        <v>920</v>
      </c>
      <c r="B7" s="215" t="s">
        <v>171</v>
      </c>
      <c r="C7" s="215" t="s">
        <v>1077</v>
      </c>
      <c r="D7" s="31">
        <v>471</v>
      </c>
      <c r="E7" s="216">
        <v>9.0299999999999994</v>
      </c>
      <c r="F7" s="216">
        <v>4253.13</v>
      </c>
      <c r="G7" s="31">
        <v>118</v>
      </c>
    </row>
    <row r="8" spans="1:7" x14ac:dyDescent="0.25">
      <c r="A8" s="215" t="s">
        <v>366</v>
      </c>
      <c r="B8" s="215" t="s">
        <v>367</v>
      </c>
      <c r="C8" s="215" t="s">
        <v>1077</v>
      </c>
      <c r="D8" s="31">
        <v>919</v>
      </c>
      <c r="E8" s="216">
        <v>19.690000000000001</v>
      </c>
      <c r="F8" s="216">
        <v>18095.11</v>
      </c>
      <c r="G8" s="31">
        <v>115</v>
      </c>
    </row>
    <row r="9" spans="1:7" x14ac:dyDescent="0.25">
      <c r="A9" s="215" t="s">
        <v>703</v>
      </c>
      <c r="B9" s="215" t="s">
        <v>704</v>
      </c>
      <c r="C9" s="215" t="s">
        <v>1077</v>
      </c>
      <c r="D9" s="31">
        <v>3981</v>
      </c>
      <c r="E9" s="216">
        <v>8.84</v>
      </c>
      <c r="F9" s="216">
        <v>35192.04</v>
      </c>
      <c r="G9" s="31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25"/>
  <sheetViews>
    <sheetView showGridLines="0" zoomScaleNormal="100" workbookViewId="0"/>
  </sheetViews>
  <sheetFormatPr defaultRowHeight="15" x14ac:dyDescent="0.25"/>
  <cols>
    <col min="2" max="2" width="6.85546875" bestFit="1" customWidth="1"/>
    <col min="3" max="3" width="8.7109375" bestFit="1" customWidth="1"/>
    <col min="4" max="4" width="6.28515625" bestFit="1" customWidth="1"/>
    <col min="5" max="5" width="5.5703125" bestFit="1" customWidth="1"/>
    <col min="6" max="6" width="6" bestFit="1" customWidth="1"/>
    <col min="7" max="7" width="7.7109375" bestFit="1" customWidth="1"/>
    <col min="8" max="8" width="8.7109375" bestFit="1" customWidth="1"/>
    <col min="9" max="9" width="7.140625" bestFit="1" customWidth="1"/>
    <col min="10" max="10" width="8.7109375" bestFit="1" customWidth="1"/>
    <col min="11" max="11" width="6.85546875" bestFit="1" customWidth="1"/>
    <col min="12" max="12" width="8.7109375" bestFit="1" customWidth="1"/>
    <col min="13" max="13" width="6.28515625" bestFit="1" customWidth="1"/>
    <col min="14" max="14" width="7.7109375" bestFit="1" customWidth="1"/>
    <col min="15" max="15" width="9.7109375" bestFit="1" customWidth="1"/>
    <col min="16" max="16" width="7.7109375" bestFit="1" customWidth="1"/>
    <col min="17" max="17" width="8.7109375" bestFit="1" customWidth="1"/>
    <col min="18" max="18" width="7.140625" bestFit="1" customWidth="1"/>
    <col min="19" max="19" width="8.7109375" bestFit="1" customWidth="1"/>
    <col min="20" max="20" width="6.85546875" bestFit="1" customWidth="1"/>
    <col min="21" max="21" width="8.7109375" customWidth="1"/>
    <col min="22" max="22" width="6.28515625" customWidth="1"/>
    <col min="23" max="23" width="7.7109375" bestFit="1" customWidth="1"/>
    <col min="24" max="24" width="8.7109375" bestFit="1" customWidth="1"/>
    <col min="25" max="25" width="7.140625" bestFit="1" customWidth="1"/>
    <col min="26" max="26" width="8.7109375" customWidth="1"/>
    <col min="27" max="27" width="7.140625" bestFit="1" customWidth="1"/>
    <col min="28" max="28" width="8.7109375" customWidth="1"/>
  </cols>
  <sheetData>
    <row r="1" spans="2:28" ht="15.75" thickBot="1" x14ac:dyDescent="0.3"/>
    <row r="2" spans="2:28" ht="18.75" x14ac:dyDescent="0.3">
      <c r="I2" s="286" t="s">
        <v>1064</v>
      </c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8"/>
    </row>
    <row r="3" spans="2:28" x14ac:dyDescent="0.25">
      <c r="I3" s="127"/>
      <c r="Y3" s="128"/>
    </row>
    <row r="4" spans="2:28" x14ac:dyDescent="0.25">
      <c r="I4" s="289" t="s">
        <v>774</v>
      </c>
      <c r="J4" s="290"/>
      <c r="K4" s="290"/>
      <c r="L4" s="290"/>
      <c r="M4" s="290"/>
      <c r="N4" s="290"/>
      <c r="O4" s="290"/>
      <c r="P4" s="290"/>
      <c r="Q4" s="132"/>
      <c r="R4" s="290" t="s">
        <v>783</v>
      </c>
      <c r="S4" s="290"/>
      <c r="T4" s="290"/>
      <c r="U4" s="290"/>
      <c r="V4" s="290"/>
      <c r="W4" s="290"/>
      <c r="X4" s="290"/>
      <c r="Y4" s="291"/>
    </row>
    <row r="5" spans="2:28" ht="30" x14ac:dyDescent="0.25">
      <c r="I5" s="231" t="s">
        <v>777</v>
      </c>
      <c r="J5" s="232" t="s">
        <v>765</v>
      </c>
      <c r="K5" s="233" t="s">
        <v>766</v>
      </c>
      <c r="L5" s="232" t="s">
        <v>1238</v>
      </c>
      <c r="M5" s="232" t="s">
        <v>1239</v>
      </c>
      <c r="N5" s="232" t="s">
        <v>1240</v>
      </c>
      <c r="O5" s="232" t="s">
        <v>1133</v>
      </c>
      <c r="P5" s="234" t="s">
        <v>785</v>
      </c>
      <c r="Q5" s="132"/>
      <c r="R5" s="233" t="s">
        <v>777</v>
      </c>
      <c r="S5" s="232" t="s">
        <v>765</v>
      </c>
      <c r="T5" s="233" t="s">
        <v>766</v>
      </c>
      <c r="U5" s="232" t="s">
        <v>1238</v>
      </c>
      <c r="V5" s="232" t="s">
        <v>1239</v>
      </c>
      <c r="W5" s="232" t="s">
        <v>1240</v>
      </c>
      <c r="X5" s="232" t="s">
        <v>1133</v>
      </c>
      <c r="Y5" s="235" t="s">
        <v>785</v>
      </c>
    </row>
    <row r="6" spans="2:28" x14ac:dyDescent="0.25">
      <c r="I6" s="33" t="s">
        <v>769</v>
      </c>
      <c r="J6" s="31">
        <v>381</v>
      </c>
      <c r="K6" s="27">
        <v>339177</v>
      </c>
      <c r="L6" s="27">
        <f>N6/20</f>
        <v>316565.45949999883</v>
      </c>
      <c r="M6" s="27">
        <f>O6/20</f>
        <v>32829.002999999982</v>
      </c>
      <c r="N6" s="32">
        <v>6331309.1899999762</v>
      </c>
      <c r="O6" s="36">
        <v>656580.05999999971</v>
      </c>
      <c r="P6" s="117">
        <f>+O6/N6</f>
        <v>0.10370367964923258</v>
      </c>
      <c r="Q6" s="132"/>
      <c r="R6" s="31" t="s">
        <v>769</v>
      </c>
      <c r="S6" s="31">
        <v>376</v>
      </c>
      <c r="T6" s="27">
        <v>327023</v>
      </c>
      <c r="U6" s="27">
        <f>W6/20</f>
        <v>288087.5574999993</v>
      </c>
      <c r="V6" s="27">
        <f>X6/20</f>
        <v>24004.757999999994</v>
      </c>
      <c r="W6" s="32">
        <v>5761751.1499999855</v>
      </c>
      <c r="X6" s="36">
        <v>480095.15999999992</v>
      </c>
      <c r="Y6" s="35">
        <f>+X6/W6</f>
        <v>8.3324521920736042E-2</v>
      </c>
    </row>
    <row r="7" spans="2:28" x14ac:dyDescent="0.25">
      <c r="I7" s="33" t="s">
        <v>770</v>
      </c>
      <c r="J7" s="31">
        <v>386</v>
      </c>
      <c r="K7" s="27">
        <v>397866</v>
      </c>
      <c r="L7" s="27">
        <f>N7/23</f>
        <v>329916.90086956439</v>
      </c>
      <c r="M7" s="27">
        <f t="shared" ref="M7:M11" si="0">O7/20</f>
        <v>40836.886999999966</v>
      </c>
      <c r="N7" s="32">
        <v>7588088.7199999811</v>
      </c>
      <c r="O7" s="36">
        <v>816737.73999999929</v>
      </c>
      <c r="P7" s="117">
        <f t="shared" ref="P7:P10" si="1">+O7/N7</f>
        <v>0.10763418432988503</v>
      </c>
      <c r="Q7" s="132"/>
      <c r="R7" s="31" t="s">
        <v>770</v>
      </c>
      <c r="S7" s="31">
        <v>381</v>
      </c>
      <c r="T7" s="27">
        <v>383645</v>
      </c>
      <c r="U7" s="27">
        <f>W7/23</f>
        <v>297757.75999999983</v>
      </c>
      <c r="V7" s="27">
        <f t="shared" ref="V7:V11" si="2">X7/20</f>
        <v>31947.592999999975</v>
      </c>
      <c r="W7" s="32">
        <v>6848428.4799999958</v>
      </c>
      <c r="X7" s="36">
        <v>638951.85999999952</v>
      </c>
      <c r="Y7" s="35">
        <f t="shared" ref="Y7:Y10" si="3">+X7/W7</f>
        <v>9.3299048367954912E-2</v>
      </c>
    </row>
    <row r="8" spans="2:28" x14ac:dyDescent="0.25">
      <c r="I8" s="33" t="s">
        <v>771</v>
      </c>
      <c r="J8" s="31">
        <v>386</v>
      </c>
      <c r="K8" s="27">
        <v>446480</v>
      </c>
      <c r="L8" s="27">
        <f t="shared" ref="L8" si="4">N8/20</f>
        <v>367150.07049999834</v>
      </c>
      <c r="M8" s="27">
        <f t="shared" si="0"/>
        <v>43108.671999999904</v>
      </c>
      <c r="N8" s="32">
        <v>7343001.4099999666</v>
      </c>
      <c r="O8" s="36">
        <v>862173.43999999808</v>
      </c>
      <c r="P8" s="117">
        <f t="shared" si="1"/>
        <v>0.11741430947103713</v>
      </c>
      <c r="Q8" s="132"/>
      <c r="R8" s="31" t="s">
        <v>771</v>
      </c>
      <c r="S8" s="31">
        <v>381</v>
      </c>
      <c r="T8" s="27">
        <v>436096</v>
      </c>
      <c r="U8" s="27">
        <f t="shared" ref="U8" si="5">W8/20</f>
        <v>338213.69599999854</v>
      </c>
      <c r="V8" s="27">
        <f t="shared" si="2"/>
        <v>33762.610999999953</v>
      </c>
      <c r="W8" s="32">
        <v>6764273.9199999711</v>
      </c>
      <c r="X8" s="36">
        <v>675252.21999999904</v>
      </c>
      <c r="Y8" s="35">
        <f t="shared" si="3"/>
        <v>9.9826267828018705E-2</v>
      </c>
    </row>
    <row r="9" spans="2:28" x14ac:dyDescent="0.25">
      <c r="I9" s="33" t="s">
        <v>772</v>
      </c>
      <c r="J9" s="31">
        <v>380</v>
      </c>
      <c r="K9" s="27">
        <v>423404</v>
      </c>
      <c r="L9" s="27">
        <f>N9/19</f>
        <v>389690.53736841911</v>
      </c>
      <c r="M9" s="27">
        <f t="shared" si="0"/>
        <v>46316.512999999977</v>
      </c>
      <c r="N9" s="32">
        <v>7404120.2099999627</v>
      </c>
      <c r="O9" s="36">
        <v>926330.25999999954</v>
      </c>
      <c r="P9" s="117">
        <f t="shared" si="1"/>
        <v>0.12511010541791354</v>
      </c>
      <c r="Q9" s="132"/>
      <c r="R9" s="31" t="s">
        <v>772</v>
      </c>
      <c r="S9" s="31">
        <v>375</v>
      </c>
      <c r="T9" s="27">
        <v>411285</v>
      </c>
      <c r="U9" s="27">
        <f>W9/19</f>
        <v>354239.18631578796</v>
      </c>
      <c r="V9" s="27">
        <f t="shared" si="2"/>
        <v>36405.317499999961</v>
      </c>
      <c r="W9" s="32">
        <v>6730544.5399999712</v>
      </c>
      <c r="X9" s="36">
        <v>728106.34999999928</v>
      </c>
      <c r="Y9" s="35">
        <f t="shared" si="3"/>
        <v>0.10817941188455495</v>
      </c>
    </row>
    <row r="10" spans="2:28" x14ac:dyDescent="0.25">
      <c r="I10" s="33" t="s">
        <v>773</v>
      </c>
      <c r="J10" s="31">
        <v>395</v>
      </c>
      <c r="K10" s="27">
        <v>437568</v>
      </c>
      <c r="L10" s="27">
        <f>N10/22</f>
        <v>368447.54363636166</v>
      </c>
      <c r="M10" s="27">
        <f t="shared" si="0"/>
        <v>51828.774499999985</v>
      </c>
      <c r="N10" s="32">
        <v>8105845.9599999571</v>
      </c>
      <c r="O10" s="36">
        <v>1036575.4899999998</v>
      </c>
      <c r="P10" s="117">
        <f t="shared" si="1"/>
        <v>0.1278799887285306</v>
      </c>
      <c r="Q10" s="132"/>
      <c r="R10" s="31" t="s">
        <v>773</v>
      </c>
      <c r="S10" s="31">
        <v>390</v>
      </c>
      <c r="T10" s="27">
        <v>426174</v>
      </c>
      <c r="U10" s="27">
        <f>W10/22</f>
        <v>339946.23090908863</v>
      </c>
      <c r="V10" s="27">
        <f t="shared" si="2"/>
        <v>40214.482999999964</v>
      </c>
      <c r="W10" s="32">
        <v>7478817.0799999498</v>
      </c>
      <c r="X10" s="36">
        <v>804289.65999999933</v>
      </c>
      <c r="Y10" s="35">
        <f t="shared" si="3"/>
        <v>0.10754236283580888</v>
      </c>
    </row>
    <row r="11" spans="2:28" x14ac:dyDescent="0.25">
      <c r="I11" s="33" t="s">
        <v>790</v>
      </c>
      <c r="J11" s="31">
        <v>451</v>
      </c>
      <c r="K11" s="27">
        <v>378098</v>
      </c>
      <c r="L11" s="27">
        <f>N11/22</f>
        <v>392869.36227272416</v>
      </c>
      <c r="M11" s="27">
        <f t="shared" si="0"/>
        <v>49372.754499999966</v>
      </c>
      <c r="N11" s="32">
        <v>8643125.9699999318</v>
      </c>
      <c r="O11" s="36">
        <v>987455.08999999927</v>
      </c>
      <c r="P11" s="117">
        <v>0.11424744859989668</v>
      </c>
      <c r="Q11" s="132"/>
      <c r="R11" s="31" t="s">
        <v>790</v>
      </c>
      <c r="S11" s="31">
        <v>443</v>
      </c>
      <c r="T11" s="27">
        <v>367439</v>
      </c>
      <c r="U11" s="27">
        <f>W11/22</f>
        <v>366829.49954545166</v>
      </c>
      <c r="V11" s="27">
        <f t="shared" si="2"/>
        <v>38847.561499999982</v>
      </c>
      <c r="W11" s="32">
        <v>8070248.9899999369</v>
      </c>
      <c r="X11" s="36">
        <v>776951.22999999963</v>
      </c>
      <c r="Y11" s="35">
        <v>9.627351410876428E-2</v>
      </c>
    </row>
    <row r="12" spans="2:28" ht="15.75" thickBot="1" x14ac:dyDescent="0.3">
      <c r="I12" s="138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2:28" ht="15.75" thickBot="1" x14ac:dyDescent="0.3"/>
    <row r="14" spans="2:28" ht="21" x14ac:dyDescent="0.35">
      <c r="B14" s="294" t="s">
        <v>1065</v>
      </c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6"/>
    </row>
    <row r="15" spans="2:28" x14ac:dyDescent="0.25">
      <c r="B15" s="127"/>
      <c r="AB15" s="128"/>
    </row>
    <row r="16" spans="2:28" x14ac:dyDescent="0.25">
      <c r="B16" s="297" t="s">
        <v>1234</v>
      </c>
      <c r="C16" s="298"/>
      <c r="D16" s="298"/>
      <c r="E16" s="298"/>
      <c r="F16" s="298"/>
      <c r="G16" s="298"/>
      <c r="H16" s="298"/>
      <c r="I16" s="298"/>
      <c r="J16" s="132"/>
      <c r="K16" s="298" t="s">
        <v>1232</v>
      </c>
      <c r="L16" s="298"/>
      <c r="M16" s="298"/>
      <c r="N16" s="298"/>
      <c r="O16" s="298"/>
      <c r="P16" s="298"/>
      <c r="Q16" s="298"/>
      <c r="R16" s="298"/>
      <c r="T16" s="292" t="s">
        <v>1233</v>
      </c>
      <c r="U16" s="293"/>
      <c r="V16" s="293"/>
      <c r="W16" s="293"/>
      <c r="X16" s="293"/>
      <c r="Y16" s="293"/>
      <c r="Z16" s="293"/>
      <c r="AA16" s="293"/>
      <c r="AB16" s="135"/>
    </row>
    <row r="17" spans="2:28" ht="30" x14ac:dyDescent="0.25">
      <c r="B17" s="218" t="s">
        <v>777</v>
      </c>
      <c r="C17" s="219" t="s">
        <v>765</v>
      </c>
      <c r="D17" s="220" t="s">
        <v>766</v>
      </c>
      <c r="E17" s="219" t="s">
        <v>1238</v>
      </c>
      <c r="F17" s="219" t="s">
        <v>1239</v>
      </c>
      <c r="G17" s="219" t="s">
        <v>1240</v>
      </c>
      <c r="H17" s="219" t="s">
        <v>1133</v>
      </c>
      <c r="I17" s="221" t="s">
        <v>785</v>
      </c>
      <c r="J17" s="132"/>
      <c r="K17" s="220" t="s">
        <v>777</v>
      </c>
      <c r="L17" s="219" t="s">
        <v>765</v>
      </c>
      <c r="M17" s="220" t="s">
        <v>766</v>
      </c>
      <c r="N17" s="219" t="s">
        <v>1238</v>
      </c>
      <c r="O17" s="219" t="s">
        <v>1239</v>
      </c>
      <c r="P17" s="219" t="s">
        <v>1240</v>
      </c>
      <c r="Q17" s="219" t="s">
        <v>1133</v>
      </c>
      <c r="R17" s="220" t="s">
        <v>785</v>
      </c>
      <c r="T17" s="227" t="s">
        <v>777</v>
      </c>
      <c r="U17" s="228" t="s">
        <v>765</v>
      </c>
      <c r="V17" s="229" t="s">
        <v>766</v>
      </c>
      <c r="W17" s="228" t="s">
        <v>1238</v>
      </c>
      <c r="X17" s="228" t="s">
        <v>1239</v>
      </c>
      <c r="Y17" s="228" t="s">
        <v>1240</v>
      </c>
      <c r="Z17" s="228" t="s">
        <v>1133</v>
      </c>
      <c r="AA17" s="230" t="s">
        <v>785</v>
      </c>
      <c r="AB17" s="135"/>
    </row>
    <row r="18" spans="2:28" x14ac:dyDescent="0.25">
      <c r="B18" s="33" t="s">
        <v>769</v>
      </c>
      <c r="C18" s="31">
        <v>351</v>
      </c>
      <c r="D18" s="27">
        <v>310056</v>
      </c>
      <c r="E18" s="27">
        <f>G18/20</f>
        <v>278613.69900000014</v>
      </c>
      <c r="F18" s="27">
        <f>H18/20</f>
        <v>32621.80149999998</v>
      </c>
      <c r="G18" s="32">
        <v>5572273.9800000023</v>
      </c>
      <c r="H18" s="36">
        <v>652436.02999999956</v>
      </c>
      <c r="I18" s="117">
        <v>0.11708613617021023</v>
      </c>
      <c r="J18" s="132"/>
      <c r="K18" s="31" t="s">
        <v>769</v>
      </c>
      <c r="L18" s="31">
        <v>344</v>
      </c>
      <c r="M18" s="27">
        <v>296790</v>
      </c>
      <c r="N18" s="27">
        <f>P18/20</f>
        <v>257378.68799999994</v>
      </c>
      <c r="O18" s="27">
        <f>Q18/20</f>
        <v>22076.188000000002</v>
      </c>
      <c r="P18" s="32">
        <v>5147573.7599999988</v>
      </c>
      <c r="Q18" s="36">
        <v>441523.76000000007</v>
      </c>
      <c r="R18" s="117">
        <v>8.5773177925283425E-2</v>
      </c>
      <c r="T18" s="33" t="s">
        <v>769</v>
      </c>
      <c r="U18" s="31">
        <v>25</v>
      </c>
      <c r="V18" s="27">
        <v>29556</v>
      </c>
      <c r="W18" s="27">
        <f>Y18/20</f>
        <v>15953.891999999998</v>
      </c>
      <c r="X18" s="27">
        <f>Z18/20</f>
        <v>2065.5610000000006</v>
      </c>
      <c r="Y18" s="27">
        <v>319077.83999999997</v>
      </c>
      <c r="Z18" s="36">
        <v>41311.220000000008</v>
      </c>
      <c r="AA18" s="117">
        <v>0.12947066458767556</v>
      </c>
      <c r="AB18" s="135"/>
    </row>
    <row r="19" spans="2:28" x14ac:dyDescent="0.25">
      <c r="B19" s="33" t="s">
        <v>770</v>
      </c>
      <c r="C19" s="31">
        <v>355</v>
      </c>
      <c r="D19" s="27">
        <v>352108</v>
      </c>
      <c r="E19" s="27">
        <f>G19/23</f>
        <v>300955.49608695618</v>
      </c>
      <c r="F19" s="27">
        <f t="shared" ref="F19:F23" si="6">H19/20</f>
        <v>39262.38649999992</v>
      </c>
      <c r="G19" s="32">
        <v>6921976.4099999918</v>
      </c>
      <c r="H19" s="36">
        <v>785247.72999999835</v>
      </c>
      <c r="I19" s="117">
        <v>0.11344270530387422</v>
      </c>
      <c r="J19" s="132"/>
      <c r="K19" s="31" t="s">
        <v>770</v>
      </c>
      <c r="L19" s="31">
        <v>348</v>
      </c>
      <c r="M19" s="27">
        <v>336422</v>
      </c>
      <c r="N19" s="27">
        <f>P19/23</f>
        <v>274283.33652173897</v>
      </c>
      <c r="O19" s="27">
        <f t="shared" ref="O19:O23" si="7">Q19/20</f>
        <v>28583.910499999962</v>
      </c>
      <c r="P19" s="32">
        <v>6308516.7399999956</v>
      </c>
      <c r="Q19" s="36">
        <v>571678.20999999926</v>
      </c>
      <c r="R19" s="117">
        <v>9.0620067055572184E-2</v>
      </c>
      <c r="T19" s="33" t="s">
        <v>770</v>
      </c>
      <c r="U19" s="31">
        <v>27</v>
      </c>
      <c r="V19" s="27">
        <v>46267</v>
      </c>
      <c r="W19" s="27">
        <f>Y19/23</f>
        <v>17629.222608695622</v>
      </c>
      <c r="X19" s="27">
        <f t="shared" ref="X19:X23" si="8">Z19/20</f>
        <v>3370.3074999999944</v>
      </c>
      <c r="Y19" s="27">
        <v>405472.1199999993</v>
      </c>
      <c r="Z19" s="36">
        <v>67406.149999999892</v>
      </c>
      <c r="AA19" s="117">
        <v>0.16624114624699723</v>
      </c>
      <c r="AB19" s="135"/>
    </row>
    <row r="20" spans="2:28" x14ac:dyDescent="0.25">
      <c r="B20" s="33" t="s">
        <v>771</v>
      </c>
      <c r="C20" s="31">
        <v>358</v>
      </c>
      <c r="D20" s="27">
        <v>394929</v>
      </c>
      <c r="E20" s="27">
        <f t="shared" ref="E20" si="9">G20/20</f>
        <v>298852.1594999996</v>
      </c>
      <c r="F20" s="27">
        <f t="shared" si="6"/>
        <v>40956.389999999912</v>
      </c>
      <c r="G20" s="32">
        <v>5977043.189999992</v>
      </c>
      <c r="H20" s="36">
        <v>819127.79999999818</v>
      </c>
      <c r="I20" s="117">
        <v>0.13704565517787387</v>
      </c>
      <c r="J20" s="132"/>
      <c r="K20" s="31" t="s">
        <v>771</v>
      </c>
      <c r="L20" s="31">
        <v>352</v>
      </c>
      <c r="M20" s="27">
        <v>383357</v>
      </c>
      <c r="N20" s="27">
        <f t="shared" ref="N20" si="10">P20/20</f>
        <v>276976.48899999971</v>
      </c>
      <c r="O20" s="27">
        <f t="shared" si="7"/>
        <v>30012.413999999942</v>
      </c>
      <c r="P20" s="32">
        <v>5539529.7799999937</v>
      </c>
      <c r="Q20" s="36">
        <v>600248.27999999886</v>
      </c>
      <c r="R20" s="117">
        <v>0.1083572620490542</v>
      </c>
      <c r="T20" s="33" t="s">
        <v>771</v>
      </c>
      <c r="U20" s="31">
        <v>26</v>
      </c>
      <c r="V20" s="27">
        <v>52327</v>
      </c>
      <c r="W20" s="27">
        <f t="shared" ref="W20" si="11">Y20/20</f>
        <v>11563.398499999988</v>
      </c>
      <c r="X20" s="27">
        <f t="shared" si="8"/>
        <v>3370.3074999999944</v>
      </c>
      <c r="Y20" s="27">
        <v>231267.96999999977</v>
      </c>
      <c r="Z20" s="36">
        <v>67406.149999999892</v>
      </c>
      <c r="AA20" s="117">
        <v>0.29146340498426981</v>
      </c>
      <c r="AB20" s="135"/>
    </row>
    <row r="21" spans="2:28" x14ac:dyDescent="0.25">
      <c r="B21" s="33" t="s">
        <v>772</v>
      </c>
      <c r="C21" s="31">
        <v>349</v>
      </c>
      <c r="D21" s="27">
        <v>370672</v>
      </c>
      <c r="E21" s="27">
        <f>G21/19</f>
        <v>308321.09947368206</v>
      </c>
      <c r="F21" s="27">
        <f t="shared" si="6"/>
        <v>44017.588499999998</v>
      </c>
      <c r="G21" s="32">
        <v>5858100.8899999587</v>
      </c>
      <c r="H21" s="36">
        <v>880351.77</v>
      </c>
      <c r="I21" s="117">
        <v>0.15027938004666325</v>
      </c>
      <c r="J21" s="132"/>
      <c r="K21" s="31" t="s">
        <v>772</v>
      </c>
      <c r="L21" s="31">
        <v>342</v>
      </c>
      <c r="M21" s="27">
        <v>355466</v>
      </c>
      <c r="N21" s="27">
        <f>P21/19</f>
        <v>280414.36894736701</v>
      </c>
      <c r="O21" s="27">
        <f t="shared" si="7"/>
        <v>31397.48999999998</v>
      </c>
      <c r="P21" s="32">
        <v>5327873.0099999728</v>
      </c>
      <c r="Q21" s="36">
        <v>627949.79999999958</v>
      </c>
      <c r="R21" s="117">
        <v>0.11786125510525312</v>
      </c>
      <c r="T21" s="33" t="s">
        <v>772</v>
      </c>
      <c r="U21" s="31">
        <v>25</v>
      </c>
      <c r="V21" s="27">
        <v>53425</v>
      </c>
      <c r="W21" s="27">
        <f>Y21/19</f>
        <v>12840.581578947353</v>
      </c>
      <c r="X21" s="27">
        <f t="shared" si="8"/>
        <v>4147.8229999999958</v>
      </c>
      <c r="Y21" s="27">
        <v>243971.0499999997</v>
      </c>
      <c r="Z21" s="36">
        <v>82956.459999999919</v>
      </c>
      <c r="AA21" s="117">
        <v>0.3400258350324763</v>
      </c>
      <c r="AB21" s="135"/>
    </row>
    <row r="22" spans="2:28" x14ac:dyDescent="0.25">
      <c r="B22" s="33" t="s">
        <v>773</v>
      </c>
      <c r="C22" s="31">
        <v>356</v>
      </c>
      <c r="D22" s="27">
        <v>384155</v>
      </c>
      <c r="E22" s="27">
        <f>G22/22</f>
        <v>295908.12636363471</v>
      </c>
      <c r="F22" s="27">
        <f t="shared" si="6"/>
        <v>48267.767499999973</v>
      </c>
      <c r="G22" s="32">
        <v>6509978.7799999639</v>
      </c>
      <c r="H22" s="36">
        <v>965355.34999999939</v>
      </c>
      <c r="I22" s="117">
        <v>0.14828855555808812</v>
      </c>
      <c r="J22" s="132"/>
      <c r="K22" s="31" t="s">
        <v>773</v>
      </c>
      <c r="L22" s="31">
        <v>349</v>
      </c>
      <c r="M22" s="27">
        <v>370620</v>
      </c>
      <c r="N22" s="27">
        <f>P22/22</f>
        <v>275813.52909090742</v>
      </c>
      <c r="O22" s="27">
        <f t="shared" si="7"/>
        <v>33575.391499999991</v>
      </c>
      <c r="P22" s="32">
        <v>6067897.6399999633</v>
      </c>
      <c r="Q22" s="36">
        <v>671507.82999999984</v>
      </c>
      <c r="R22" s="117">
        <v>0.11066564893471141</v>
      </c>
      <c r="T22" s="33" t="s">
        <v>773</v>
      </c>
      <c r="U22" s="31">
        <v>31</v>
      </c>
      <c r="V22" s="27">
        <v>54297</v>
      </c>
      <c r="W22" s="27">
        <f>Y22/22</f>
        <v>24534.316818181072</v>
      </c>
      <c r="X22" s="27">
        <f t="shared" si="8"/>
        <v>4633.3905000000159</v>
      </c>
      <c r="Y22" s="27">
        <v>539754.96999998356</v>
      </c>
      <c r="Z22" s="36">
        <v>92667.810000000318</v>
      </c>
      <c r="AA22" s="117">
        <v>0.17168495919547186</v>
      </c>
      <c r="AB22" s="135"/>
    </row>
    <row r="23" spans="2:28" x14ac:dyDescent="0.25">
      <c r="B23" s="33" t="s">
        <v>790</v>
      </c>
      <c r="C23" s="31">
        <v>361</v>
      </c>
      <c r="D23" s="27">
        <v>420696</v>
      </c>
      <c r="E23" s="27">
        <f>G23/22</f>
        <v>314105.84863636037</v>
      </c>
      <c r="F23" s="27">
        <f t="shared" si="6"/>
        <v>42034.374999999898</v>
      </c>
      <c r="G23" s="32">
        <v>6910328.6699999282</v>
      </c>
      <c r="H23" s="36">
        <v>840687.49999999802</v>
      </c>
      <c r="I23" s="117">
        <v>0.12165665920489521</v>
      </c>
      <c r="J23" s="132"/>
      <c r="K23" s="31" t="s">
        <v>790</v>
      </c>
      <c r="L23" s="31">
        <v>354</v>
      </c>
      <c r="M23" s="27">
        <v>410543</v>
      </c>
      <c r="N23" s="27">
        <f>P23/22</f>
        <v>299730.30545454234</v>
      </c>
      <c r="O23" s="27">
        <f t="shared" si="7"/>
        <v>31421.424999999872</v>
      </c>
      <c r="P23" s="32">
        <v>6594066.7199999318</v>
      </c>
      <c r="Q23" s="36">
        <v>628428.49999999744</v>
      </c>
      <c r="R23" s="117">
        <v>9.5302114261895721E-2</v>
      </c>
      <c r="T23" s="33" t="s">
        <v>790</v>
      </c>
      <c r="U23" s="31">
        <v>32</v>
      </c>
      <c r="V23" s="27">
        <v>73382</v>
      </c>
      <c r="W23" s="27">
        <f>Y23/22</f>
        <v>28039.541363636028</v>
      </c>
      <c r="X23" s="27">
        <f t="shared" si="8"/>
        <v>8185.4380000000801</v>
      </c>
      <c r="Y23" s="27">
        <v>616869.90999999258</v>
      </c>
      <c r="Z23" s="36">
        <v>163708.76000000161</v>
      </c>
      <c r="AA23" s="117">
        <v>0.2653861978776102</v>
      </c>
      <c r="AB23" s="135"/>
    </row>
    <row r="24" spans="2:28" x14ac:dyDescent="0.25">
      <c r="B24" s="127"/>
      <c r="AB24" s="128"/>
    </row>
    <row r="25" spans="2:28" ht="15.75" thickBot="1" x14ac:dyDescent="0.3"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</row>
  </sheetData>
  <mergeCells count="7">
    <mergeCell ref="I2:Y2"/>
    <mergeCell ref="I4:P4"/>
    <mergeCell ref="R4:Y4"/>
    <mergeCell ref="T16:AA16"/>
    <mergeCell ref="B14:AB14"/>
    <mergeCell ref="B16:I16"/>
    <mergeCell ref="K16:R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25"/>
  <sheetViews>
    <sheetView showGridLines="0" zoomScaleNormal="100" workbookViewId="0"/>
  </sheetViews>
  <sheetFormatPr defaultRowHeight="15" x14ac:dyDescent="0.25"/>
  <cols>
    <col min="2" max="2" width="6.85546875" bestFit="1" customWidth="1"/>
    <col min="3" max="3" width="8.7109375" bestFit="1" customWidth="1"/>
    <col min="4" max="4" width="6.28515625" bestFit="1" customWidth="1"/>
    <col min="5" max="6" width="14.7109375" bestFit="1" customWidth="1"/>
    <col min="7" max="7" width="7.140625" bestFit="1" customWidth="1"/>
    <col min="8" max="9" width="14.7109375" bestFit="1" customWidth="1"/>
    <col min="10" max="10" width="8.7109375" bestFit="1" customWidth="1"/>
    <col min="11" max="11" width="6.28515625" bestFit="1" customWidth="1"/>
    <col min="12" max="13" width="14.7109375" bestFit="1" customWidth="1"/>
    <col min="14" max="14" width="7.140625" bestFit="1" customWidth="1"/>
    <col min="15" max="15" width="14.7109375" bestFit="1" customWidth="1"/>
    <col min="16" max="16" width="8.7109375" bestFit="1" customWidth="1"/>
    <col min="17" max="17" width="8.7109375" customWidth="1"/>
    <col min="18" max="18" width="6.28515625" customWidth="1"/>
    <col min="19" max="20" width="14.7109375" bestFit="1" customWidth="1"/>
    <col min="21" max="21" width="7.140625" bestFit="1" customWidth="1"/>
  </cols>
  <sheetData>
    <row r="1" spans="2:22" ht="15.75" thickBot="1" x14ac:dyDescent="0.3"/>
    <row r="2" spans="2:22" ht="18.75" x14ac:dyDescent="0.3">
      <c r="E2" s="286" t="s">
        <v>1064</v>
      </c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8"/>
    </row>
    <row r="3" spans="2:22" x14ac:dyDescent="0.25">
      <c r="E3" s="127"/>
      <c r="Q3" s="128"/>
    </row>
    <row r="4" spans="2:22" x14ac:dyDescent="0.25">
      <c r="E4" s="299" t="s">
        <v>764</v>
      </c>
      <c r="F4" s="300"/>
      <c r="G4" s="300"/>
      <c r="H4" s="300"/>
      <c r="I4" s="300"/>
      <c r="J4" s="300"/>
      <c r="K4" s="129"/>
      <c r="L4" s="300" t="s">
        <v>784</v>
      </c>
      <c r="M4" s="300"/>
      <c r="N4" s="300"/>
      <c r="O4" s="300"/>
      <c r="P4" s="300"/>
      <c r="Q4" s="301"/>
    </row>
    <row r="5" spans="2:22" ht="30" x14ac:dyDescent="0.25">
      <c r="E5" s="141" t="s">
        <v>777</v>
      </c>
      <c r="F5" s="122" t="s">
        <v>765</v>
      </c>
      <c r="G5" s="121" t="s">
        <v>766</v>
      </c>
      <c r="H5" s="121" t="s">
        <v>767</v>
      </c>
      <c r="I5" s="121" t="s">
        <v>768</v>
      </c>
      <c r="J5" s="123" t="s">
        <v>785</v>
      </c>
      <c r="K5" s="132"/>
      <c r="L5" s="121" t="s">
        <v>777</v>
      </c>
      <c r="M5" s="122" t="s">
        <v>765</v>
      </c>
      <c r="N5" s="121" t="s">
        <v>766</v>
      </c>
      <c r="O5" s="121" t="s">
        <v>767</v>
      </c>
      <c r="P5" s="122" t="s">
        <v>768</v>
      </c>
      <c r="Q5" s="142" t="s">
        <v>785</v>
      </c>
    </row>
    <row r="6" spans="2:22" x14ac:dyDescent="0.25">
      <c r="E6" s="33" t="s">
        <v>769</v>
      </c>
      <c r="F6" s="31">
        <v>295</v>
      </c>
      <c r="G6" s="27">
        <v>418514.39372294373</v>
      </c>
      <c r="H6" s="32">
        <v>8210000</v>
      </c>
      <c r="I6" s="34">
        <v>1699175.0217315999</v>
      </c>
      <c r="J6" s="117">
        <f>+I6/H6</f>
        <v>0.2069640708564677</v>
      </c>
      <c r="K6" s="132"/>
      <c r="L6" s="31" t="s">
        <v>769</v>
      </c>
      <c r="M6" s="31">
        <v>292</v>
      </c>
      <c r="N6" s="27">
        <v>410551.89372294373</v>
      </c>
      <c r="O6" s="32">
        <v>8162031.5016236482</v>
      </c>
      <c r="P6" s="36">
        <v>984751.58173160127</v>
      </c>
      <c r="Q6" s="35">
        <f>+P6/O6</f>
        <v>0.12065030397587997</v>
      </c>
    </row>
    <row r="7" spans="2:22" x14ac:dyDescent="0.25">
      <c r="E7" s="33" t="s">
        <v>770</v>
      </c>
      <c r="F7" s="31">
        <v>260</v>
      </c>
      <c r="G7" s="27">
        <v>343636.91233766236</v>
      </c>
      <c r="H7" s="32">
        <v>6700000</v>
      </c>
      <c r="I7" s="34">
        <v>1063643.7428246748</v>
      </c>
      <c r="J7" s="117">
        <f t="shared" ref="J7:J10" si="0">+I7/H7</f>
        <v>0.15875279743651863</v>
      </c>
      <c r="K7" s="132"/>
      <c r="L7" s="31" t="s">
        <v>770</v>
      </c>
      <c r="M7" s="31">
        <v>258</v>
      </c>
      <c r="N7" s="27">
        <v>340223.91233766236</v>
      </c>
      <c r="O7" s="32">
        <v>6627463.2634794209</v>
      </c>
      <c r="P7" s="36">
        <v>776968.22282467515</v>
      </c>
      <c r="Q7" s="35">
        <f t="shared" ref="Q7:Q10" si="1">+P7/O7</f>
        <v>0.11723463291092866</v>
      </c>
    </row>
    <row r="8" spans="2:22" x14ac:dyDescent="0.25">
      <c r="E8" s="33" t="s">
        <v>771</v>
      </c>
      <c r="F8" s="31">
        <v>253</v>
      </c>
      <c r="G8" s="27">
        <v>297521.18419913418</v>
      </c>
      <c r="H8" s="32">
        <v>7010000</v>
      </c>
      <c r="I8" s="34">
        <v>1140054.7587337657</v>
      </c>
      <c r="J8" s="117">
        <f t="shared" si="0"/>
        <v>0.16263263320025187</v>
      </c>
      <c r="K8" s="132"/>
      <c r="L8" s="31" t="s">
        <v>771</v>
      </c>
      <c r="M8" s="31">
        <v>251</v>
      </c>
      <c r="N8" s="27">
        <v>293708.18419913418</v>
      </c>
      <c r="O8" s="32">
        <v>6943915.581940758</v>
      </c>
      <c r="P8" s="36">
        <v>818471.2387337666</v>
      </c>
      <c r="Q8" s="35">
        <f t="shared" si="1"/>
        <v>0.11786883482028331</v>
      </c>
    </row>
    <row r="9" spans="2:22" x14ac:dyDescent="0.25">
      <c r="E9" s="33" t="s">
        <v>772</v>
      </c>
      <c r="F9" s="31">
        <v>268</v>
      </c>
      <c r="G9" s="27">
        <v>377950.98160173162</v>
      </c>
      <c r="H9" s="32">
        <v>7630000</v>
      </c>
      <c r="I9" s="34">
        <v>1304618.9876623389</v>
      </c>
      <c r="J9" s="117">
        <f t="shared" si="0"/>
        <v>0.17098545054552278</v>
      </c>
      <c r="K9" s="132"/>
      <c r="L9" s="31" t="s">
        <v>772</v>
      </c>
      <c r="M9" s="31">
        <v>265</v>
      </c>
      <c r="N9" s="27">
        <v>372135.23160173162</v>
      </c>
      <c r="O9" s="32">
        <v>7568451.0025396273</v>
      </c>
      <c r="P9" s="36">
        <v>924932.30766233685</v>
      </c>
      <c r="Q9" s="35">
        <f t="shared" si="1"/>
        <v>0.12220893117389169</v>
      </c>
    </row>
    <row r="10" spans="2:22" x14ac:dyDescent="0.25">
      <c r="E10" s="33" t="s">
        <v>773</v>
      </c>
      <c r="F10" s="31">
        <v>281</v>
      </c>
      <c r="G10" s="27">
        <v>336499.9155844156</v>
      </c>
      <c r="H10" s="32">
        <v>6930000</v>
      </c>
      <c r="I10" s="34">
        <v>1153510.1074134209</v>
      </c>
      <c r="J10" s="117">
        <f t="shared" si="0"/>
        <v>0.16645167495143159</v>
      </c>
      <c r="K10" s="132"/>
      <c r="L10" s="31" t="s">
        <v>773</v>
      </c>
      <c r="M10" s="31">
        <v>278</v>
      </c>
      <c r="N10" s="27">
        <v>330230.6655844156</v>
      </c>
      <c r="O10" s="32">
        <v>6804735.7606181949</v>
      </c>
      <c r="P10" s="36">
        <v>820789.70741342066</v>
      </c>
      <c r="Q10" s="35">
        <f t="shared" si="1"/>
        <v>0.12062036444731158</v>
      </c>
    </row>
    <row r="11" spans="2:22" x14ac:dyDescent="0.25">
      <c r="E11" s="33" t="s">
        <v>790</v>
      </c>
      <c r="F11" s="31">
        <v>319</v>
      </c>
      <c r="G11" s="27">
        <v>496145.71</v>
      </c>
      <c r="H11" s="32">
        <v>8446978.4073087126</v>
      </c>
      <c r="I11" s="34">
        <v>2030463.6876000015</v>
      </c>
      <c r="J11" s="117">
        <f>+I11/H11</f>
        <v>0.24037751604090182</v>
      </c>
      <c r="K11" s="132"/>
      <c r="L11" s="31" t="s">
        <v>790</v>
      </c>
      <c r="M11" s="31">
        <f>+F11-5</f>
        <v>314</v>
      </c>
      <c r="N11" s="27">
        <v>480227.71</v>
      </c>
      <c r="O11" s="32">
        <v>8340364.9700000091</v>
      </c>
      <c r="P11" s="34">
        <v>1295944.3976000007</v>
      </c>
      <c r="Q11" s="35">
        <f>+P11/O11</f>
        <v>0.15538221675687644</v>
      </c>
    </row>
    <row r="12" spans="2:22" ht="15.75" thickBot="1" x14ac:dyDescent="0.3">
      <c r="E12" s="148"/>
      <c r="F12" s="149"/>
      <c r="G12" s="149"/>
      <c r="H12" s="149"/>
      <c r="I12" s="149"/>
      <c r="J12" s="150"/>
      <c r="K12" s="149"/>
      <c r="L12" s="149"/>
      <c r="M12" s="149"/>
      <c r="N12" s="149"/>
      <c r="O12" s="149"/>
      <c r="P12" s="149"/>
      <c r="Q12" s="151"/>
    </row>
    <row r="13" spans="2:22" ht="15.75" thickBot="1" x14ac:dyDescent="0.3"/>
    <row r="14" spans="2:22" ht="18.75" x14ac:dyDescent="0.3">
      <c r="B14" s="286" t="s">
        <v>1065</v>
      </c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8"/>
    </row>
    <row r="15" spans="2:22" x14ac:dyDescent="0.25">
      <c r="B15" s="127"/>
      <c r="V15" s="128"/>
    </row>
    <row r="16" spans="2:22" x14ac:dyDescent="0.25">
      <c r="B16" s="297" t="s">
        <v>1235</v>
      </c>
      <c r="C16" s="298"/>
      <c r="D16" s="298"/>
      <c r="E16" s="298"/>
      <c r="F16" s="298"/>
      <c r="G16" s="298"/>
      <c r="H16" s="129"/>
      <c r="I16" s="298" t="s">
        <v>1236</v>
      </c>
      <c r="J16" s="298"/>
      <c r="K16" s="298"/>
      <c r="L16" s="298"/>
      <c r="M16" s="298"/>
      <c r="N16" s="298"/>
      <c r="O16" s="226"/>
      <c r="P16" s="302" t="s">
        <v>1237</v>
      </c>
      <c r="Q16" s="303"/>
      <c r="R16" s="303"/>
      <c r="S16" s="303"/>
      <c r="T16" s="303"/>
      <c r="U16" s="303"/>
      <c r="V16" s="250"/>
    </row>
    <row r="17" spans="2:22" ht="30" x14ac:dyDescent="0.25">
      <c r="B17" s="218" t="s">
        <v>777</v>
      </c>
      <c r="C17" s="219" t="s">
        <v>765</v>
      </c>
      <c r="D17" s="220" t="s">
        <v>766</v>
      </c>
      <c r="E17" s="220" t="s">
        <v>767</v>
      </c>
      <c r="F17" s="220" t="s">
        <v>768</v>
      </c>
      <c r="G17" s="221" t="s">
        <v>785</v>
      </c>
      <c r="H17" s="132"/>
      <c r="I17" s="220" t="s">
        <v>777</v>
      </c>
      <c r="J17" s="219" t="s">
        <v>765</v>
      </c>
      <c r="K17" s="220" t="s">
        <v>766</v>
      </c>
      <c r="L17" s="220" t="s">
        <v>767</v>
      </c>
      <c r="M17" s="219" t="s">
        <v>768</v>
      </c>
      <c r="N17" s="221" t="s">
        <v>785</v>
      </c>
      <c r="P17" s="222" t="s">
        <v>777</v>
      </c>
      <c r="Q17" s="223" t="s">
        <v>765</v>
      </c>
      <c r="R17" s="224" t="s">
        <v>766</v>
      </c>
      <c r="S17" s="224" t="s">
        <v>767</v>
      </c>
      <c r="T17" s="224" t="s">
        <v>768</v>
      </c>
      <c r="U17" s="225" t="s">
        <v>785</v>
      </c>
      <c r="V17" s="135"/>
    </row>
    <row r="18" spans="2:22" x14ac:dyDescent="0.25">
      <c r="B18" s="33" t="s">
        <v>769</v>
      </c>
      <c r="C18" s="31">
        <v>279</v>
      </c>
      <c r="D18" s="27">
        <v>367568.06038961041</v>
      </c>
      <c r="E18" s="32">
        <v>7055393.0100000007</v>
      </c>
      <c r="F18" s="34">
        <v>1616962.6617316015</v>
      </c>
      <c r="G18" s="117">
        <v>0.22918109018729224</v>
      </c>
      <c r="H18" s="132"/>
      <c r="I18" s="31" t="s">
        <v>769</v>
      </c>
      <c r="J18" s="31">
        <v>273</v>
      </c>
      <c r="K18" s="27">
        <v>345672.3603896104</v>
      </c>
      <c r="L18" s="32">
        <v>6468748.0700000012</v>
      </c>
      <c r="M18" s="36">
        <v>784284.86173160153</v>
      </c>
      <c r="N18" s="117">
        <v>0.12124214040254026</v>
      </c>
      <c r="P18" s="33" t="s">
        <v>769</v>
      </c>
      <c r="Q18" s="31">
        <v>16</v>
      </c>
      <c r="R18" s="27">
        <v>50946.333333333328</v>
      </c>
      <c r="S18" s="32">
        <v>1017299.89</v>
      </c>
      <c r="T18" s="34">
        <v>80906.819999999992</v>
      </c>
      <c r="U18" s="117">
        <v>7.9530943427114684E-2</v>
      </c>
      <c r="V18" s="135"/>
    </row>
    <row r="19" spans="2:22" x14ac:dyDescent="0.25">
      <c r="B19" s="33" t="s">
        <v>770</v>
      </c>
      <c r="C19" s="31">
        <v>243</v>
      </c>
      <c r="D19" s="27">
        <v>294215.24567099568</v>
      </c>
      <c r="E19" s="32">
        <v>5546326.8300000047</v>
      </c>
      <c r="F19" s="36">
        <v>981990.41282467486</v>
      </c>
      <c r="G19" s="117">
        <v>0.17705238853092867</v>
      </c>
      <c r="H19" s="132"/>
      <c r="I19" s="31" t="s">
        <v>770</v>
      </c>
      <c r="J19" s="31">
        <v>238</v>
      </c>
      <c r="K19" s="27">
        <v>281476.9123376623</v>
      </c>
      <c r="L19" s="32">
        <v>5166716.950000003</v>
      </c>
      <c r="M19" s="36">
        <v>614441.3594913421</v>
      </c>
      <c r="N19" s="117">
        <v>0.1189229767059993</v>
      </c>
      <c r="P19" s="33" t="s">
        <v>770</v>
      </c>
      <c r="Q19" s="31">
        <v>17</v>
      </c>
      <c r="R19" s="27">
        <v>49421.666666666672</v>
      </c>
      <c r="S19" s="32">
        <v>996797.80999999994</v>
      </c>
      <c r="T19" s="36">
        <v>77882.45</v>
      </c>
      <c r="U19" s="117">
        <v>7.8132645576338103E-2</v>
      </c>
      <c r="V19" s="135"/>
    </row>
    <row r="20" spans="2:22" x14ac:dyDescent="0.25">
      <c r="B20" s="33" t="s">
        <v>771</v>
      </c>
      <c r="C20" s="31">
        <v>230</v>
      </c>
      <c r="D20" s="27">
        <v>254854.51753246752</v>
      </c>
      <c r="E20" s="32">
        <v>6181422.4200000037</v>
      </c>
      <c r="F20" s="34">
        <v>1037936.2287337664</v>
      </c>
      <c r="G20" s="117">
        <v>0.16791219855409359</v>
      </c>
      <c r="H20" s="132"/>
      <c r="I20" s="31" t="s">
        <v>771</v>
      </c>
      <c r="J20" s="31">
        <v>225</v>
      </c>
      <c r="K20" s="27">
        <v>243274.71753246753</v>
      </c>
      <c r="L20" s="32">
        <v>5852920.0100000026</v>
      </c>
      <c r="M20" s="36">
        <v>654815.94873376691</v>
      </c>
      <c r="N20" s="117">
        <v>0.11187850638911544</v>
      </c>
      <c r="P20" s="33" t="s">
        <v>771</v>
      </c>
      <c r="Q20" s="31">
        <v>23</v>
      </c>
      <c r="R20" s="27">
        <v>42666.666666666672</v>
      </c>
      <c r="S20" s="32">
        <v>780542.79</v>
      </c>
      <c r="T20" s="34">
        <v>98694.210000000021</v>
      </c>
      <c r="U20" s="117">
        <v>0.12644304868923331</v>
      </c>
      <c r="V20" s="135"/>
    </row>
    <row r="21" spans="2:22" x14ac:dyDescent="0.25">
      <c r="B21" s="33" t="s">
        <v>772</v>
      </c>
      <c r="C21" s="31">
        <v>238</v>
      </c>
      <c r="D21" s="27">
        <v>325821.8603896104</v>
      </c>
      <c r="E21" s="32">
        <v>6323811.1900000013</v>
      </c>
      <c r="F21" s="34">
        <v>1162311.7664502165</v>
      </c>
      <c r="G21" s="117">
        <v>0.18379925199035177</v>
      </c>
      <c r="H21" s="132"/>
      <c r="I21" s="31" t="s">
        <v>772</v>
      </c>
      <c r="J21" s="31">
        <v>232</v>
      </c>
      <c r="K21" s="27">
        <v>314379.44372294372</v>
      </c>
      <c r="L21" s="32">
        <v>6100277.3000000026</v>
      </c>
      <c r="M21" s="36">
        <v>740707.79978354904</v>
      </c>
      <c r="N21" s="117">
        <v>0.12142198843707461</v>
      </c>
      <c r="P21" s="33" t="s">
        <v>772</v>
      </c>
      <c r="Q21" s="31">
        <v>30</v>
      </c>
      <c r="R21" s="27">
        <v>52129.121212121216</v>
      </c>
      <c r="S21" s="32">
        <v>933522.83</v>
      </c>
      <c r="T21" s="34">
        <v>133483.60121212123</v>
      </c>
      <c r="U21" s="117">
        <v>0.14298911276987328</v>
      </c>
      <c r="V21" s="135"/>
    </row>
    <row r="22" spans="2:22" x14ac:dyDescent="0.25">
      <c r="B22" s="33" t="s">
        <v>773</v>
      </c>
      <c r="C22" s="31">
        <v>253</v>
      </c>
      <c r="D22" s="27">
        <v>293587.58225108223</v>
      </c>
      <c r="E22" s="32">
        <v>5744574.2099999962</v>
      </c>
      <c r="F22" s="34">
        <v>1019523.2974134206</v>
      </c>
      <c r="G22" s="117">
        <v>0.17747586855761435</v>
      </c>
      <c r="H22" s="132"/>
      <c r="I22" s="31" t="s">
        <v>773</v>
      </c>
      <c r="J22" s="31">
        <v>246</v>
      </c>
      <c r="K22" s="27">
        <v>281227.66558441555</v>
      </c>
      <c r="L22" s="32">
        <v>5521600.1299999962</v>
      </c>
      <c r="M22" s="36">
        <v>629816.79074675334</v>
      </c>
      <c r="N22" s="117">
        <v>0.11406417993306477</v>
      </c>
      <c r="P22" s="33" t="s">
        <v>773</v>
      </c>
      <c r="Q22" s="31">
        <v>28</v>
      </c>
      <c r="R22" s="27">
        <v>42912.333333333328</v>
      </c>
      <c r="S22" s="32">
        <v>878155.92</v>
      </c>
      <c r="T22" s="34">
        <v>130182.13</v>
      </c>
      <c r="U22" s="117">
        <v>0.1482448925471003</v>
      </c>
      <c r="V22" s="135"/>
    </row>
    <row r="23" spans="2:22" x14ac:dyDescent="0.25">
      <c r="B23" s="33" t="s">
        <v>790</v>
      </c>
      <c r="C23" s="31">
        <v>280</v>
      </c>
      <c r="D23" s="27">
        <v>402727</v>
      </c>
      <c r="E23" s="32">
        <v>6958472.0400000019</v>
      </c>
      <c r="F23" s="34">
        <v>1646964.9077474885</v>
      </c>
      <c r="G23" s="117">
        <v>0.23668484953019772</v>
      </c>
      <c r="H23" s="132"/>
      <c r="I23" s="31" t="s">
        <v>790</v>
      </c>
      <c r="J23" s="31">
        <v>273</v>
      </c>
      <c r="K23" s="27">
        <v>377665</v>
      </c>
      <c r="L23" s="32">
        <v>6177057.7300000032</v>
      </c>
      <c r="M23" s="36">
        <v>844908.82774748909</v>
      </c>
      <c r="N23" s="117">
        <v>0.13678175997029068</v>
      </c>
      <c r="P23" s="33" t="s">
        <v>790</v>
      </c>
      <c r="Q23" s="31">
        <v>35</v>
      </c>
      <c r="R23" s="27">
        <v>79258.709999999992</v>
      </c>
      <c r="S23" s="32">
        <v>1321022.4600000002</v>
      </c>
      <c r="T23" s="34">
        <v>274037.32407412888</v>
      </c>
      <c r="U23" s="117">
        <v>0.20744334965669609</v>
      </c>
      <c r="V23" s="135"/>
    </row>
    <row r="24" spans="2:22" x14ac:dyDescent="0.25">
      <c r="B24" s="127"/>
      <c r="V24" s="128"/>
    </row>
    <row r="25" spans="2:22" ht="15.75" thickBot="1" x14ac:dyDescent="0.3"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40"/>
    </row>
  </sheetData>
  <mergeCells count="7">
    <mergeCell ref="E2:Q2"/>
    <mergeCell ref="E4:J4"/>
    <mergeCell ref="L4:Q4"/>
    <mergeCell ref="P16:U16"/>
    <mergeCell ref="B14:V14"/>
    <mergeCell ref="B16:G16"/>
    <mergeCell ref="I16:N1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zoomScaleNormal="100" workbookViewId="0">
      <selection activeCell="A25" sqref="A25:F25"/>
    </sheetView>
  </sheetViews>
  <sheetFormatPr defaultRowHeight="15" x14ac:dyDescent="0.25"/>
  <cols>
    <col min="1" max="1" width="7" bestFit="1" customWidth="1"/>
    <col min="2" max="2" width="8.7109375" bestFit="1" customWidth="1"/>
    <col min="3" max="3" width="6.28515625" bestFit="1" customWidth="1"/>
    <col min="4" max="4" width="16.28515625" bestFit="1" customWidth="1"/>
    <col min="5" max="5" width="14.7109375" bestFit="1" customWidth="1"/>
    <col min="6" max="6" width="7.28515625" bestFit="1" customWidth="1"/>
    <col min="8" max="8" width="7" bestFit="1" customWidth="1"/>
    <col min="9" max="9" width="8.7109375" bestFit="1" customWidth="1"/>
    <col min="10" max="10" width="6.28515625" bestFit="1" customWidth="1"/>
    <col min="11" max="11" width="14.7109375" bestFit="1" customWidth="1"/>
    <col min="12" max="12" width="9.7109375" bestFit="1" customWidth="1"/>
    <col min="13" max="13" width="7.28515625" bestFit="1" customWidth="1"/>
    <col min="15" max="15" width="7" customWidth="1"/>
    <col min="16" max="16" width="8.7109375" customWidth="1"/>
    <col min="17" max="17" width="6.28515625" customWidth="1"/>
    <col min="18" max="19" width="14.7109375" bestFit="1" customWidth="1"/>
    <col min="20" max="20" width="7.28515625" customWidth="1"/>
    <col min="22" max="22" width="7" customWidth="1"/>
    <col min="23" max="23" width="8.7109375" customWidth="1"/>
    <col min="24" max="24" width="6.28515625" customWidth="1"/>
    <col min="25" max="25" width="14.7109375" bestFit="1" customWidth="1"/>
    <col min="27" max="27" width="7.28515625" customWidth="1"/>
  </cols>
  <sheetData>
    <row r="1" spans="1:13" ht="18.75" x14ac:dyDescent="0.3">
      <c r="A1" s="286" t="s">
        <v>1064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8"/>
    </row>
    <row r="2" spans="1:13" x14ac:dyDescent="0.25">
      <c r="A2" s="127"/>
      <c r="M2" s="128"/>
    </row>
    <row r="3" spans="1:13" x14ac:dyDescent="0.25">
      <c r="A3" s="307" t="s">
        <v>764</v>
      </c>
      <c r="B3" s="308"/>
      <c r="C3" s="308"/>
      <c r="D3" s="308"/>
      <c r="E3" s="308"/>
      <c r="F3" s="308"/>
      <c r="G3" s="132"/>
      <c r="H3" s="308" t="s">
        <v>784</v>
      </c>
      <c r="I3" s="308"/>
      <c r="J3" s="308"/>
      <c r="K3" s="308"/>
      <c r="L3" s="308"/>
      <c r="M3" s="309"/>
    </row>
    <row r="4" spans="1:13" ht="30" x14ac:dyDescent="0.25">
      <c r="A4" s="141" t="s">
        <v>777</v>
      </c>
      <c r="B4" s="122" t="s">
        <v>765</v>
      </c>
      <c r="C4" s="121" t="s">
        <v>766</v>
      </c>
      <c r="D4" s="121" t="s">
        <v>767</v>
      </c>
      <c r="E4" s="121" t="s">
        <v>768</v>
      </c>
      <c r="F4" s="123" t="s">
        <v>785</v>
      </c>
      <c r="G4" s="132"/>
      <c r="H4" s="121" t="s">
        <v>777</v>
      </c>
      <c r="I4" s="122" t="s">
        <v>765</v>
      </c>
      <c r="J4" s="121" t="s">
        <v>766</v>
      </c>
      <c r="K4" s="121" t="s">
        <v>767</v>
      </c>
      <c r="L4" s="122" t="s">
        <v>768</v>
      </c>
      <c r="M4" s="142" t="s">
        <v>785</v>
      </c>
    </row>
    <row r="5" spans="1:13" x14ac:dyDescent="0.25">
      <c r="A5" s="33" t="s">
        <v>769</v>
      </c>
      <c r="B5" s="31">
        <v>295</v>
      </c>
      <c r="C5" s="27">
        <v>418514.39372294373</v>
      </c>
      <c r="D5" s="32">
        <v>8210000</v>
      </c>
      <c r="E5" s="34">
        <v>1699175.0217315999</v>
      </c>
      <c r="F5" s="117">
        <f>+E5/D5</f>
        <v>0.2069640708564677</v>
      </c>
      <c r="G5" s="132"/>
      <c r="H5" s="31" t="s">
        <v>769</v>
      </c>
      <c r="I5" s="31">
        <v>292</v>
      </c>
      <c r="J5" s="27">
        <v>410551.89372294373</v>
      </c>
      <c r="K5" s="32">
        <v>8162031.5016236482</v>
      </c>
      <c r="L5" s="36">
        <v>984751.58173160127</v>
      </c>
      <c r="M5" s="35">
        <f>+L5/K5</f>
        <v>0.12065030397587997</v>
      </c>
    </row>
    <row r="6" spans="1:13" x14ac:dyDescent="0.25">
      <c r="A6" s="33" t="s">
        <v>770</v>
      </c>
      <c r="B6" s="31">
        <v>260</v>
      </c>
      <c r="C6" s="27">
        <v>343636.91233766236</v>
      </c>
      <c r="D6" s="32">
        <v>6700000</v>
      </c>
      <c r="E6" s="34">
        <v>1063643.7428246748</v>
      </c>
      <c r="F6" s="117">
        <f t="shared" ref="F6:F9" si="0">+E6/D6</f>
        <v>0.15875279743651863</v>
      </c>
      <c r="G6" s="132"/>
      <c r="H6" s="31" t="s">
        <v>770</v>
      </c>
      <c r="I6" s="31">
        <v>258</v>
      </c>
      <c r="J6" s="27">
        <v>340223.91233766236</v>
      </c>
      <c r="K6" s="32">
        <v>6627463.2634794209</v>
      </c>
      <c r="L6" s="36">
        <v>776968.22282467515</v>
      </c>
      <c r="M6" s="35">
        <f t="shared" ref="M6:M9" si="1">+L6/K6</f>
        <v>0.11723463291092866</v>
      </c>
    </row>
    <row r="7" spans="1:13" x14ac:dyDescent="0.25">
      <c r="A7" s="33" t="s">
        <v>771</v>
      </c>
      <c r="B7" s="31">
        <v>253</v>
      </c>
      <c r="C7" s="27">
        <v>297521.18419913418</v>
      </c>
      <c r="D7" s="32">
        <v>7010000</v>
      </c>
      <c r="E7" s="34">
        <v>1140054.7587337657</v>
      </c>
      <c r="F7" s="117">
        <f t="shared" si="0"/>
        <v>0.16263263320025187</v>
      </c>
      <c r="G7" s="132"/>
      <c r="H7" s="31" t="s">
        <v>771</v>
      </c>
      <c r="I7" s="31">
        <v>251</v>
      </c>
      <c r="J7" s="27">
        <v>293708.18419913418</v>
      </c>
      <c r="K7" s="32">
        <v>6943915.581940758</v>
      </c>
      <c r="L7" s="36">
        <v>818471.2387337666</v>
      </c>
      <c r="M7" s="35">
        <f t="shared" si="1"/>
        <v>0.11786883482028331</v>
      </c>
    </row>
    <row r="8" spans="1:13" x14ac:dyDescent="0.25">
      <c r="A8" s="33" t="s">
        <v>772</v>
      </c>
      <c r="B8" s="31">
        <v>268</v>
      </c>
      <c r="C8" s="27">
        <v>377950.98160173162</v>
      </c>
      <c r="D8" s="32">
        <v>7630000</v>
      </c>
      <c r="E8" s="34">
        <v>1304618.9876623389</v>
      </c>
      <c r="F8" s="117">
        <f t="shared" si="0"/>
        <v>0.17098545054552278</v>
      </c>
      <c r="G8" s="132"/>
      <c r="H8" s="31" t="s">
        <v>772</v>
      </c>
      <c r="I8" s="31">
        <v>265</v>
      </c>
      <c r="J8" s="27">
        <v>372135.23160173162</v>
      </c>
      <c r="K8" s="32">
        <v>7568451.0025396273</v>
      </c>
      <c r="L8" s="36">
        <v>924932.30766233685</v>
      </c>
      <c r="M8" s="35">
        <f t="shared" si="1"/>
        <v>0.12220893117389169</v>
      </c>
    </row>
    <row r="9" spans="1:13" x14ac:dyDescent="0.25">
      <c r="A9" s="33" t="s">
        <v>773</v>
      </c>
      <c r="B9" s="31">
        <v>281</v>
      </c>
      <c r="C9" s="27">
        <v>336499.9155844156</v>
      </c>
      <c r="D9" s="32">
        <v>6930000</v>
      </c>
      <c r="E9" s="34">
        <v>1153510.1074134209</v>
      </c>
      <c r="F9" s="117">
        <f t="shared" si="0"/>
        <v>0.16645167495143159</v>
      </c>
      <c r="G9" s="132"/>
      <c r="H9" s="31" t="s">
        <v>773</v>
      </c>
      <c r="I9" s="31">
        <v>278</v>
      </c>
      <c r="J9" s="27">
        <v>330230.6655844156</v>
      </c>
      <c r="K9" s="32">
        <v>6804735.7606181949</v>
      </c>
      <c r="L9" s="36">
        <v>820789.70741342066</v>
      </c>
      <c r="M9" s="35">
        <f t="shared" si="1"/>
        <v>0.12062036444731158</v>
      </c>
    </row>
    <row r="10" spans="1:13" x14ac:dyDescent="0.25">
      <c r="A10" s="33" t="s">
        <v>790</v>
      </c>
      <c r="B10" s="31">
        <v>319</v>
      </c>
      <c r="C10" s="27">
        <v>496145.71</v>
      </c>
      <c r="D10" s="32">
        <v>8446978.4073087126</v>
      </c>
      <c r="E10" s="34">
        <v>2030463.6876000015</v>
      </c>
      <c r="F10" s="117">
        <f>+E10/D10</f>
        <v>0.24037751604090182</v>
      </c>
      <c r="G10" s="132"/>
      <c r="H10" s="31" t="s">
        <v>790</v>
      </c>
      <c r="I10" s="31">
        <f>+B10-5</f>
        <v>314</v>
      </c>
      <c r="J10" s="27">
        <v>480227.71</v>
      </c>
      <c r="K10" s="32">
        <v>8340364.9700000091</v>
      </c>
      <c r="L10" s="34">
        <v>1295944.3976000007</v>
      </c>
      <c r="M10" s="35">
        <f>+L10/K10</f>
        <v>0.15538221675687644</v>
      </c>
    </row>
    <row r="11" spans="1:13" x14ac:dyDescent="0.25">
      <c r="A11" s="133"/>
      <c r="B11" s="132"/>
      <c r="C11" s="132"/>
      <c r="D11" s="132"/>
      <c r="E11" s="132"/>
      <c r="F11" s="134"/>
      <c r="G11" s="132"/>
      <c r="H11" s="132"/>
      <c r="I11" s="132"/>
      <c r="J11" s="132"/>
      <c r="K11" s="132"/>
      <c r="L11" s="132"/>
      <c r="M11" s="135"/>
    </row>
    <row r="12" spans="1:13" x14ac:dyDescent="0.25">
      <c r="A12" s="289" t="s">
        <v>774</v>
      </c>
      <c r="B12" s="290"/>
      <c r="C12" s="290"/>
      <c r="D12" s="290"/>
      <c r="E12" s="290"/>
      <c r="F12" s="290"/>
      <c r="G12" s="132"/>
      <c r="H12" s="290" t="s">
        <v>783</v>
      </c>
      <c r="I12" s="290"/>
      <c r="J12" s="290"/>
      <c r="K12" s="290"/>
      <c r="L12" s="290"/>
      <c r="M12" s="291"/>
    </row>
    <row r="13" spans="1:13" ht="30" x14ac:dyDescent="0.25">
      <c r="A13" s="143" t="s">
        <v>777</v>
      </c>
      <c r="B13" s="125" t="s">
        <v>765</v>
      </c>
      <c r="C13" s="124" t="s">
        <v>766</v>
      </c>
      <c r="D13" s="124" t="s">
        <v>775</v>
      </c>
      <c r="E13" s="124" t="s">
        <v>776</v>
      </c>
      <c r="F13" s="126" t="s">
        <v>785</v>
      </c>
      <c r="G13" s="132"/>
      <c r="H13" s="124" t="s">
        <v>777</v>
      </c>
      <c r="I13" s="125" t="s">
        <v>765</v>
      </c>
      <c r="J13" s="124" t="s">
        <v>766</v>
      </c>
      <c r="K13" s="124" t="s">
        <v>775</v>
      </c>
      <c r="L13" s="124" t="s">
        <v>776</v>
      </c>
      <c r="M13" s="144" t="s">
        <v>785</v>
      </c>
    </row>
    <row r="14" spans="1:13" x14ac:dyDescent="0.25">
      <c r="A14" s="33" t="s">
        <v>769</v>
      </c>
      <c r="B14" s="31">
        <v>381</v>
      </c>
      <c r="C14" s="27">
        <v>339177</v>
      </c>
      <c r="D14" s="32">
        <v>6331309.1899999762</v>
      </c>
      <c r="E14" s="36">
        <v>656580.05999999971</v>
      </c>
      <c r="F14" s="117">
        <f>+E14/D14</f>
        <v>0.10370367964923258</v>
      </c>
      <c r="G14" s="132"/>
      <c r="H14" s="31" t="s">
        <v>769</v>
      </c>
      <c r="I14" s="31">
        <v>376</v>
      </c>
      <c r="J14" s="27">
        <v>327023</v>
      </c>
      <c r="K14" s="32">
        <v>5761751.1499999855</v>
      </c>
      <c r="L14" s="36">
        <v>480095.15999999992</v>
      </c>
      <c r="M14" s="35">
        <f>+L14/K14</f>
        <v>8.3324521920736042E-2</v>
      </c>
    </row>
    <row r="15" spans="1:13" x14ac:dyDescent="0.25">
      <c r="A15" s="33" t="s">
        <v>770</v>
      </c>
      <c r="B15" s="31">
        <v>386</v>
      </c>
      <c r="C15" s="27">
        <v>397866</v>
      </c>
      <c r="D15" s="32">
        <v>7588088.7199999811</v>
      </c>
      <c r="E15" s="36">
        <v>816737.73999999929</v>
      </c>
      <c r="F15" s="117">
        <f t="shared" ref="F15:F18" si="2">+E15/D15</f>
        <v>0.10763418432988503</v>
      </c>
      <c r="G15" s="132"/>
      <c r="H15" s="31" t="s">
        <v>770</v>
      </c>
      <c r="I15" s="31">
        <v>381</v>
      </c>
      <c r="J15" s="27">
        <v>383645</v>
      </c>
      <c r="K15" s="32">
        <v>6848428.4799999958</v>
      </c>
      <c r="L15" s="36">
        <v>638951.85999999952</v>
      </c>
      <c r="M15" s="35">
        <f t="shared" ref="M15:M18" si="3">+L15/K15</f>
        <v>9.3299048367954912E-2</v>
      </c>
    </row>
    <row r="16" spans="1:13" x14ac:dyDescent="0.25">
      <c r="A16" s="33" t="s">
        <v>771</v>
      </c>
      <c r="B16" s="31">
        <v>386</v>
      </c>
      <c r="C16" s="27">
        <v>446480</v>
      </c>
      <c r="D16" s="32">
        <v>7343001.4099999666</v>
      </c>
      <c r="E16" s="36">
        <v>862173.43999999808</v>
      </c>
      <c r="F16" s="117">
        <f t="shared" si="2"/>
        <v>0.11741430947103713</v>
      </c>
      <c r="G16" s="132"/>
      <c r="H16" s="31" t="s">
        <v>771</v>
      </c>
      <c r="I16" s="31">
        <v>381</v>
      </c>
      <c r="J16" s="27">
        <v>436096</v>
      </c>
      <c r="K16" s="32">
        <v>6764273.9199999711</v>
      </c>
      <c r="L16" s="36">
        <v>675252.21999999904</v>
      </c>
      <c r="M16" s="35">
        <f t="shared" si="3"/>
        <v>9.9826267828018705E-2</v>
      </c>
    </row>
    <row r="17" spans="1:13" x14ac:dyDescent="0.25">
      <c r="A17" s="33" t="s">
        <v>772</v>
      </c>
      <c r="B17" s="31">
        <v>380</v>
      </c>
      <c r="C17" s="27">
        <v>423404</v>
      </c>
      <c r="D17" s="32">
        <v>7404120.2099999627</v>
      </c>
      <c r="E17" s="36">
        <v>926330.25999999954</v>
      </c>
      <c r="F17" s="117">
        <f t="shared" si="2"/>
        <v>0.12511010541791354</v>
      </c>
      <c r="G17" s="132"/>
      <c r="H17" s="31" t="s">
        <v>772</v>
      </c>
      <c r="I17" s="31">
        <v>375</v>
      </c>
      <c r="J17" s="27">
        <v>411285</v>
      </c>
      <c r="K17" s="32">
        <v>6730544.5399999712</v>
      </c>
      <c r="L17" s="36">
        <v>728106.34999999928</v>
      </c>
      <c r="M17" s="35">
        <f t="shared" si="3"/>
        <v>0.10817941188455495</v>
      </c>
    </row>
    <row r="18" spans="1:13" x14ac:dyDescent="0.25">
      <c r="A18" s="33" t="s">
        <v>773</v>
      </c>
      <c r="B18" s="31">
        <v>395</v>
      </c>
      <c r="C18" s="27">
        <v>437568</v>
      </c>
      <c r="D18" s="32">
        <v>8105845.9599999571</v>
      </c>
      <c r="E18" s="36">
        <v>1036575.4899999998</v>
      </c>
      <c r="F18" s="117">
        <f t="shared" si="2"/>
        <v>0.1278799887285306</v>
      </c>
      <c r="G18" s="132"/>
      <c r="H18" s="31" t="s">
        <v>773</v>
      </c>
      <c r="I18" s="31">
        <v>390</v>
      </c>
      <c r="J18" s="27">
        <v>426174</v>
      </c>
      <c r="K18" s="32">
        <v>7478817.0799999498</v>
      </c>
      <c r="L18" s="36">
        <v>804289.65999999933</v>
      </c>
      <c r="M18" s="35">
        <f t="shared" si="3"/>
        <v>0.10754236283580888</v>
      </c>
    </row>
    <row r="19" spans="1:13" x14ac:dyDescent="0.25">
      <c r="A19" s="33" t="s">
        <v>790</v>
      </c>
      <c r="B19" s="31">
        <v>451</v>
      </c>
      <c r="C19" s="27">
        <v>378098</v>
      </c>
      <c r="D19" s="32">
        <v>8643125.9699999318</v>
      </c>
      <c r="E19" s="36">
        <v>987455.08999999927</v>
      </c>
      <c r="F19" s="117">
        <v>0.11424744859989668</v>
      </c>
      <c r="G19" s="132"/>
      <c r="H19" s="31" t="s">
        <v>790</v>
      </c>
      <c r="I19" s="31">
        <v>443</v>
      </c>
      <c r="J19" s="27">
        <v>367439</v>
      </c>
      <c r="K19" s="32">
        <v>8070248.9899999369</v>
      </c>
      <c r="L19" s="36" t="s">
        <v>876</v>
      </c>
      <c r="M19" s="35">
        <v>9.627351410876428E-2</v>
      </c>
    </row>
    <row r="20" spans="1:13" ht="15.75" thickBot="1" x14ac:dyDescent="0.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40"/>
    </row>
    <row r="21" spans="1:13" ht="15.75" thickBot="1" x14ac:dyDescent="0.3"/>
    <row r="22" spans="1:13" ht="18.75" x14ac:dyDescent="0.3">
      <c r="A22" s="286" t="s">
        <v>1065</v>
      </c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8"/>
    </row>
    <row r="23" spans="1:13" ht="18.75" x14ac:dyDescent="0.3">
      <c r="A23" s="127"/>
      <c r="B23" s="304" t="s">
        <v>1066</v>
      </c>
      <c r="C23" s="304"/>
      <c r="D23" s="304"/>
      <c r="E23" s="147" t="s">
        <v>1048</v>
      </c>
      <c r="M23" s="128"/>
    </row>
    <row r="24" spans="1:13" x14ac:dyDescent="0.25">
      <c r="A24" s="127"/>
      <c r="M24" s="128"/>
    </row>
    <row r="25" spans="1:13" x14ac:dyDescent="0.25">
      <c r="A25" s="302" t="s">
        <v>764</v>
      </c>
      <c r="B25" s="303"/>
      <c r="C25" s="303"/>
      <c r="D25" s="303"/>
      <c r="E25" s="303"/>
      <c r="F25" s="303"/>
      <c r="G25" s="129"/>
      <c r="H25" s="303" t="s">
        <v>784</v>
      </c>
      <c r="I25" s="303"/>
      <c r="J25" s="303"/>
      <c r="K25" s="303"/>
      <c r="L25" s="303"/>
      <c r="M25" s="305"/>
    </row>
    <row r="26" spans="1:13" ht="30" x14ac:dyDescent="0.25">
      <c r="A26" s="130" t="s">
        <v>777</v>
      </c>
      <c r="B26" s="115" t="s">
        <v>765</v>
      </c>
      <c r="C26" s="114" t="s">
        <v>766</v>
      </c>
      <c r="D26" s="114" t="s">
        <v>767</v>
      </c>
      <c r="E26" s="114" t="s">
        <v>768</v>
      </c>
      <c r="F26" s="116" t="s">
        <v>785</v>
      </c>
      <c r="G26" s="129"/>
      <c r="H26" s="114" t="s">
        <v>777</v>
      </c>
      <c r="I26" s="115" t="s">
        <v>765</v>
      </c>
      <c r="J26" s="114" t="s">
        <v>766</v>
      </c>
      <c r="K26" s="114" t="s">
        <v>767</v>
      </c>
      <c r="L26" s="115" t="s">
        <v>768</v>
      </c>
      <c r="M26" s="131" t="s">
        <v>785</v>
      </c>
    </row>
    <row r="27" spans="1:13" x14ac:dyDescent="0.25">
      <c r="A27" s="33" t="s">
        <v>769</v>
      </c>
      <c r="B27" s="31">
        <f>COUNTIFS(Raw!D:D,'Updated Summary'!E23,Raw!J:J,"&gt;0")</f>
        <v>279</v>
      </c>
      <c r="C27" s="27">
        <f>SUMIFS(Raw!J:J,Raw!$D:$D,'Updated Summary'!$E$23)</f>
        <v>367568.06038961041</v>
      </c>
      <c r="D27" s="32">
        <f>SUMIFS(Raw!AO:AO,Raw!$D:$D,'Updated Summary'!$E$23)</f>
        <v>7055393.0100000007</v>
      </c>
      <c r="E27" s="34">
        <f>SUMIFS(Raw!P:P,Raw!$D:$D,'Updated Summary'!$E$23)</f>
        <v>1616962.6617316015</v>
      </c>
      <c r="F27" s="117">
        <f>+E27/D27</f>
        <v>0.22918109018729224</v>
      </c>
      <c r="G27" s="132"/>
      <c r="H27" s="31" t="s">
        <v>769</v>
      </c>
      <c r="I27" s="31">
        <f>COUNTIFS(Raw!D:D,'Updated Summary'!E23,Raw!J:J,"&gt;0",Raw!C:C,"&lt;&gt;Top 5")</f>
        <v>273</v>
      </c>
      <c r="J27" s="27">
        <f>SUMIFS(Raw!J:J,Raw!$D:$D,'Updated Summary'!$E$23,Raw!C:C,"&lt;&gt;Top 5")</f>
        <v>345672.3603896104</v>
      </c>
      <c r="K27" s="32">
        <f>SUMIFS(Raw!AO:AO,Raw!$D:$D,'Updated Summary'!$E$23,Raw!C:C,"&lt;&gt;Top 5")</f>
        <v>6468748.0700000012</v>
      </c>
      <c r="L27" s="36">
        <f>SUMIFS(Raw!P:P,Raw!$D:$D,'Updated Summary'!$E$23,Raw!C:C,"&lt;&gt;Top 5")</f>
        <v>784284.86173160153</v>
      </c>
      <c r="M27" s="35">
        <f>+L27/K27</f>
        <v>0.12124214040254026</v>
      </c>
    </row>
    <row r="28" spans="1:13" x14ac:dyDescent="0.25">
      <c r="A28" s="33" t="s">
        <v>770</v>
      </c>
      <c r="B28" s="31">
        <f>COUNTIFS(Raw!D:D,'Updated Summary'!E23,Raw!K:K,"&gt;0")</f>
        <v>243</v>
      </c>
      <c r="C28" s="27">
        <f>SUMIFS(Raw!K:K,Raw!$D:$D,'Updated Summary'!$E$23)</f>
        <v>294215.24567099568</v>
      </c>
      <c r="D28" s="32">
        <f>SUMIFS(Raw!AP:AP,Raw!$D:$D,'Updated Summary'!$E$23)</f>
        <v>5546326.8300000047</v>
      </c>
      <c r="E28" s="36">
        <f>SUMIFS(Raw!Q:Q,Raw!$D:$D,'Updated Summary'!$E$23)</f>
        <v>981990.41282467486</v>
      </c>
      <c r="F28" s="117">
        <f t="shared" ref="F28:F31" si="4">+E28/D28</f>
        <v>0.17705238853092867</v>
      </c>
      <c r="G28" s="132"/>
      <c r="H28" s="31" t="s">
        <v>770</v>
      </c>
      <c r="I28" s="31">
        <f>COUNTIFS(Raw!D:D,'Updated Summary'!E23,Raw!K:K,"&gt;0",Raw!C:C,"&lt;&gt; Top 5",Raw!C:C,"&lt;&gt;Top 5")</f>
        <v>238</v>
      </c>
      <c r="J28" s="27">
        <f>SUMIFS(Raw!K:K,Raw!$D:$D,'Updated Summary'!$E$23,Raw!C:C,"&lt;&gt;Top 5")</f>
        <v>281476.9123376623</v>
      </c>
      <c r="K28" s="32">
        <f>SUMIFS(Raw!AP:AP,Raw!$D:$D,'Updated Summary'!$E$23,Raw!C:C,"&lt;&gt;Top 5")</f>
        <v>5166716.950000003</v>
      </c>
      <c r="L28" s="36">
        <f>SUMIFS(Raw!Q:Q,Raw!$D:$D,'Updated Summary'!$E$23,Raw!C:C,"&lt;&gt;Top 5")</f>
        <v>614441.3594913421</v>
      </c>
      <c r="M28" s="35">
        <f t="shared" ref="M28:M31" si="5">+L28/K28</f>
        <v>0.1189229767059993</v>
      </c>
    </row>
    <row r="29" spans="1:13" x14ac:dyDescent="0.25">
      <c r="A29" s="33" t="s">
        <v>771</v>
      </c>
      <c r="B29" s="31">
        <f>COUNTIFS(Raw!D:D,'Updated Summary'!E23,Raw!L:L,"&gt;0")</f>
        <v>230</v>
      </c>
      <c r="C29" s="27">
        <f>SUMIFS(Raw!L:L,Raw!$D:$D,'Updated Summary'!$E$23)</f>
        <v>254854.51753246752</v>
      </c>
      <c r="D29" s="32">
        <f>SUMIFS(Raw!AQ:AQ,Raw!$D:$D,'Updated Summary'!$E$23)</f>
        <v>6181422.4200000037</v>
      </c>
      <c r="E29" s="34">
        <f>SUMIFS(Raw!R:R,Raw!$D:$D,'Updated Summary'!$E$23)</f>
        <v>1037936.2287337664</v>
      </c>
      <c r="F29" s="117">
        <f t="shared" si="4"/>
        <v>0.16791219855409359</v>
      </c>
      <c r="G29" s="132"/>
      <c r="H29" s="31" t="s">
        <v>771</v>
      </c>
      <c r="I29" s="31">
        <f>COUNTIFS(Raw!D:D,'Updated Summary'!E23,Raw!L:L,"&gt;0",Raw!C:C,"&lt;&gt;Top 5")</f>
        <v>225</v>
      </c>
      <c r="J29" s="27">
        <f>SUMIFS(Raw!L:L,Raw!$D:$D,'Updated Summary'!$E$23,Raw!C:C,"&lt;&gt;Top 5")</f>
        <v>243274.71753246753</v>
      </c>
      <c r="K29" s="32">
        <f>SUMIFS(Raw!AQ:AQ,Raw!$D:$D,'Updated Summary'!$E$23,Raw!C:C,"&lt;&gt;Top 5")</f>
        <v>5852920.0100000026</v>
      </c>
      <c r="L29" s="36">
        <f>SUMIFS(Raw!R:R,Raw!$D:$D,'Updated Summary'!$E$23,Raw!C:C,"&lt;&gt;Top 5")</f>
        <v>654815.94873376691</v>
      </c>
      <c r="M29" s="35">
        <f t="shared" si="5"/>
        <v>0.11187850638911544</v>
      </c>
    </row>
    <row r="30" spans="1:13" x14ac:dyDescent="0.25">
      <c r="A30" s="33" t="s">
        <v>772</v>
      </c>
      <c r="B30" s="31">
        <f>COUNTIFS(Raw!D:D,'Updated Summary'!E23,Raw!M:M,"&gt;0")</f>
        <v>238</v>
      </c>
      <c r="C30" s="27">
        <f>SUMIFS(Raw!M:M,Raw!$D:$D,'Updated Summary'!$E$23)</f>
        <v>325821.8603896104</v>
      </c>
      <c r="D30" s="32">
        <f>SUMIFS(Raw!AR:AR,Raw!$D:$D,'Updated Summary'!$E$23)</f>
        <v>6323811.1900000013</v>
      </c>
      <c r="E30" s="34">
        <f>SUMIFS(Raw!S:S,Raw!$D:$D,'Updated Summary'!$E$23)</f>
        <v>1162311.7664502165</v>
      </c>
      <c r="F30" s="117">
        <f t="shared" si="4"/>
        <v>0.18379925199035177</v>
      </c>
      <c r="G30" s="132"/>
      <c r="H30" s="31" t="s">
        <v>772</v>
      </c>
      <c r="I30" s="31">
        <f>COUNTIFS(Raw!D:D,'Updated Summary'!E23,Raw!M:M,"&gt;0",Raw!C:C,"&lt;&gt;Top 5")</f>
        <v>232</v>
      </c>
      <c r="J30" s="27">
        <f>SUMIFS(Raw!M:M,Raw!$D:$D,'Updated Summary'!$E$23,Raw!C:C,"&lt;&gt;Top 5")</f>
        <v>314379.44372294372</v>
      </c>
      <c r="K30" s="32">
        <f>SUMIFS(Raw!AR:AR,Raw!$D:$D,'Updated Summary'!$E$23,Raw!C:C,"&lt;&gt;Top 5")</f>
        <v>6100277.3000000026</v>
      </c>
      <c r="L30" s="36">
        <f>SUMIFS(Raw!S:S,Raw!$D:$D,'Updated Summary'!$E$23,Raw!C:C,"&lt;&gt;Top 5")</f>
        <v>740707.79978354904</v>
      </c>
      <c r="M30" s="35">
        <f t="shared" si="5"/>
        <v>0.12142198843707461</v>
      </c>
    </row>
    <row r="31" spans="1:13" x14ac:dyDescent="0.25">
      <c r="A31" s="33" t="s">
        <v>773</v>
      </c>
      <c r="B31" s="31">
        <f>COUNTIFS(Raw!D:D,'Updated Summary'!E23,Raw!N:N,"&gt;0")</f>
        <v>253</v>
      </c>
      <c r="C31" s="27">
        <f>SUMIFS(Raw!N:N,Raw!$D:$D,'Updated Summary'!$E$23)</f>
        <v>293587.58225108223</v>
      </c>
      <c r="D31" s="32">
        <f>SUMIFS(Raw!AS:AS,Raw!$D:$D,'Updated Summary'!$E$23)</f>
        <v>5744574.2099999962</v>
      </c>
      <c r="E31" s="34">
        <f>SUMIFS(Raw!T:T,Raw!$D:$D,'Updated Summary'!$E$23)</f>
        <v>1019523.2974134206</v>
      </c>
      <c r="F31" s="117">
        <f t="shared" si="4"/>
        <v>0.17747586855761435</v>
      </c>
      <c r="G31" s="132"/>
      <c r="H31" s="31" t="s">
        <v>773</v>
      </c>
      <c r="I31" s="31">
        <f>COUNTIFS(Raw!D:D,'Updated Summary'!E23,Raw!N:N,"&gt;0",Raw!C:C,"&lt;&gt;Top 5")</f>
        <v>246</v>
      </c>
      <c r="J31" s="27">
        <f>SUMIFS(Raw!N:N,Raw!$D:$D,'Updated Summary'!$E$23,Raw!C:C,"&lt;&gt;Top 5")</f>
        <v>281227.66558441555</v>
      </c>
      <c r="K31" s="32">
        <f>SUMIFS(Raw!AS:AS,Raw!$D:$D,'Updated Summary'!$E$23,Raw!C:C,"&lt;&gt;Top 5")</f>
        <v>5521600.1299999962</v>
      </c>
      <c r="L31" s="36">
        <f>SUMIFS(Raw!T:T,Raw!$D:$D,'Updated Summary'!$E$23,Raw!C:C,"&lt;&gt;Top 5")</f>
        <v>629816.79074675334</v>
      </c>
      <c r="M31" s="35">
        <f t="shared" si="5"/>
        <v>0.11406417993306477</v>
      </c>
    </row>
    <row r="32" spans="1:13" x14ac:dyDescent="0.25">
      <c r="A32" s="33" t="s">
        <v>790</v>
      </c>
      <c r="B32" s="31">
        <f>COUNTIFS(Raw!D:D,'Updated Summary'!E23,Raw!O:O,"&gt;0")</f>
        <v>280</v>
      </c>
      <c r="C32" s="27">
        <f>SUMIFS(Raw!O:O,Raw!$D:$D,'Updated Summary'!$E$23)</f>
        <v>402727</v>
      </c>
      <c r="D32" s="32">
        <f>SUMIFS(Raw!AT:AT,Raw!$D:$D,'Updated Summary'!$E$23)</f>
        <v>6958472.0400000019</v>
      </c>
      <c r="E32" s="34">
        <f>SUMIFS(Raw!U:U,Raw!$D:$D,'Updated Summary'!$E$23)</f>
        <v>1646964.9077474885</v>
      </c>
      <c r="F32" s="117">
        <f>+E32/D32</f>
        <v>0.23668484953019772</v>
      </c>
      <c r="G32" s="132"/>
      <c r="H32" s="31" t="s">
        <v>790</v>
      </c>
      <c r="I32" s="31">
        <f>COUNTIFS(Raw!D:D,'Updated Summary'!E23,Raw!O:O,"&gt;0",Raw!C:C,"&lt;&gt;Top 5")</f>
        <v>273</v>
      </c>
      <c r="J32" s="27">
        <f>SUMIFS(Raw!O:O,Raw!$D:$D,'Updated Summary'!$E$23,Raw!C:C,"&lt;&gt;Top 5")</f>
        <v>377665</v>
      </c>
      <c r="K32" s="32">
        <f>SUMIFS(Raw!AT:AT,Raw!$D:$D,'Updated Summary'!$E$23,Raw!C:C,"&lt;&gt;Top 5")</f>
        <v>6177057.7300000032</v>
      </c>
      <c r="L32" s="36">
        <f>SUMIFS(Raw!U:U,Raw!$D:$D,'Updated Summary'!$E$23,Raw!C:C,"&lt;&gt;Top 5")</f>
        <v>844908.82774748909</v>
      </c>
      <c r="M32" s="35">
        <f>+L32/K32</f>
        <v>0.13678175997029068</v>
      </c>
    </row>
    <row r="33" spans="1:13" x14ac:dyDescent="0.25">
      <c r="A33" s="133"/>
      <c r="B33" s="132"/>
      <c r="C33" s="132"/>
      <c r="D33" s="132"/>
      <c r="E33" s="132"/>
      <c r="F33" s="134"/>
      <c r="G33" s="132"/>
      <c r="H33" s="132"/>
      <c r="I33" s="132"/>
      <c r="J33" s="132"/>
      <c r="K33" s="132"/>
      <c r="L33" s="132"/>
      <c r="M33" s="135"/>
    </row>
    <row r="34" spans="1:13" x14ac:dyDescent="0.25">
      <c r="A34" s="297" t="s">
        <v>774</v>
      </c>
      <c r="B34" s="298"/>
      <c r="C34" s="298"/>
      <c r="D34" s="298"/>
      <c r="E34" s="298"/>
      <c r="F34" s="298"/>
      <c r="G34" s="132"/>
      <c r="H34" s="298" t="s">
        <v>783</v>
      </c>
      <c r="I34" s="298"/>
      <c r="J34" s="298"/>
      <c r="K34" s="298"/>
      <c r="L34" s="298"/>
      <c r="M34" s="306"/>
    </row>
    <row r="35" spans="1:13" ht="30" x14ac:dyDescent="0.25">
      <c r="A35" s="136" t="s">
        <v>777</v>
      </c>
      <c r="B35" s="119" t="s">
        <v>765</v>
      </c>
      <c r="C35" s="118" t="s">
        <v>766</v>
      </c>
      <c r="D35" s="118" t="s">
        <v>775</v>
      </c>
      <c r="E35" s="118" t="s">
        <v>776</v>
      </c>
      <c r="F35" s="120" t="s">
        <v>785</v>
      </c>
      <c r="G35" s="132"/>
      <c r="H35" s="118" t="s">
        <v>777</v>
      </c>
      <c r="I35" s="119" t="s">
        <v>765</v>
      </c>
      <c r="J35" s="118" t="s">
        <v>766</v>
      </c>
      <c r="K35" s="118" t="s">
        <v>775</v>
      </c>
      <c r="L35" s="118" t="s">
        <v>776</v>
      </c>
      <c r="M35" s="137" t="s">
        <v>785</v>
      </c>
    </row>
    <row r="36" spans="1:13" x14ac:dyDescent="0.25">
      <c r="A36" s="33" t="s">
        <v>769</v>
      </c>
      <c r="B36" s="31">
        <f>COUNTIFS(Raw!D:D,'Updated Summary'!E23,Raw!V:V,"&gt;0")</f>
        <v>351</v>
      </c>
      <c r="C36" s="27">
        <f>SUMIFS(Raw!V:V,Raw!$D:$D,'Updated Summary'!$E$23)</f>
        <v>310056</v>
      </c>
      <c r="D36" s="32">
        <f>SUMIFS(Raw!AU:AU,Raw!$D:$D,'Updated Summary'!$E$23)</f>
        <v>5572273.9800000023</v>
      </c>
      <c r="E36" s="36">
        <f>SUMIFS(Raw!AH:AH,Raw!$D:$D,'Updated Summary'!$E$23)</f>
        <v>652436.02999999956</v>
      </c>
      <c r="F36" s="117">
        <f>+E36/D36</f>
        <v>0.11708613617021023</v>
      </c>
      <c r="G36" s="132"/>
      <c r="H36" s="31" t="s">
        <v>769</v>
      </c>
      <c r="I36" s="31">
        <f>COUNTIFS(Raw!D:D,'Updated Summary'!E23,Raw!V:V,"&gt;0",Raw!C:C,"&lt;&gt;Top 5")</f>
        <v>344</v>
      </c>
      <c r="J36" s="27">
        <f>SUMIFS(Raw!V:V,Raw!$D:$D,'Updated Summary'!$E$23,Raw!C:C,"&lt;&gt;Top 5")</f>
        <v>296790</v>
      </c>
      <c r="K36" s="32">
        <f>SUMIFS(Raw!AU:AU,Raw!$D:$D,'Updated Summary'!$E$23,Raw!C:C,"&lt;&gt;Top 5")</f>
        <v>5147573.7599999988</v>
      </c>
      <c r="L36" s="36">
        <f>SUMIFS(Raw!AH:AH,Raw!$D:$D,'Updated Summary'!$E$23,Raw!C:C,"&lt;&gt;Top 5")</f>
        <v>441523.76000000007</v>
      </c>
      <c r="M36" s="35">
        <f>+L36/K36</f>
        <v>8.5773177925283425E-2</v>
      </c>
    </row>
    <row r="37" spans="1:13" x14ac:dyDescent="0.25">
      <c r="A37" s="33" t="s">
        <v>770</v>
      </c>
      <c r="B37" s="31">
        <f>COUNTIFS(Raw!D:D,'Updated Summary'!E23,Raw!W:W,"&gt;0")</f>
        <v>355</v>
      </c>
      <c r="C37" s="27">
        <f>SUMIFS(Raw!W:W,Raw!$D:$D,'Updated Summary'!$E$23)</f>
        <v>352108</v>
      </c>
      <c r="D37" s="32">
        <f>SUMIFS(Raw!AV:AV,Raw!$D:$D,'Updated Summary'!$E$23)</f>
        <v>6921976.4099999918</v>
      </c>
      <c r="E37" s="36">
        <f>SUMIFS(Raw!AI:AI,Raw!$D:$D,'Updated Summary'!$E$23)</f>
        <v>785247.72999999835</v>
      </c>
      <c r="F37" s="117">
        <f t="shared" ref="F37:F41" si="6">+E37/D37</f>
        <v>0.11344270530387422</v>
      </c>
      <c r="G37" s="132"/>
      <c r="H37" s="31" t="s">
        <v>770</v>
      </c>
      <c r="I37" s="31">
        <f>COUNTIFS(Raw!D:D,'Updated Summary'!E23,Raw!W:W,"&gt;0",Raw!C:C,"&lt;&gt;Top 5")</f>
        <v>348</v>
      </c>
      <c r="J37" s="27">
        <f>SUMIFS(Raw!W:W,Raw!$D:$D,'Updated Summary'!$E$23,Raw!C:C,"&lt;&gt;Top 5")</f>
        <v>336422</v>
      </c>
      <c r="K37" s="32">
        <f>SUMIFS(Raw!AV:AV,Raw!$D:$D,'Updated Summary'!$E$23,Raw!C:C,"&lt;&gt;Top 5")</f>
        <v>6308516.7399999956</v>
      </c>
      <c r="L37" s="36">
        <f>SUMIFS(Raw!AI:AI,Raw!$D:$D,'Updated Summary'!$E$23,Raw!C:C,"&lt;&gt;Top 5")</f>
        <v>571678.20999999926</v>
      </c>
      <c r="M37" s="35">
        <f t="shared" ref="M37:M41" si="7">+L37/K37</f>
        <v>9.0620067055572184E-2</v>
      </c>
    </row>
    <row r="38" spans="1:13" x14ac:dyDescent="0.25">
      <c r="A38" s="33" t="s">
        <v>771</v>
      </c>
      <c r="B38" s="31">
        <f>COUNTIFS(Raw!D:D,'Updated Summary'!E23,Raw!X:X,"&gt;0")</f>
        <v>358</v>
      </c>
      <c r="C38" s="27">
        <f>SUMIFS(Raw!X:X,Raw!$D:$D,'Updated Summary'!$E$23)</f>
        <v>394929</v>
      </c>
      <c r="D38" s="32">
        <f>SUMIFS(Raw!AW:AW,Raw!$D:$D,'Updated Summary'!$E$23)</f>
        <v>5977043.189999992</v>
      </c>
      <c r="E38" s="36">
        <f>SUMIFS(Raw!AJ:AJ,Raw!$D:$D,'Updated Summary'!$E$23)</f>
        <v>819127.79999999818</v>
      </c>
      <c r="F38" s="117">
        <f t="shared" si="6"/>
        <v>0.13704565517787387</v>
      </c>
      <c r="G38" s="132"/>
      <c r="H38" s="31" t="s">
        <v>771</v>
      </c>
      <c r="I38" s="31">
        <f>COUNTIFS(Raw!D:D,'Updated Summary'!E23,Raw!X:X,"&gt;0",Raw!C:C,"&lt;&gt;Top 5")</f>
        <v>352</v>
      </c>
      <c r="J38" s="27">
        <f>SUMIFS(Raw!X:X,Raw!$D:$D,'Updated Summary'!$E$23,Raw!C:C,"&lt;&gt;Top 5")</f>
        <v>383357</v>
      </c>
      <c r="K38" s="32">
        <f>SUMIFS(Raw!AW:AW,Raw!$D:$D,'Updated Summary'!$E$23,Raw!C:C,"&lt;&gt;Top 5")</f>
        <v>5539529.7799999937</v>
      </c>
      <c r="L38" s="36">
        <f>SUMIFS(Raw!AJ:AJ,Raw!$D:$D,'Updated Summary'!$E$23,Raw!C:C,"&lt;&gt;Top 5")</f>
        <v>600248.27999999886</v>
      </c>
      <c r="M38" s="35">
        <f t="shared" si="7"/>
        <v>0.1083572620490542</v>
      </c>
    </row>
    <row r="39" spans="1:13" x14ac:dyDescent="0.25">
      <c r="A39" s="33" t="s">
        <v>772</v>
      </c>
      <c r="B39" s="31">
        <f>COUNTIFS(Raw!D:D,'Updated Summary'!E23,Raw!Y:Y,"&gt;0")</f>
        <v>349</v>
      </c>
      <c r="C39" s="27">
        <f>SUMIFS(Raw!Y:Y,Raw!$D:$D,'Updated Summary'!$E$23)</f>
        <v>370672</v>
      </c>
      <c r="D39" s="32">
        <f>SUMIFS(Raw!AX:AX,Raw!$D:$D,'Updated Summary'!$E$23)</f>
        <v>5858100.8899999587</v>
      </c>
      <c r="E39" s="36">
        <f>SUMIFS(Raw!AK:AK,Raw!$D:$D,'Updated Summary'!$E$23)</f>
        <v>880351.77</v>
      </c>
      <c r="F39" s="117">
        <f t="shared" si="6"/>
        <v>0.15027938004666325</v>
      </c>
      <c r="G39" s="132"/>
      <c r="H39" s="31" t="s">
        <v>772</v>
      </c>
      <c r="I39" s="31">
        <f>COUNTIFS(Raw!D:D,'Updated Summary'!E23,Raw!Y:Y,"&gt;0",Raw!C:C,"&lt;&gt;Top 5")</f>
        <v>342</v>
      </c>
      <c r="J39" s="27">
        <f>SUMIFS(Raw!Y:Y,Raw!$D:$D,'Updated Summary'!$E$23,Raw!C:C,"&lt;&gt;Top 5")</f>
        <v>355466</v>
      </c>
      <c r="K39" s="32">
        <f>SUMIFS(Raw!AX:AX,Raw!$D:$D,'Updated Summary'!$E$23,Raw!C:C,"&lt;&gt;Top 5")</f>
        <v>5327873.0099999728</v>
      </c>
      <c r="L39" s="36">
        <f>SUMIFS(Raw!AK:AK,Raw!$D:$D,'Updated Summary'!$E$23,Raw!C:C,"&lt;&gt;Top 5")</f>
        <v>627949.79999999958</v>
      </c>
      <c r="M39" s="35">
        <f t="shared" si="7"/>
        <v>0.11786125510525312</v>
      </c>
    </row>
    <row r="40" spans="1:13" x14ac:dyDescent="0.25">
      <c r="A40" s="33" t="s">
        <v>773</v>
      </c>
      <c r="B40" s="31">
        <f>COUNTIFS(Raw!D:D,'Updated Summary'!E23,Raw!Z:Z,"&gt;0")</f>
        <v>356</v>
      </c>
      <c r="C40" s="27">
        <f>SUMIFS(Raw!Z:Z,Raw!$D:$D,'Updated Summary'!$E$23)</f>
        <v>384155</v>
      </c>
      <c r="D40" s="32">
        <f>SUMIFS(Raw!AY:AY,Raw!$D:$D,'Updated Summary'!$E$23)</f>
        <v>6509978.7799999639</v>
      </c>
      <c r="E40" s="36">
        <f>SUMIFS(Raw!AL:AL,Raw!$D:$D,'Updated Summary'!$E$23)</f>
        <v>965355.34999999939</v>
      </c>
      <c r="F40" s="117">
        <f t="shared" si="6"/>
        <v>0.14828855555808812</v>
      </c>
      <c r="G40" s="132"/>
      <c r="H40" s="31" t="s">
        <v>773</v>
      </c>
      <c r="I40" s="31">
        <f>COUNTIFS(Raw!D:D,'Updated Summary'!E23,Raw!Z:Z,"&gt;0",Raw!C:C,"&lt;&gt;Top 5")</f>
        <v>349</v>
      </c>
      <c r="J40" s="27">
        <f>SUMIFS(Raw!Z:Z,Raw!$D:$D,'Updated Summary'!$E$23,Raw!C:C,"&lt;&gt;Top 5")</f>
        <v>370620</v>
      </c>
      <c r="K40" s="32">
        <f>SUMIFS(Raw!AY:AY,Raw!$D:$D,'Updated Summary'!$E$23,Raw!C:C,"&lt;&gt;Top 5")</f>
        <v>6067897.6399999633</v>
      </c>
      <c r="L40" s="36">
        <f>SUMIFS(Raw!AL:AL,Raw!$D:$D,'Updated Summary'!$E$23,Raw!C:C,"&lt;&gt;Top 5")</f>
        <v>671507.82999999984</v>
      </c>
      <c r="M40" s="35">
        <f t="shared" si="7"/>
        <v>0.11066564893471141</v>
      </c>
    </row>
    <row r="41" spans="1:13" x14ac:dyDescent="0.25">
      <c r="A41" s="33" t="s">
        <v>790</v>
      </c>
      <c r="B41" s="31">
        <f>COUNTIFS(Raw!D:D,'Updated Summary'!E23,Raw!AA:AA,"&gt;0")</f>
        <v>361</v>
      </c>
      <c r="C41" s="27">
        <f>SUMIFS(Raw!AA:AA,Raw!$D:$D,'Updated Summary'!$E$23)</f>
        <v>420696</v>
      </c>
      <c r="D41" s="32">
        <f>SUMIFS(Raw!AZ:AZ,Raw!$D:$D,'Updated Summary'!$E$23)</f>
        <v>6910328.6699999282</v>
      </c>
      <c r="E41" s="36">
        <f>SUMIFS(Raw!AM:AM,Raw!$D:$D,'Updated Summary'!$E$23)</f>
        <v>840687.49999999802</v>
      </c>
      <c r="F41" s="117">
        <f t="shared" si="6"/>
        <v>0.12165665920489521</v>
      </c>
      <c r="G41" s="132"/>
      <c r="H41" s="31" t="s">
        <v>790</v>
      </c>
      <c r="I41" s="31">
        <f>COUNTIFS(Raw!D:D,'Updated Summary'!E23,Raw!AA:AA,"&gt;0",Raw!C:C,"&lt;&gt;Top 5")</f>
        <v>354</v>
      </c>
      <c r="J41" s="27">
        <f>SUMIFS(Raw!AA:AA,Raw!$D:$D,'Updated Summary'!$E$23,Raw!C:C,"&lt;&gt;Top 5")</f>
        <v>410543</v>
      </c>
      <c r="K41" s="32">
        <f>SUMIFS(Raw!AZ:AZ,Raw!$D:$D,'Updated Summary'!$E$23,Raw!C:C,"&lt;&gt;Top 5")</f>
        <v>6594066.7199999318</v>
      </c>
      <c r="L41" s="36">
        <f>SUMIFS(Raw!AM:AM,Raw!$D:$D,'Updated Summary'!$E$23,Raw!C:C,"&lt;&gt;Top 5")</f>
        <v>628428.49999999744</v>
      </c>
      <c r="M41" s="35">
        <f t="shared" si="7"/>
        <v>9.5302114261895721E-2</v>
      </c>
    </row>
    <row r="42" spans="1:13" ht="15.75" thickBot="1" x14ac:dyDescent="0.3">
      <c r="A42" s="138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40"/>
    </row>
  </sheetData>
  <mergeCells count="11">
    <mergeCell ref="A1:M1"/>
    <mergeCell ref="B23:D23"/>
    <mergeCell ref="A25:F25"/>
    <mergeCell ref="H25:M25"/>
    <mergeCell ref="A34:F34"/>
    <mergeCell ref="H34:M34"/>
    <mergeCell ref="A3:F3"/>
    <mergeCell ref="H3:M3"/>
    <mergeCell ref="A12:F12"/>
    <mergeCell ref="H12:M12"/>
    <mergeCell ref="A22:M22"/>
  </mergeCells>
  <conditionalFormatting sqref="E23">
    <cfRule type="containsText" dxfId="13" priority="1" operator="containsText" text="New Line">
      <formula>NOT(ISERROR(SEARCH("New Line",E23)))</formula>
    </cfRule>
    <cfRule type="containsText" dxfId="12" priority="2" operator="containsText" text="Old Line">
      <formula>NOT(ISERROR(SEARCH("Old Line",E23)))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Raw!$BB$2:$BB$3</xm:f>
          </x14:formula1>
          <xm:sqref>E23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B498"/>
  <sheetViews>
    <sheetView workbookViewId="0"/>
  </sheetViews>
  <sheetFormatPr defaultRowHeight="15" x14ac:dyDescent="0.25"/>
  <cols>
    <col min="1" max="1" width="10.85546875" bestFit="1" customWidth="1"/>
    <col min="2" max="2" width="64.42578125" bestFit="1" customWidth="1"/>
    <col min="3" max="3" width="64.42578125" customWidth="1"/>
    <col min="4" max="4" width="9.28515625" bestFit="1" customWidth="1"/>
    <col min="5" max="5" width="14" bestFit="1" customWidth="1"/>
    <col min="6" max="6" width="10.140625" bestFit="1" customWidth="1"/>
    <col min="7" max="7" width="8.5703125" bestFit="1" customWidth="1"/>
    <col min="8" max="8" width="7" bestFit="1" customWidth="1"/>
    <col min="9" max="9" width="32.42578125" bestFit="1" customWidth="1"/>
    <col min="10" max="10" width="19.28515625" style="107" bestFit="1" customWidth="1"/>
    <col min="11" max="11" width="21.7109375" bestFit="1" customWidth="1"/>
    <col min="12" max="12" width="19.140625" bestFit="1" customWidth="1"/>
    <col min="13" max="13" width="19.85546875" bestFit="1" customWidth="1"/>
    <col min="14" max="14" width="20.140625" bestFit="1" customWidth="1"/>
    <col min="15" max="15" width="19.42578125" bestFit="1" customWidth="1"/>
    <col min="16" max="16" width="21.140625" bestFit="1" customWidth="1"/>
    <col min="17" max="17" width="23.5703125" bestFit="1" customWidth="1"/>
    <col min="18" max="18" width="21" bestFit="1" customWidth="1"/>
    <col min="19" max="19" width="21.85546875" bestFit="1" customWidth="1"/>
    <col min="20" max="20" width="22.140625" bestFit="1" customWidth="1"/>
    <col min="21" max="21" width="21.42578125" bestFit="1" customWidth="1"/>
    <col min="22" max="22" width="17" bestFit="1" customWidth="1"/>
    <col min="23" max="23" width="19.42578125" bestFit="1" customWidth="1"/>
    <col min="24" max="24" width="16.85546875" bestFit="1" customWidth="1"/>
    <col min="25" max="25" width="17.7109375" bestFit="1" customWidth="1"/>
    <col min="26" max="26" width="18" bestFit="1" customWidth="1"/>
    <col min="27" max="27" width="17.28515625" bestFit="1" customWidth="1"/>
    <col min="28" max="28" width="17" bestFit="1" customWidth="1"/>
    <col min="29" max="29" width="19.42578125" bestFit="1" customWidth="1"/>
    <col min="30" max="30" width="16.85546875" bestFit="1" customWidth="1"/>
    <col min="31" max="31" width="17.7109375" bestFit="1" customWidth="1"/>
    <col min="32" max="32" width="18" bestFit="1" customWidth="1"/>
    <col min="33" max="33" width="17.28515625" bestFit="1" customWidth="1"/>
    <col min="34" max="34" width="12.28515625" bestFit="1" customWidth="1"/>
    <col min="35" max="35" width="14.7109375" bestFit="1" customWidth="1"/>
    <col min="36" max="36" width="12.140625" bestFit="1" customWidth="1"/>
    <col min="37" max="37" width="12.85546875" bestFit="1" customWidth="1"/>
    <col min="38" max="38" width="13.28515625" bestFit="1" customWidth="1"/>
    <col min="39" max="39" width="12.42578125" bestFit="1" customWidth="1"/>
    <col min="40" max="40" width="10.7109375" bestFit="1" customWidth="1"/>
    <col min="41" max="41" width="21.140625" bestFit="1" customWidth="1"/>
    <col min="42" max="42" width="23.5703125" bestFit="1" customWidth="1"/>
    <col min="43" max="43" width="21" bestFit="1" customWidth="1"/>
    <col min="44" max="44" width="21.85546875" bestFit="1" customWidth="1"/>
    <col min="45" max="45" width="22.140625" bestFit="1" customWidth="1"/>
    <col min="46" max="46" width="21.42578125" bestFit="1" customWidth="1"/>
    <col min="47" max="47" width="17.7109375" bestFit="1" customWidth="1"/>
    <col min="48" max="48" width="20" bestFit="1" customWidth="1"/>
    <col min="49" max="49" width="17.5703125" bestFit="1" customWidth="1"/>
    <col min="50" max="50" width="18.28515625" bestFit="1" customWidth="1"/>
    <col min="51" max="51" width="18.5703125" bestFit="1" customWidth="1"/>
    <col min="52" max="52" width="17.85546875" bestFit="1" customWidth="1"/>
    <col min="54" max="54" width="9.28515625" bestFit="1" customWidth="1"/>
  </cols>
  <sheetData>
    <row r="1" spans="1:54" x14ac:dyDescent="0.25">
      <c r="A1" s="95" t="s">
        <v>0</v>
      </c>
      <c r="B1" s="96" t="s">
        <v>1</v>
      </c>
      <c r="C1" s="96" t="s">
        <v>1062</v>
      </c>
      <c r="D1" s="96" t="s">
        <v>877</v>
      </c>
      <c r="E1" s="97" t="s">
        <v>741</v>
      </c>
      <c r="F1" s="98" t="s">
        <v>742</v>
      </c>
      <c r="G1" s="99" t="s">
        <v>763</v>
      </c>
      <c r="H1" s="99" t="s">
        <v>781</v>
      </c>
      <c r="I1" s="100" t="s">
        <v>782</v>
      </c>
      <c r="J1" s="77" t="s">
        <v>743</v>
      </c>
      <c r="K1" s="78" t="s">
        <v>744</v>
      </c>
      <c r="L1" s="78" t="s">
        <v>745</v>
      </c>
      <c r="M1" s="78" t="s">
        <v>746</v>
      </c>
      <c r="N1" s="79" t="s">
        <v>747</v>
      </c>
      <c r="O1" s="79" t="s">
        <v>786</v>
      </c>
      <c r="P1" s="77" t="s">
        <v>758</v>
      </c>
      <c r="Q1" s="78" t="s">
        <v>759</v>
      </c>
      <c r="R1" s="78" t="s">
        <v>760</v>
      </c>
      <c r="S1" s="78" t="s">
        <v>761</v>
      </c>
      <c r="T1" s="79" t="s">
        <v>762</v>
      </c>
      <c r="U1" s="79" t="s">
        <v>787</v>
      </c>
      <c r="V1" s="77" t="s">
        <v>752</v>
      </c>
      <c r="W1" s="78" t="s">
        <v>753</v>
      </c>
      <c r="X1" s="78" t="s">
        <v>754</v>
      </c>
      <c r="Y1" s="78" t="s">
        <v>755</v>
      </c>
      <c r="Z1" s="79" t="s">
        <v>756</v>
      </c>
      <c r="AA1" s="79" t="s">
        <v>788</v>
      </c>
      <c r="AB1" s="80" t="s">
        <v>752</v>
      </c>
      <c r="AC1" s="81" t="s">
        <v>753</v>
      </c>
      <c r="AD1" s="81" t="s">
        <v>754</v>
      </c>
      <c r="AE1" s="81" t="s">
        <v>755</v>
      </c>
      <c r="AF1" s="82" t="s">
        <v>756</v>
      </c>
      <c r="AG1" s="82" t="s">
        <v>788</v>
      </c>
      <c r="AH1" s="83" t="s">
        <v>748</v>
      </c>
      <c r="AI1" s="84" t="s">
        <v>757</v>
      </c>
      <c r="AJ1" s="84" t="s">
        <v>749</v>
      </c>
      <c r="AK1" s="84" t="s">
        <v>750</v>
      </c>
      <c r="AL1" s="85" t="s">
        <v>751</v>
      </c>
      <c r="AM1" s="85" t="s">
        <v>789</v>
      </c>
      <c r="AN1" s="85" t="s">
        <v>778</v>
      </c>
      <c r="AO1" s="74" t="s">
        <v>1050</v>
      </c>
      <c r="AP1" s="75" t="s">
        <v>1051</v>
      </c>
      <c r="AQ1" s="75" t="s">
        <v>1052</v>
      </c>
      <c r="AR1" s="75" t="s">
        <v>1053</v>
      </c>
      <c r="AS1" s="76" t="s">
        <v>1054</v>
      </c>
      <c r="AT1" s="76" t="s">
        <v>1055</v>
      </c>
      <c r="AU1" s="74" t="s">
        <v>1056</v>
      </c>
      <c r="AV1" s="75" t="s">
        <v>1057</v>
      </c>
      <c r="AW1" s="75" t="s">
        <v>1058</v>
      </c>
      <c r="AX1" s="75" t="s">
        <v>1059</v>
      </c>
      <c r="AY1" s="76" t="s">
        <v>1060</v>
      </c>
      <c r="AZ1" s="76" t="s">
        <v>1061</v>
      </c>
    </row>
    <row r="2" spans="1:54" x14ac:dyDescent="0.25">
      <c r="A2" s="101" t="s">
        <v>878</v>
      </c>
      <c r="B2" s="102" t="s">
        <v>2</v>
      </c>
      <c r="C2" s="102" t="s">
        <v>1063</v>
      </c>
      <c r="D2" s="102" t="s">
        <v>1048</v>
      </c>
      <c r="E2" s="103">
        <v>95.44</v>
      </c>
      <c r="F2" s="104">
        <v>3000</v>
      </c>
      <c r="G2" s="105">
        <f t="shared" ref="G2:G65" si="0">F2/2</f>
        <v>1500</v>
      </c>
      <c r="H2" s="105">
        <v>6291</v>
      </c>
      <c r="I2" s="106">
        <f t="shared" ref="I2:I65" si="1">+G2/H2</f>
        <v>0.23843586075345732</v>
      </c>
      <c r="J2" s="86">
        <v>7002.5</v>
      </c>
      <c r="K2" s="87">
        <v>2504</v>
      </c>
      <c r="L2" s="87">
        <v>2842</v>
      </c>
      <c r="M2" s="87">
        <v>2186.75</v>
      </c>
      <c r="N2" s="90">
        <v>904.25</v>
      </c>
      <c r="O2" s="90">
        <v>3198</v>
      </c>
      <c r="P2" s="86">
        <f>+J2*E2</f>
        <v>668318.6</v>
      </c>
      <c r="Q2" s="87">
        <f>+K2*E2</f>
        <v>238981.75999999998</v>
      </c>
      <c r="R2" s="87">
        <f>+L2*E2</f>
        <v>271240.48</v>
      </c>
      <c r="S2" s="88">
        <f>+M2*E2</f>
        <v>208703.41999999998</v>
      </c>
      <c r="T2" s="89">
        <f>+N2*E2</f>
        <v>86301.62</v>
      </c>
      <c r="U2" s="89">
        <f t="shared" ref="U2:U65" si="2">+O2*E2</f>
        <v>305217.12</v>
      </c>
      <c r="V2" s="86">
        <f>726+435</f>
        <v>1161</v>
      </c>
      <c r="W2" s="87">
        <f>991+504</f>
        <v>1495</v>
      </c>
      <c r="X2" s="87">
        <f>778+776</f>
        <v>1554</v>
      </c>
      <c r="Y2" s="87">
        <f>867+693</f>
        <v>1560</v>
      </c>
      <c r="Z2" s="90">
        <f>890+884</f>
        <v>1774</v>
      </c>
      <c r="AA2" s="90">
        <v>805</v>
      </c>
      <c r="AB2" s="91">
        <f t="shared" ref="AB2:AB65" si="3">+IFERROR(V2/H2,"")</f>
        <v>0.18454935622317598</v>
      </c>
      <c r="AC2" s="91">
        <f t="shared" ref="AC2:AC65" si="4">+IFERROR(W2/H2,"")</f>
        <v>0.2376410745509458</v>
      </c>
      <c r="AD2" s="91">
        <f t="shared" ref="AD2:AD65" si="5">+IFERROR(X2/H2,"")</f>
        <v>0.24701955174058179</v>
      </c>
      <c r="AE2" s="91">
        <f t="shared" ref="AE2:AE65" si="6">+IFERROR(Y2/H2,"")</f>
        <v>0.24797329518359562</v>
      </c>
      <c r="AF2" s="91">
        <f t="shared" ref="AF2:AF65" si="7">+IFERROR(Z2/H2,"")</f>
        <v>0.28199014465108885</v>
      </c>
      <c r="AG2" s="91">
        <f t="shared" ref="AG2:AG65" si="8">+IFERROR(AA2/H2,"")</f>
        <v>0.12796057860435542</v>
      </c>
      <c r="AH2" s="92">
        <v>104490</v>
      </c>
      <c r="AI2" s="93">
        <v>134550</v>
      </c>
      <c r="AJ2" s="93">
        <v>139860</v>
      </c>
      <c r="AK2" s="93">
        <v>140400</v>
      </c>
      <c r="AL2" s="94">
        <v>159660</v>
      </c>
      <c r="AM2" s="94">
        <v>70979.120000000097</v>
      </c>
      <c r="AN2" s="94" t="s">
        <v>779</v>
      </c>
      <c r="AO2" s="111">
        <v>25052.720000000001</v>
      </c>
      <c r="AP2" s="112">
        <v>11618.56</v>
      </c>
      <c r="AQ2" s="112">
        <v>13205.199999999999</v>
      </c>
      <c r="AR2" s="112">
        <v>10137.650000000001</v>
      </c>
      <c r="AS2" s="113">
        <v>4159.55</v>
      </c>
      <c r="AT2" s="113">
        <v>3668.1000000000004</v>
      </c>
      <c r="AU2" s="111">
        <v>0</v>
      </c>
      <c r="AV2" s="112">
        <v>0</v>
      </c>
      <c r="AW2" s="112">
        <v>0</v>
      </c>
      <c r="AX2" s="112">
        <v>0</v>
      </c>
      <c r="AY2" s="113">
        <v>0</v>
      </c>
      <c r="AZ2" s="113">
        <v>0</v>
      </c>
      <c r="BB2" s="145" t="s">
        <v>1048</v>
      </c>
    </row>
    <row r="3" spans="1:54" x14ac:dyDescent="0.25">
      <c r="A3" s="101" t="s">
        <v>802</v>
      </c>
      <c r="B3" s="102" t="s">
        <v>845</v>
      </c>
      <c r="C3" s="102"/>
      <c r="D3" s="102" t="s">
        <v>1049</v>
      </c>
      <c r="E3" s="103">
        <v>90.756270305393102</v>
      </c>
      <c r="F3" s="104">
        <v>1500</v>
      </c>
      <c r="G3" s="105">
        <f t="shared" si="0"/>
        <v>750</v>
      </c>
      <c r="H3" s="105">
        <v>1212</v>
      </c>
      <c r="I3" s="106">
        <f t="shared" si="1"/>
        <v>0.61881188118811881</v>
      </c>
      <c r="J3" s="86">
        <v>0</v>
      </c>
      <c r="K3" s="87">
        <v>0</v>
      </c>
      <c r="L3" s="87">
        <v>0</v>
      </c>
      <c r="M3" s="87">
        <v>0</v>
      </c>
      <c r="N3" s="90">
        <v>0</v>
      </c>
      <c r="O3" s="90">
        <v>55</v>
      </c>
      <c r="P3" s="86"/>
      <c r="Q3" s="87"/>
      <c r="R3" s="87"/>
      <c r="S3" s="88"/>
      <c r="T3" s="89"/>
      <c r="U3" s="89">
        <f t="shared" si="2"/>
        <v>4991.5948667966204</v>
      </c>
      <c r="V3" s="86"/>
      <c r="W3" s="87"/>
      <c r="X3" s="87"/>
      <c r="Y3" s="87"/>
      <c r="Z3" s="90"/>
      <c r="AA3" s="90"/>
      <c r="AB3" s="91">
        <f t="shared" si="3"/>
        <v>0</v>
      </c>
      <c r="AC3" s="91">
        <f t="shared" si="4"/>
        <v>0</v>
      </c>
      <c r="AD3" s="91">
        <f t="shared" si="5"/>
        <v>0</v>
      </c>
      <c r="AE3" s="91">
        <f t="shared" si="6"/>
        <v>0</v>
      </c>
      <c r="AF3" s="91">
        <f t="shared" si="7"/>
        <v>0</v>
      </c>
      <c r="AG3" s="91">
        <f t="shared" si="8"/>
        <v>0</v>
      </c>
      <c r="AH3" s="92"/>
      <c r="AI3" s="93"/>
      <c r="AJ3" s="93"/>
      <c r="AK3" s="93"/>
      <c r="AL3" s="94"/>
      <c r="AM3" s="94"/>
      <c r="AN3" s="94" t="s">
        <v>779</v>
      </c>
      <c r="AO3" s="111">
        <v>0</v>
      </c>
      <c r="AP3" s="112">
        <v>0</v>
      </c>
      <c r="AQ3" s="112">
        <v>0</v>
      </c>
      <c r="AR3" s="112">
        <v>0</v>
      </c>
      <c r="AS3" s="113">
        <v>0</v>
      </c>
      <c r="AT3" s="113">
        <v>4867.5</v>
      </c>
      <c r="AU3" s="111">
        <v>0</v>
      </c>
      <c r="AV3" s="112">
        <v>0</v>
      </c>
      <c r="AW3" s="112">
        <v>0</v>
      </c>
      <c r="AX3" s="112">
        <v>17383.689999999999</v>
      </c>
      <c r="AY3" s="113">
        <v>13701.49</v>
      </c>
      <c r="AZ3" s="113">
        <v>0</v>
      </c>
      <c r="BB3" s="146" t="s">
        <v>1049</v>
      </c>
    </row>
    <row r="4" spans="1:54" x14ac:dyDescent="0.25">
      <c r="A4" s="101" t="s">
        <v>30</v>
      </c>
      <c r="B4" s="102" t="s">
        <v>31</v>
      </c>
      <c r="C4" s="102"/>
      <c r="D4" s="102" t="s">
        <v>1048</v>
      </c>
      <c r="E4" s="103">
        <v>89.980000000000018</v>
      </c>
      <c r="F4" s="104">
        <v>150</v>
      </c>
      <c r="G4" s="105">
        <f t="shared" si="0"/>
        <v>75</v>
      </c>
      <c r="H4" s="105">
        <v>305</v>
      </c>
      <c r="I4" s="106">
        <f t="shared" si="1"/>
        <v>0.24590163934426229</v>
      </c>
      <c r="J4" s="86">
        <v>0</v>
      </c>
      <c r="K4" s="87">
        <v>0</v>
      </c>
      <c r="L4" s="87">
        <v>0</v>
      </c>
      <c r="M4" s="87">
        <v>50</v>
      </c>
      <c r="N4" s="90">
        <v>40</v>
      </c>
      <c r="O4" s="90">
        <v>0</v>
      </c>
      <c r="P4" s="86">
        <f>+J4*E4</f>
        <v>0</v>
      </c>
      <c r="Q4" s="87">
        <f>+K4*E4</f>
        <v>0</v>
      </c>
      <c r="R4" s="87">
        <f>+L4*E4</f>
        <v>0</v>
      </c>
      <c r="S4" s="88">
        <f>+M4*E4</f>
        <v>4499.0000000000009</v>
      </c>
      <c r="T4" s="89">
        <f>+N4*E4</f>
        <v>3599.2000000000007</v>
      </c>
      <c r="U4" s="89">
        <f t="shared" si="2"/>
        <v>0</v>
      </c>
      <c r="V4" s="86">
        <v>2</v>
      </c>
      <c r="W4" s="87">
        <v>0</v>
      </c>
      <c r="X4" s="87">
        <v>0</v>
      </c>
      <c r="Y4" s="87">
        <v>0</v>
      </c>
      <c r="Z4" s="90">
        <v>49</v>
      </c>
      <c r="AA4" s="90">
        <v>39</v>
      </c>
      <c r="AB4" s="91">
        <f t="shared" si="3"/>
        <v>6.5573770491803279E-3</v>
      </c>
      <c r="AC4" s="91">
        <f t="shared" si="4"/>
        <v>0</v>
      </c>
      <c r="AD4" s="91">
        <f t="shared" si="5"/>
        <v>0</v>
      </c>
      <c r="AE4" s="91">
        <f t="shared" si="6"/>
        <v>0</v>
      </c>
      <c r="AF4" s="91">
        <f t="shared" si="7"/>
        <v>0.16065573770491803</v>
      </c>
      <c r="AG4" s="91">
        <f t="shared" si="8"/>
        <v>0.12786885245901639</v>
      </c>
      <c r="AH4" s="92">
        <v>184.86</v>
      </c>
      <c r="AI4" s="93">
        <v>0</v>
      </c>
      <c r="AJ4" s="93">
        <v>0</v>
      </c>
      <c r="AK4" s="93">
        <v>0</v>
      </c>
      <c r="AL4" s="94">
        <v>4409.0200000000004</v>
      </c>
      <c r="AM4" s="94">
        <v>3461.8599999999901</v>
      </c>
      <c r="AN4" s="94" t="s">
        <v>779</v>
      </c>
      <c r="AO4" s="111">
        <v>0</v>
      </c>
      <c r="AP4" s="112">
        <v>0</v>
      </c>
      <c r="AQ4" s="112">
        <v>0</v>
      </c>
      <c r="AR4" s="112">
        <v>2809.5</v>
      </c>
      <c r="AS4" s="113">
        <v>2220.4</v>
      </c>
      <c r="AT4" s="113">
        <v>0</v>
      </c>
      <c r="AU4" s="111">
        <v>293.98</v>
      </c>
      <c r="AV4" s="112">
        <v>0</v>
      </c>
      <c r="AW4" s="112">
        <v>0</v>
      </c>
      <c r="AX4" s="112">
        <v>0</v>
      </c>
      <c r="AY4" s="113">
        <v>6872.9499999999898</v>
      </c>
      <c r="AZ4" s="113">
        <v>5626.75</v>
      </c>
    </row>
    <row r="5" spans="1:54" x14ac:dyDescent="0.25">
      <c r="A5" s="101" t="s">
        <v>879</v>
      </c>
      <c r="B5" s="102" t="s">
        <v>40</v>
      </c>
      <c r="C5" s="102"/>
      <c r="D5" s="102" t="s">
        <v>1048</v>
      </c>
      <c r="E5" s="103">
        <v>83.25</v>
      </c>
      <c r="F5" s="104">
        <v>300</v>
      </c>
      <c r="G5" s="105">
        <f t="shared" si="0"/>
        <v>150</v>
      </c>
      <c r="H5" s="105">
        <v>305</v>
      </c>
      <c r="I5" s="106">
        <f t="shared" si="1"/>
        <v>0.49180327868852458</v>
      </c>
      <c r="J5" s="86">
        <v>273</v>
      </c>
      <c r="K5" s="87">
        <v>0</v>
      </c>
      <c r="L5" s="87">
        <v>0</v>
      </c>
      <c r="M5" s="87">
        <v>0</v>
      </c>
      <c r="N5" s="90"/>
      <c r="O5" s="90">
        <v>0</v>
      </c>
      <c r="P5" s="86">
        <f>+J5*E5</f>
        <v>22727.25</v>
      </c>
      <c r="Q5" s="87">
        <f>+K5*E5</f>
        <v>0</v>
      </c>
      <c r="R5" s="87">
        <f>+L5*E5</f>
        <v>0</v>
      </c>
      <c r="S5" s="88">
        <f>+M5*E5</f>
        <v>0</v>
      </c>
      <c r="T5" s="89">
        <f>+N5*E5</f>
        <v>0</v>
      </c>
      <c r="U5" s="89">
        <f t="shared" si="2"/>
        <v>0</v>
      </c>
      <c r="V5" s="86">
        <v>19</v>
      </c>
      <c r="W5" s="87">
        <v>36</v>
      </c>
      <c r="X5" s="87">
        <v>90</v>
      </c>
      <c r="Y5" s="87">
        <v>97</v>
      </c>
      <c r="Z5" s="90">
        <v>74</v>
      </c>
      <c r="AA5" s="90">
        <v>0</v>
      </c>
      <c r="AB5" s="91">
        <f t="shared" si="3"/>
        <v>6.2295081967213117E-2</v>
      </c>
      <c r="AC5" s="91">
        <f t="shared" si="4"/>
        <v>0.11803278688524591</v>
      </c>
      <c r="AD5" s="91">
        <f t="shared" si="5"/>
        <v>0.29508196721311475</v>
      </c>
      <c r="AE5" s="91">
        <f t="shared" si="6"/>
        <v>0.31803278688524589</v>
      </c>
      <c r="AF5" s="91">
        <f t="shared" si="7"/>
        <v>0.24262295081967214</v>
      </c>
      <c r="AG5" s="91">
        <f t="shared" si="8"/>
        <v>0</v>
      </c>
      <c r="AH5" s="92">
        <v>1711.2</v>
      </c>
      <c r="AI5" s="93">
        <v>4335.880000000001</v>
      </c>
      <c r="AJ5" s="93">
        <v>4335.8799999999992</v>
      </c>
      <c r="AK5" s="93">
        <v>8516.1699999999928</v>
      </c>
      <c r="AL5" s="94">
        <v>7774.4399999999896</v>
      </c>
      <c r="AM5" s="94">
        <v>0</v>
      </c>
      <c r="AN5" s="94" t="s">
        <v>779</v>
      </c>
      <c r="AO5" s="111">
        <v>15313</v>
      </c>
      <c r="AP5" s="112">
        <v>0</v>
      </c>
      <c r="AQ5" s="112">
        <v>0</v>
      </c>
      <c r="AR5" s="112">
        <v>0</v>
      </c>
      <c r="AS5" s="113">
        <v>0</v>
      </c>
      <c r="AT5" s="113">
        <v>0</v>
      </c>
      <c r="AU5" s="111">
        <v>0</v>
      </c>
      <c r="AV5" s="112">
        <v>0</v>
      </c>
      <c r="AW5" s="112">
        <v>0</v>
      </c>
      <c r="AX5" s="112">
        <v>0</v>
      </c>
      <c r="AY5" s="113">
        <v>0</v>
      </c>
      <c r="AZ5" s="113">
        <v>0</v>
      </c>
    </row>
    <row r="6" spans="1:54" x14ac:dyDescent="0.25">
      <c r="A6" s="101" t="s">
        <v>20</v>
      </c>
      <c r="B6" s="102" t="s">
        <v>21</v>
      </c>
      <c r="C6" s="102"/>
      <c r="D6" s="102" t="s">
        <v>1048</v>
      </c>
      <c r="E6" s="103">
        <v>77.069999999999993</v>
      </c>
      <c r="F6" s="104">
        <v>200</v>
      </c>
      <c r="G6" s="105">
        <f t="shared" si="0"/>
        <v>100</v>
      </c>
      <c r="H6" s="105">
        <v>305</v>
      </c>
      <c r="I6" s="106">
        <f t="shared" si="1"/>
        <v>0.32786885245901637</v>
      </c>
      <c r="J6" s="86">
        <v>353</v>
      </c>
      <c r="K6" s="87">
        <v>130</v>
      </c>
      <c r="L6" s="87">
        <v>0</v>
      </c>
      <c r="M6" s="87">
        <v>0</v>
      </c>
      <c r="N6" s="90"/>
      <c r="O6" s="90">
        <v>0</v>
      </c>
      <c r="P6" s="86">
        <f>+J6*E6</f>
        <v>27205.71</v>
      </c>
      <c r="Q6" s="87">
        <f>+K6*E6</f>
        <v>10019.099999999999</v>
      </c>
      <c r="R6" s="87">
        <f>+L6*E6</f>
        <v>0</v>
      </c>
      <c r="S6" s="88">
        <f>+M6*E6</f>
        <v>0</v>
      </c>
      <c r="T6" s="89">
        <f>+N6*E6</f>
        <v>0</v>
      </c>
      <c r="U6" s="89">
        <f t="shared" si="2"/>
        <v>0</v>
      </c>
      <c r="V6" s="86">
        <v>0</v>
      </c>
      <c r="W6" s="87">
        <v>0</v>
      </c>
      <c r="X6" s="87">
        <v>0</v>
      </c>
      <c r="Y6" s="87">
        <v>20</v>
      </c>
      <c r="Z6" s="90">
        <v>24</v>
      </c>
      <c r="AA6" s="90">
        <v>44</v>
      </c>
      <c r="AB6" s="91">
        <f t="shared" si="3"/>
        <v>0</v>
      </c>
      <c r="AC6" s="91">
        <f t="shared" si="4"/>
        <v>0</v>
      </c>
      <c r="AD6" s="91">
        <f t="shared" si="5"/>
        <v>0</v>
      </c>
      <c r="AE6" s="91">
        <f t="shared" si="6"/>
        <v>6.5573770491803282E-2</v>
      </c>
      <c r="AF6" s="91">
        <f t="shared" si="7"/>
        <v>7.8688524590163941E-2</v>
      </c>
      <c r="AG6" s="91">
        <f t="shared" si="8"/>
        <v>0.14426229508196722</v>
      </c>
      <c r="AH6" s="92">
        <v>0</v>
      </c>
      <c r="AI6" s="93">
        <v>0</v>
      </c>
      <c r="AJ6" s="93">
        <v>0</v>
      </c>
      <c r="AK6" s="93">
        <v>1541.3999999999999</v>
      </c>
      <c r="AL6" s="94">
        <v>1631.3999999999901</v>
      </c>
      <c r="AM6" s="94">
        <v>3449.16</v>
      </c>
      <c r="AN6" s="94" t="s">
        <v>779</v>
      </c>
      <c r="AO6" s="111">
        <v>12284.81</v>
      </c>
      <c r="AP6" s="112">
        <v>4529.2</v>
      </c>
      <c r="AQ6" s="112">
        <v>0</v>
      </c>
      <c r="AR6" s="112">
        <v>0</v>
      </c>
      <c r="AS6" s="113">
        <v>0</v>
      </c>
      <c r="AT6" s="113">
        <v>0</v>
      </c>
      <c r="AU6" s="111">
        <v>0</v>
      </c>
      <c r="AV6" s="112">
        <v>0</v>
      </c>
      <c r="AW6" s="112">
        <v>0</v>
      </c>
      <c r="AX6" s="112">
        <v>2320</v>
      </c>
      <c r="AY6" s="113">
        <v>2743.5</v>
      </c>
      <c r="AZ6" s="113">
        <v>4964.08</v>
      </c>
    </row>
    <row r="7" spans="1:54" x14ac:dyDescent="0.25">
      <c r="A7" s="101" t="s">
        <v>880</v>
      </c>
      <c r="B7" s="102" t="s">
        <v>17</v>
      </c>
      <c r="C7" s="102"/>
      <c r="D7" s="102" t="s">
        <v>1048</v>
      </c>
      <c r="E7" s="103">
        <v>51.94</v>
      </c>
      <c r="F7" s="104">
        <v>400</v>
      </c>
      <c r="G7" s="105">
        <f t="shared" si="0"/>
        <v>200</v>
      </c>
      <c r="H7" s="105">
        <v>269</v>
      </c>
      <c r="I7" s="106">
        <f t="shared" si="1"/>
        <v>0.74349442379182151</v>
      </c>
      <c r="J7" s="86">
        <v>98</v>
      </c>
      <c r="K7" s="87">
        <v>0</v>
      </c>
      <c r="L7" s="87">
        <v>0</v>
      </c>
      <c r="M7" s="87">
        <v>0</v>
      </c>
      <c r="N7" s="90"/>
      <c r="O7" s="90">
        <v>30</v>
      </c>
      <c r="P7" s="86">
        <f>+J7*E7</f>
        <v>5090.12</v>
      </c>
      <c r="Q7" s="87">
        <f>+K7*E7</f>
        <v>0</v>
      </c>
      <c r="R7" s="87">
        <f>+L7*E7</f>
        <v>0</v>
      </c>
      <c r="S7" s="88">
        <f>+M7*E7</f>
        <v>0</v>
      </c>
      <c r="T7" s="89">
        <f>+N7*E7</f>
        <v>0</v>
      </c>
      <c r="U7" s="89">
        <f t="shared" si="2"/>
        <v>1558.1999999999998</v>
      </c>
      <c r="V7" s="86">
        <v>0</v>
      </c>
      <c r="W7" s="87">
        <v>0</v>
      </c>
      <c r="X7" s="87">
        <v>0</v>
      </c>
      <c r="Y7" s="87">
        <v>1</v>
      </c>
      <c r="Z7" s="90">
        <v>0</v>
      </c>
      <c r="AA7" s="90">
        <v>0</v>
      </c>
      <c r="AB7" s="91">
        <f t="shared" si="3"/>
        <v>0</v>
      </c>
      <c r="AC7" s="91">
        <f t="shared" si="4"/>
        <v>0</v>
      </c>
      <c r="AD7" s="91">
        <f t="shared" si="5"/>
        <v>0</v>
      </c>
      <c r="AE7" s="91">
        <f t="shared" si="6"/>
        <v>3.7174721189591076E-3</v>
      </c>
      <c r="AF7" s="91">
        <f t="shared" si="7"/>
        <v>0</v>
      </c>
      <c r="AG7" s="91">
        <f t="shared" si="8"/>
        <v>0</v>
      </c>
      <c r="AH7" s="92">
        <v>0</v>
      </c>
      <c r="AI7" s="93">
        <v>0</v>
      </c>
      <c r="AJ7" s="93">
        <v>0</v>
      </c>
      <c r="AK7" s="93">
        <v>51.94</v>
      </c>
      <c r="AL7" s="94">
        <v>51.94</v>
      </c>
      <c r="AM7" s="94">
        <v>0</v>
      </c>
      <c r="AN7" s="94" t="s">
        <v>779</v>
      </c>
      <c r="AO7" s="111">
        <v>2316.56</v>
      </c>
      <c r="AP7" s="112">
        <v>0</v>
      </c>
      <c r="AQ7" s="112">
        <v>0</v>
      </c>
      <c r="AR7" s="112">
        <v>0</v>
      </c>
      <c r="AS7" s="113">
        <v>0</v>
      </c>
      <c r="AT7" s="113">
        <v>702.6</v>
      </c>
      <c r="AU7" s="111">
        <v>0</v>
      </c>
      <c r="AV7" s="112">
        <v>0</v>
      </c>
      <c r="AW7" s="112">
        <v>0</v>
      </c>
      <c r="AX7" s="112">
        <v>0</v>
      </c>
      <c r="AY7" s="113">
        <v>0</v>
      </c>
      <c r="AZ7" s="113">
        <v>0</v>
      </c>
    </row>
    <row r="8" spans="1:54" x14ac:dyDescent="0.25">
      <c r="A8" s="101" t="s">
        <v>18</v>
      </c>
      <c r="B8" s="102" t="s">
        <v>19</v>
      </c>
      <c r="C8" s="102" t="s">
        <v>1063</v>
      </c>
      <c r="D8" s="102" t="s">
        <v>1048</v>
      </c>
      <c r="E8" s="103">
        <v>48.320000000000007</v>
      </c>
      <c r="F8" s="104">
        <v>3000</v>
      </c>
      <c r="G8" s="105">
        <f t="shared" si="0"/>
        <v>1500</v>
      </c>
      <c r="H8" s="105">
        <v>485</v>
      </c>
      <c r="I8" s="106">
        <f t="shared" si="1"/>
        <v>3.0927835051546393</v>
      </c>
      <c r="J8" s="86">
        <v>565</v>
      </c>
      <c r="K8" s="87">
        <v>909</v>
      </c>
      <c r="L8" s="87">
        <v>971</v>
      </c>
      <c r="M8" s="87">
        <v>347</v>
      </c>
      <c r="N8" s="90">
        <v>1230</v>
      </c>
      <c r="O8" s="90">
        <v>796</v>
      </c>
      <c r="P8" s="86">
        <f>+J8*E8</f>
        <v>27300.800000000003</v>
      </c>
      <c r="Q8" s="87">
        <f>+K8*E8</f>
        <v>43922.880000000005</v>
      </c>
      <c r="R8" s="87">
        <f>+L8*E8</f>
        <v>46918.720000000008</v>
      </c>
      <c r="S8" s="88">
        <f>+M8*E8</f>
        <v>16767.04</v>
      </c>
      <c r="T8" s="89">
        <f>+N8*E8</f>
        <v>59433.600000000006</v>
      </c>
      <c r="U8" s="89">
        <f t="shared" si="2"/>
        <v>38462.720000000008</v>
      </c>
      <c r="V8" s="86">
        <v>215</v>
      </c>
      <c r="W8" s="87">
        <v>310</v>
      </c>
      <c r="X8" s="87">
        <v>1371</v>
      </c>
      <c r="Y8" s="87">
        <v>754</v>
      </c>
      <c r="Z8" s="90">
        <v>273</v>
      </c>
      <c r="AA8" s="90">
        <v>380</v>
      </c>
      <c r="AB8" s="91">
        <f t="shared" si="3"/>
        <v>0.44329896907216493</v>
      </c>
      <c r="AC8" s="91">
        <f t="shared" si="4"/>
        <v>0.63917525773195871</v>
      </c>
      <c r="AD8" s="91">
        <f t="shared" si="5"/>
        <v>2.8268041237113404</v>
      </c>
      <c r="AE8" s="91">
        <f t="shared" si="6"/>
        <v>1.554639175257732</v>
      </c>
      <c r="AF8" s="91">
        <f t="shared" si="7"/>
        <v>0.56288659793814433</v>
      </c>
      <c r="AG8" s="91">
        <f t="shared" si="8"/>
        <v>0.78350515463917525</v>
      </c>
      <c r="AH8" s="92">
        <v>4599.0400000000018</v>
      </c>
      <c r="AI8" s="93">
        <v>7170.1399999999885</v>
      </c>
      <c r="AJ8" s="93">
        <v>7170.1399999999894</v>
      </c>
      <c r="AK8" s="93">
        <v>33326.040000000015</v>
      </c>
      <c r="AL8" s="94">
        <v>31149.889999999799</v>
      </c>
      <c r="AM8" s="94">
        <v>16033.81</v>
      </c>
      <c r="AN8" s="94" t="s">
        <v>779</v>
      </c>
      <c r="AO8" s="111">
        <v>11732.46</v>
      </c>
      <c r="AP8" s="112">
        <v>19114.740000000002</v>
      </c>
      <c r="AQ8" s="112">
        <v>20259.440000000002</v>
      </c>
      <c r="AR8" s="112">
        <v>7301.2200000000012</v>
      </c>
      <c r="AS8" s="113">
        <v>25859.310000000005</v>
      </c>
      <c r="AT8" s="113">
        <v>16720.830000000002</v>
      </c>
      <c r="AU8" s="111">
        <v>8920.5399999999936</v>
      </c>
      <c r="AV8" s="112">
        <v>13432.419999999995</v>
      </c>
      <c r="AW8" s="112">
        <v>62035.17999999976</v>
      </c>
      <c r="AX8" s="112">
        <v>46911.51</v>
      </c>
      <c r="AY8" s="113">
        <v>16367.43</v>
      </c>
      <c r="AZ8" s="113">
        <v>23997.72</v>
      </c>
    </row>
    <row r="9" spans="1:54" x14ac:dyDescent="0.25">
      <c r="A9" s="101" t="s">
        <v>792</v>
      </c>
      <c r="B9" s="102" t="s">
        <v>835</v>
      </c>
      <c r="C9" s="102"/>
      <c r="D9" s="102" t="s">
        <v>1048</v>
      </c>
      <c r="E9" s="103">
        <v>47.674997817927895</v>
      </c>
      <c r="F9" s="104">
        <v>200</v>
      </c>
      <c r="G9" s="105">
        <f t="shared" si="0"/>
        <v>100</v>
      </c>
      <c r="H9" s="105">
        <v>322</v>
      </c>
      <c r="I9" s="106">
        <f t="shared" si="1"/>
        <v>0.3105590062111801</v>
      </c>
      <c r="J9" s="86">
        <v>0</v>
      </c>
      <c r="K9" s="86">
        <v>0</v>
      </c>
      <c r="L9" s="86">
        <v>0</v>
      </c>
      <c r="M9" s="86">
        <v>0</v>
      </c>
      <c r="N9" s="86">
        <v>0</v>
      </c>
      <c r="O9" s="90">
        <v>403</v>
      </c>
      <c r="P9" s="86"/>
      <c r="Q9" s="87"/>
      <c r="R9" s="87"/>
      <c r="S9" s="88"/>
      <c r="T9" s="89"/>
      <c r="U9" s="89">
        <f t="shared" si="2"/>
        <v>19213.024120624941</v>
      </c>
      <c r="V9" s="86"/>
      <c r="W9" s="87"/>
      <c r="X9" s="87"/>
      <c r="Y9" s="87"/>
      <c r="Z9" s="90"/>
      <c r="AA9" s="90"/>
      <c r="AB9" s="91">
        <f t="shared" si="3"/>
        <v>0</v>
      </c>
      <c r="AC9" s="91">
        <f t="shared" si="4"/>
        <v>0</v>
      </c>
      <c r="AD9" s="91">
        <f t="shared" si="5"/>
        <v>0</v>
      </c>
      <c r="AE9" s="91">
        <f t="shared" si="6"/>
        <v>0</v>
      </c>
      <c r="AF9" s="91">
        <f t="shared" si="7"/>
        <v>0</v>
      </c>
      <c r="AG9" s="91">
        <f t="shared" si="8"/>
        <v>0</v>
      </c>
      <c r="AH9" s="92"/>
      <c r="AI9" s="93"/>
      <c r="AJ9" s="93"/>
      <c r="AK9" s="93"/>
      <c r="AL9" s="94"/>
      <c r="AM9" s="94"/>
      <c r="AN9" s="94" t="s">
        <v>779</v>
      </c>
      <c r="AO9" s="111">
        <v>0</v>
      </c>
      <c r="AP9" s="112">
        <v>0</v>
      </c>
      <c r="AQ9" s="112">
        <v>0</v>
      </c>
      <c r="AR9" s="112">
        <v>0</v>
      </c>
      <c r="AS9" s="113">
        <v>0</v>
      </c>
      <c r="AT9" s="113">
        <v>0</v>
      </c>
      <c r="AU9" s="111">
        <v>1852.44</v>
      </c>
      <c r="AV9" s="112">
        <v>1381.9899999999989</v>
      </c>
      <c r="AW9" s="112">
        <v>1144.6699999999998</v>
      </c>
      <c r="AX9" s="112">
        <v>0</v>
      </c>
      <c r="AY9" s="113">
        <v>0</v>
      </c>
      <c r="AZ9" s="113">
        <v>0</v>
      </c>
    </row>
    <row r="10" spans="1:54" x14ac:dyDescent="0.25">
      <c r="A10" s="101" t="s">
        <v>881</v>
      </c>
      <c r="B10" s="102" t="s">
        <v>3</v>
      </c>
      <c r="C10" s="102" t="s">
        <v>1063</v>
      </c>
      <c r="D10" s="102" t="s">
        <v>1048</v>
      </c>
      <c r="E10" s="103">
        <v>44.3</v>
      </c>
      <c r="F10" s="104">
        <v>8000</v>
      </c>
      <c r="G10" s="105">
        <f t="shared" si="0"/>
        <v>4000</v>
      </c>
      <c r="H10" s="105">
        <v>1722</v>
      </c>
      <c r="I10" s="106">
        <f t="shared" si="1"/>
        <v>2.3228803716608595</v>
      </c>
      <c r="J10" s="86">
        <v>395</v>
      </c>
      <c r="K10" s="87">
        <v>0</v>
      </c>
      <c r="L10" s="87">
        <v>0</v>
      </c>
      <c r="M10" s="87">
        <v>3282</v>
      </c>
      <c r="N10" s="90">
        <v>4135</v>
      </c>
      <c r="O10" s="90">
        <v>7088</v>
      </c>
      <c r="P10" s="86">
        <f t="shared" ref="P10:P17" si="9">+J10*E10</f>
        <v>17498.5</v>
      </c>
      <c r="Q10" s="87">
        <f t="shared" ref="Q10:Q17" si="10">+K10*E10</f>
        <v>0</v>
      </c>
      <c r="R10" s="87">
        <f t="shared" ref="R10:R17" si="11">+L10*E10</f>
        <v>0</v>
      </c>
      <c r="S10" s="88">
        <f t="shared" ref="S10:S17" si="12">+M10*E10</f>
        <v>145392.59999999998</v>
      </c>
      <c r="T10" s="89">
        <f t="shared" ref="T10:T17" si="13">+N10*E10</f>
        <v>183180.5</v>
      </c>
      <c r="U10" s="89">
        <f t="shared" si="2"/>
        <v>313998.39999999997</v>
      </c>
      <c r="V10" s="86">
        <v>2680</v>
      </c>
      <c r="W10" s="87">
        <v>514</v>
      </c>
      <c r="X10" s="87">
        <v>683</v>
      </c>
      <c r="Y10" s="87">
        <v>838</v>
      </c>
      <c r="Z10" s="90">
        <v>1707</v>
      </c>
      <c r="AA10" s="90">
        <v>1949</v>
      </c>
      <c r="AB10" s="91">
        <f t="shared" si="3"/>
        <v>1.5563298490127759</v>
      </c>
      <c r="AC10" s="91">
        <f t="shared" si="4"/>
        <v>0.29849012775842043</v>
      </c>
      <c r="AD10" s="91">
        <f t="shared" si="5"/>
        <v>0.39663182346109177</v>
      </c>
      <c r="AE10" s="91">
        <f t="shared" si="6"/>
        <v>0.48664343786295006</v>
      </c>
      <c r="AF10" s="91">
        <f t="shared" si="7"/>
        <v>0.99128919860627174</v>
      </c>
      <c r="AG10" s="91">
        <f t="shared" si="8"/>
        <v>1.1318234610917537</v>
      </c>
      <c r="AH10" s="92">
        <v>66107.270000000033</v>
      </c>
      <c r="AI10" s="93">
        <v>21703.679999999968</v>
      </c>
      <c r="AJ10" s="93">
        <v>21703.679999999957</v>
      </c>
      <c r="AK10" s="93">
        <v>41518.489999999954</v>
      </c>
      <c r="AL10" s="94">
        <v>44172.429999999898</v>
      </c>
      <c r="AM10" s="94">
        <v>89083.949999999895</v>
      </c>
      <c r="AN10" s="94" t="s">
        <v>779</v>
      </c>
      <c r="AO10" s="111">
        <v>845.3</v>
      </c>
      <c r="AP10" s="112">
        <v>0</v>
      </c>
      <c r="AQ10" s="112">
        <v>0</v>
      </c>
      <c r="AR10" s="112">
        <v>6857.52</v>
      </c>
      <c r="AS10" s="113">
        <v>23528.03</v>
      </c>
      <c r="AT10" s="113">
        <v>30851.040000000001</v>
      </c>
      <c r="AU10" s="111">
        <v>0</v>
      </c>
      <c r="AV10" s="112">
        <v>0</v>
      </c>
      <c r="AW10" s="112">
        <v>0</v>
      </c>
      <c r="AX10" s="112">
        <v>0</v>
      </c>
      <c r="AY10" s="113">
        <v>0</v>
      </c>
      <c r="AZ10" s="113">
        <v>0</v>
      </c>
    </row>
    <row r="11" spans="1:54" x14ac:dyDescent="0.25">
      <c r="A11" s="101" t="s">
        <v>114</v>
      </c>
      <c r="B11" s="102" t="s">
        <v>115</v>
      </c>
      <c r="C11" s="102"/>
      <c r="D11" s="102" t="s">
        <v>1049</v>
      </c>
      <c r="E11" s="103">
        <v>42.77</v>
      </c>
      <c r="F11" s="104">
        <v>300</v>
      </c>
      <c r="G11" s="105">
        <f t="shared" si="0"/>
        <v>150</v>
      </c>
      <c r="H11" s="105">
        <v>391</v>
      </c>
      <c r="I11" s="106">
        <f t="shared" si="1"/>
        <v>0.38363171355498721</v>
      </c>
      <c r="J11" s="86">
        <v>0</v>
      </c>
      <c r="K11" s="87">
        <v>0</v>
      </c>
      <c r="L11" s="87">
        <v>115</v>
      </c>
      <c r="M11" s="87">
        <v>304</v>
      </c>
      <c r="N11" s="90">
        <v>307</v>
      </c>
      <c r="O11" s="90">
        <v>285</v>
      </c>
      <c r="P11" s="86">
        <f t="shared" si="9"/>
        <v>0</v>
      </c>
      <c r="Q11" s="87">
        <f t="shared" si="10"/>
        <v>0</v>
      </c>
      <c r="R11" s="87">
        <f t="shared" si="11"/>
        <v>4918.55</v>
      </c>
      <c r="S11" s="88">
        <f t="shared" si="12"/>
        <v>13002.080000000002</v>
      </c>
      <c r="T11" s="89">
        <f t="shared" si="13"/>
        <v>13130.390000000001</v>
      </c>
      <c r="U11" s="89">
        <f t="shared" si="2"/>
        <v>12189.45</v>
      </c>
      <c r="V11" s="86">
        <v>0</v>
      </c>
      <c r="W11" s="87">
        <v>0</v>
      </c>
      <c r="X11" s="87">
        <v>0</v>
      </c>
      <c r="Y11" s="87">
        <v>0</v>
      </c>
      <c r="Z11" s="90">
        <v>110</v>
      </c>
      <c r="AA11" s="90">
        <v>179</v>
      </c>
      <c r="AB11" s="91">
        <f t="shared" si="3"/>
        <v>0</v>
      </c>
      <c r="AC11" s="91">
        <f t="shared" si="4"/>
        <v>0</v>
      </c>
      <c r="AD11" s="91">
        <f t="shared" si="5"/>
        <v>0</v>
      </c>
      <c r="AE11" s="91">
        <f t="shared" si="6"/>
        <v>0</v>
      </c>
      <c r="AF11" s="91">
        <f t="shared" si="7"/>
        <v>0.2813299232736573</v>
      </c>
      <c r="AG11" s="91">
        <f t="shared" si="8"/>
        <v>0.4578005115089514</v>
      </c>
      <c r="AH11" s="92">
        <v>0</v>
      </c>
      <c r="AI11" s="93">
        <v>0</v>
      </c>
      <c r="AJ11" s="93">
        <v>0</v>
      </c>
      <c r="AK11" s="93">
        <v>0</v>
      </c>
      <c r="AL11" s="94">
        <v>4704.7000000000007</v>
      </c>
      <c r="AM11" s="94">
        <v>7195.62</v>
      </c>
      <c r="AN11" s="94" t="s">
        <v>779</v>
      </c>
      <c r="AO11" s="111">
        <v>0</v>
      </c>
      <c r="AP11" s="112">
        <v>0</v>
      </c>
      <c r="AQ11" s="112">
        <v>7155.3</v>
      </c>
      <c r="AR11" s="112">
        <v>19456.560000000001</v>
      </c>
      <c r="AS11" s="113">
        <v>19519.199999999997</v>
      </c>
      <c r="AT11" s="113">
        <v>18126.599999999999</v>
      </c>
      <c r="AU11" s="111">
        <v>0</v>
      </c>
      <c r="AV11" s="112">
        <v>0</v>
      </c>
      <c r="AW11" s="112">
        <v>0</v>
      </c>
      <c r="AX11" s="112">
        <v>0</v>
      </c>
      <c r="AY11" s="113">
        <v>12446.13</v>
      </c>
      <c r="AZ11" s="113">
        <v>18508.45</v>
      </c>
    </row>
    <row r="12" spans="1:54" x14ac:dyDescent="0.25">
      <c r="A12" s="101" t="s">
        <v>54</v>
      </c>
      <c r="B12" s="102" t="s">
        <v>55</v>
      </c>
      <c r="C12" s="102"/>
      <c r="D12" s="102" t="s">
        <v>1048</v>
      </c>
      <c r="E12" s="103">
        <v>41.11</v>
      </c>
      <c r="F12" s="104">
        <v>50</v>
      </c>
      <c r="G12" s="105">
        <f t="shared" si="0"/>
        <v>25</v>
      </c>
      <c r="H12" s="105">
        <v>100</v>
      </c>
      <c r="I12" s="106">
        <f t="shared" si="1"/>
        <v>0.25</v>
      </c>
      <c r="J12" s="86">
        <v>0</v>
      </c>
      <c r="K12" s="87">
        <v>0</v>
      </c>
      <c r="L12" s="87">
        <v>0</v>
      </c>
      <c r="M12" s="87">
        <v>74</v>
      </c>
      <c r="N12" s="90"/>
      <c r="O12" s="90">
        <v>0</v>
      </c>
      <c r="P12" s="86">
        <f t="shared" si="9"/>
        <v>0</v>
      </c>
      <c r="Q12" s="87">
        <f t="shared" si="10"/>
        <v>0</v>
      </c>
      <c r="R12" s="87">
        <f t="shared" si="11"/>
        <v>0</v>
      </c>
      <c r="S12" s="88">
        <f t="shared" si="12"/>
        <v>3042.14</v>
      </c>
      <c r="T12" s="89">
        <f t="shared" si="13"/>
        <v>0</v>
      </c>
      <c r="U12" s="89">
        <f t="shared" si="2"/>
        <v>0</v>
      </c>
      <c r="V12" s="86">
        <v>0</v>
      </c>
      <c r="W12" s="87">
        <v>0</v>
      </c>
      <c r="X12" s="87">
        <v>21</v>
      </c>
      <c r="Y12" s="87">
        <v>3</v>
      </c>
      <c r="Z12" s="90">
        <v>20</v>
      </c>
      <c r="AA12" s="90">
        <v>24</v>
      </c>
      <c r="AB12" s="91">
        <f t="shared" si="3"/>
        <v>0</v>
      </c>
      <c r="AC12" s="91">
        <f t="shared" si="4"/>
        <v>0</v>
      </c>
      <c r="AD12" s="91">
        <f t="shared" si="5"/>
        <v>0.21</v>
      </c>
      <c r="AE12" s="91">
        <f t="shared" si="6"/>
        <v>0.03</v>
      </c>
      <c r="AF12" s="91">
        <f t="shared" si="7"/>
        <v>0.2</v>
      </c>
      <c r="AG12" s="91">
        <f t="shared" si="8"/>
        <v>0.24</v>
      </c>
      <c r="AH12" s="92">
        <v>0</v>
      </c>
      <c r="AI12" s="93">
        <v>0</v>
      </c>
      <c r="AJ12" s="93">
        <v>863.31</v>
      </c>
      <c r="AK12" s="93">
        <v>305.77</v>
      </c>
      <c r="AL12" s="94">
        <v>48.58</v>
      </c>
      <c r="AM12" s="94">
        <v>771.16</v>
      </c>
      <c r="AN12" s="94" t="s">
        <v>779</v>
      </c>
      <c r="AO12" s="111">
        <v>0</v>
      </c>
      <c r="AP12" s="112">
        <v>0</v>
      </c>
      <c r="AQ12" s="112">
        <v>0</v>
      </c>
      <c r="AR12" s="112">
        <v>0</v>
      </c>
      <c r="AS12" s="113">
        <v>0</v>
      </c>
      <c r="AT12" s="113">
        <v>0</v>
      </c>
      <c r="AU12" s="111">
        <v>0</v>
      </c>
      <c r="AV12" s="112">
        <v>0</v>
      </c>
      <c r="AW12" s="112">
        <v>1360.3899999999981</v>
      </c>
      <c r="AX12" s="112">
        <v>199.23999999999899</v>
      </c>
      <c r="AY12" s="113">
        <v>1334.99</v>
      </c>
      <c r="AZ12" s="113">
        <v>1705.68</v>
      </c>
    </row>
    <row r="13" spans="1:54" x14ac:dyDescent="0.25">
      <c r="A13" s="101" t="s">
        <v>163</v>
      </c>
      <c r="B13" s="102" t="s">
        <v>164</v>
      </c>
      <c r="C13" s="102"/>
      <c r="D13" s="102" t="s">
        <v>1049</v>
      </c>
      <c r="E13" s="103">
        <v>40.950000000000003</v>
      </c>
      <c r="F13" s="104">
        <v>1000</v>
      </c>
      <c r="G13" s="105">
        <f t="shared" si="0"/>
        <v>500</v>
      </c>
      <c r="H13" s="105">
        <v>2146</v>
      </c>
      <c r="I13" s="106">
        <f t="shared" si="1"/>
        <v>0.23299161230195714</v>
      </c>
      <c r="J13" s="86">
        <v>0</v>
      </c>
      <c r="K13" s="87">
        <v>0</v>
      </c>
      <c r="L13" s="87">
        <v>0</v>
      </c>
      <c r="M13" s="87">
        <v>0</v>
      </c>
      <c r="N13" s="90">
        <v>146</v>
      </c>
      <c r="O13" s="90">
        <v>46</v>
      </c>
      <c r="P13" s="86">
        <f t="shared" si="9"/>
        <v>0</v>
      </c>
      <c r="Q13" s="87">
        <f t="shared" si="10"/>
        <v>0</v>
      </c>
      <c r="R13" s="87">
        <f t="shared" si="11"/>
        <v>0</v>
      </c>
      <c r="S13" s="88">
        <f t="shared" si="12"/>
        <v>0</v>
      </c>
      <c r="T13" s="89">
        <f t="shared" si="13"/>
        <v>5978.7000000000007</v>
      </c>
      <c r="U13" s="89">
        <f t="shared" si="2"/>
        <v>1883.7</v>
      </c>
      <c r="V13" s="86">
        <v>308</v>
      </c>
      <c r="W13" s="87">
        <v>435</v>
      </c>
      <c r="X13" s="87">
        <v>221</v>
      </c>
      <c r="Y13" s="87">
        <v>105</v>
      </c>
      <c r="Z13" s="90">
        <v>15</v>
      </c>
      <c r="AA13" s="90">
        <v>145</v>
      </c>
      <c r="AB13" s="91">
        <f t="shared" si="3"/>
        <v>0.1435228331780056</v>
      </c>
      <c r="AC13" s="91">
        <f t="shared" si="4"/>
        <v>0.20270270270270271</v>
      </c>
      <c r="AD13" s="91">
        <f t="shared" si="5"/>
        <v>0.10298229263746506</v>
      </c>
      <c r="AE13" s="91">
        <f t="shared" si="6"/>
        <v>4.8928238583410999E-2</v>
      </c>
      <c r="AF13" s="91">
        <f t="shared" si="7"/>
        <v>6.9897483690587138E-3</v>
      </c>
      <c r="AG13" s="91">
        <f t="shared" si="8"/>
        <v>6.7567567567567571E-2</v>
      </c>
      <c r="AH13" s="92">
        <v>3718.66</v>
      </c>
      <c r="AI13" s="93">
        <v>6245.2299999999923</v>
      </c>
      <c r="AJ13" s="93">
        <v>6245.2299999999932</v>
      </c>
      <c r="AK13" s="93">
        <v>4477.1299999999974</v>
      </c>
      <c r="AL13" s="94">
        <v>1741.51999999999</v>
      </c>
      <c r="AM13" s="94">
        <v>5842.09</v>
      </c>
      <c r="AN13" s="94" t="s">
        <v>779</v>
      </c>
      <c r="AO13" s="111">
        <v>0</v>
      </c>
      <c r="AP13" s="112">
        <v>0</v>
      </c>
      <c r="AQ13" s="112">
        <v>0</v>
      </c>
      <c r="AR13" s="112">
        <v>0</v>
      </c>
      <c r="AS13" s="113">
        <v>12346.2</v>
      </c>
      <c r="AT13" s="113">
        <v>3908.16</v>
      </c>
      <c r="AU13" s="111">
        <v>36000.590000000011</v>
      </c>
      <c r="AV13" s="112">
        <v>50751.349999999897</v>
      </c>
      <c r="AW13" s="112">
        <v>25611.189999999981</v>
      </c>
      <c r="AX13" s="112">
        <v>12483.52</v>
      </c>
      <c r="AY13" s="113">
        <v>1775</v>
      </c>
      <c r="AZ13" s="113">
        <v>18020.639999999901</v>
      </c>
    </row>
    <row r="14" spans="1:54" x14ac:dyDescent="0.25">
      <c r="A14" s="101" t="s">
        <v>43</v>
      </c>
      <c r="B14" s="102" t="s">
        <v>44</v>
      </c>
      <c r="C14" s="102"/>
      <c r="D14" s="102" t="s">
        <v>1048</v>
      </c>
      <c r="E14" s="103">
        <v>40.290000000000006</v>
      </c>
      <c r="F14" s="104">
        <v>400</v>
      </c>
      <c r="G14" s="105">
        <f t="shared" si="0"/>
        <v>200</v>
      </c>
      <c r="H14" s="105">
        <v>92</v>
      </c>
      <c r="I14" s="106">
        <f t="shared" si="1"/>
        <v>2.1739130434782608</v>
      </c>
      <c r="J14" s="86">
        <v>1024</v>
      </c>
      <c r="K14" s="87">
        <v>1112</v>
      </c>
      <c r="L14" s="87">
        <v>0</v>
      </c>
      <c r="M14" s="87">
        <v>0</v>
      </c>
      <c r="N14" s="90">
        <v>645</v>
      </c>
      <c r="O14" s="90">
        <v>608</v>
      </c>
      <c r="P14" s="86">
        <f t="shared" si="9"/>
        <v>41256.960000000006</v>
      </c>
      <c r="Q14" s="87">
        <f t="shared" si="10"/>
        <v>44802.48000000001</v>
      </c>
      <c r="R14" s="87">
        <f t="shared" si="11"/>
        <v>0</v>
      </c>
      <c r="S14" s="88">
        <f t="shared" si="12"/>
        <v>0</v>
      </c>
      <c r="T14" s="89">
        <f t="shared" si="13"/>
        <v>25987.050000000003</v>
      </c>
      <c r="U14" s="89">
        <f t="shared" si="2"/>
        <v>24496.320000000003</v>
      </c>
      <c r="V14" s="86">
        <v>63</v>
      </c>
      <c r="W14" s="87">
        <v>60</v>
      </c>
      <c r="X14" s="87">
        <v>65</v>
      </c>
      <c r="Y14" s="87">
        <v>122</v>
      </c>
      <c r="Z14" s="90">
        <v>66</v>
      </c>
      <c r="AA14" s="90">
        <v>75</v>
      </c>
      <c r="AB14" s="91">
        <f t="shared" si="3"/>
        <v>0.68478260869565222</v>
      </c>
      <c r="AC14" s="91">
        <f t="shared" si="4"/>
        <v>0.65217391304347827</v>
      </c>
      <c r="AD14" s="91">
        <f t="shared" si="5"/>
        <v>0.70652173913043481</v>
      </c>
      <c r="AE14" s="91">
        <f t="shared" si="6"/>
        <v>1.326086956521739</v>
      </c>
      <c r="AF14" s="91">
        <f t="shared" si="7"/>
        <v>0.71739130434782605</v>
      </c>
      <c r="AG14" s="91">
        <f t="shared" si="8"/>
        <v>0.81521739130434778</v>
      </c>
      <c r="AH14" s="92">
        <v>1464.07</v>
      </c>
      <c r="AI14" s="93">
        <v>1787.9499999999996</v>
      </c>
      <c r="AJ14" s="93">
        <v>1787.9499999999991</v>
      </c>
      <c r="AK14" s="93">
        <v>1800.0799999999995</v>
      </c>
      <c r="AL14" s="94">
        <v>3857.2599999999902</v>
      </c>
      <c r="AM14" s="94">
        <v>2025.75999999999</v>
      </c>
      <c r="AN14" s="94" t="s">
        <v>779</v>
      </c>
      <c r="AO14" s="111">
        <v>30064.629999999997</v>
      </c>
      <c r="AP14" s="112">
        <v>33037.459999999992</v>
      </c>
      <c r="AQ14" s="112">
        <v>0</v>
      </c>
      <c r="AR14" s="112">
        <v>0</v>
      </c>
      <c r="AS14" s="113">
        <v>18190.47</v>
      </c>
      <c r="AT14" s="113">
        <v>17696.099999999999</v>
      </c>
      <c r="AU14" s="111">
        <v>3313.25</v>
      </c>
      <c r="AV14" s="112">
        <v>3551.6999999999994</v>
      </c>
      <c r="AW14" s="112">
        <v>3712.3799999999974</v>
      </c>
      <c r="AX14" s="112">
        <v>7450.1199999999899</v>
      </c>
      <c r="AY14" s="113">
        <v>4080.6799999999898</v>
      </c>
      <c r="AZ14" s="113">
        <v>4206.95</v>
      </c>
    </row>
    <row r="15" spans="1:54" x14ac:dyDescent="0.25">
      <c r="A15" s="101" t="s">
        <v>277</v>
      </c>
      <c r="B15" s="102" t="s">
        <v>278</v>
      </c>
      <c r="C15" s="102"/>
      <c r="D15" s="102" t="s">
        <v>1049</v>
      </c>
      <c r="E15" s="103">
        <v>37.900000000000006</v>
      </c>
      <c r="F15" s="104">
        <v>2000</v>
      </c>
      <c r="G15" s="105">
        <f t="shared" si="0"/>
        <v>1000</v>
      </c>
      <c r="H15" s="105">
        <v>3833</v>
      </c>
      <c r="I15" s="106">
        <f t="shared" si="1"/>
        <v>0.26089225150013046</v>
      </c>
      <c r="J15" s="86">
        <v>0</v>
      </c>
      <c r="K15" s="87">
        <v>0</v>
      </c>
      <c r="L15" s="87">
        <v>32</v>
      </c>
      <c r="M15" s="87">
        <v>0</v>
      </c>
      <c r="N15" s="90">
        <v>116</v>
      </c>
      <c r="O15" s="90">
        <v>0</v>
      </c>
      <c r="P15" s="86">
        <f t="shared" si="9"/>
        <v>0</v>
      </c>
      <c r="Q15" s="87">
        <f t="shared" si="10"/>
        <v>0</v>
      </c>
      <c r="R15" s="87">
        <f t="shared" si="11"/>
        <v>1212.8000000000002</v>
      </c>
      <c r="S15" s="88">
        <f t="shared" si="12"/>
        <v>0</v>
      </c>
      <c r="T15" s="89">
        <f t="shared" si="13"/>
        <v>4396.4000000000005</v>
      </c>
      <c r="U15" s="89">
        <f t="shared" si="2"/>
        <v>0</v>
      </c>
      <c r="V15" s="86">
        <v>599</v>
      </c>
      <c r="W15" s="87">
        <v>406</v>
      </c>
      <c r="X15" s="87">
        <v>40</v>
      </c>
      <c r="Y15" s="87">
        <v>149</v>
      </c>
      <c r="Z15" s="90">
        <v>51</v>
      </c>
      <c r="AA15" s="90">
        <v>50</v>
      </c>
      <c r="AB15" s="91">
        <f t="shared" si="3"/>
        <v>0.15627445864857814</v>
      </c>
      <c r="AC15" s="91">
        <f t="shared" si="4"/>
        <v>0.10592225410905295</v>
      </c>
      <c r="AD15" s="91">
        <f t="shared" si="5"/>
        <v>1.0435690060005217E-2</v>
      </c>
      <c r="AE15" s="91">
        <f t="shared" si="6"/>
        <v>3.8872945473519438E-2</v>
      </c>
      <c r="AF15" s="91">
        <f t="shared" si="7"/>
        <v>1.3305504826506652E-2</v>
      </c>
      <c r="AG15" s="91">
        <f t="shared" si="8"/>
        <v>1.3044612575006522E-2</v>
      </c>
      <c r="AH15" s="92">
        <v>4975.8600000000042</v>
      </c>
      <c r="AI15" s="93">
        <v>4622.4199999999983</v>
      </c>
      <c r="AJ15" s="93">
        <v>4622.4199999999983</v>
      </c>
      <c r="AK15" s="93">
        <v>403.06</v>
      </c>
      <c r="AL15" s="94">
        <v>3183.84</v>
      </c>
      <c r="AM15" s="94">
        <v>895</v>
      </c>
      <c r="AN15" s="94" t="s">
        <v>779</v>
      </c>
      <c r="AO15" s="111">
        <v>0</v>
      </c>
      <c r="AP15" s="112">
        <v>0</v>
      </c>
      <c r="AQ15" s="112">
        <v>2480.96</v>
      </c>
      <c r="AR15" s="112">
        <v>0</v>
      </c>
      <c r="AS15" s="113">
        <v>10396.99</v>
      </c>
      <c r="AT15" s="113">
        <v>0</v>
      </c>
      <c r="AU15" s="111">
        <v>93284.909999999974</v>
      </c>
      <c r="AV15" s="112">
        <v>63465.189999999981</v>
      </c>
      <c r="AW15" s="112">
        <v>6203.06</v>
      </c>
      <c r="AX15" s="112">
        <v>24788.839999999898</v>
      </c>
      <c r="AY15" s="113">
        <v>8350.2000000000007</v>
      </c>
      <c r="AZ15" s="113">
        <v>8045</v>
      </c>
    </row>
    <row r="16" spans="1:54" x14ac:dyDescent="0.25">
      <c r="A16" s="101" t="s">
        <v>10</v>
      </c>
      <c r="B16" s="102" t="s">
        <v>11</v>
      </c>
      <c r="C16" s="102"/>
      <c r="D16" s="102" t="s">
        <v>1048</v>
      </c>
      <c r="E16" s="103">
        <v>34.480000000000004</v>
      </c>
      <c r="F16" s="104">
        <v>400</v>
      </c>
      <c r="G16" s="105">
        <f t="shared" si="0"/>
        <v>200</v>
      </c>
      <c r="H16" s="105">
        <v>678</v>
      </c>
      <c r="I16" s="106">
        <f t="shared" si="1"/>
        <v>0.29498525073746312</v>
      </c>
      <c r="J16" s="86">
        <v>31</v>
      </c>
      <c r="K16" s="87">
        <v>0</v>
      </c>
      <c r="L16" s="87">
        <v>0</v>
      </c>
      <c r="M16" s="87">
        <v>0</v>
      </c>
      <c r="N16" s="90"/>
      <c r="O16" s="90">
        <v>0</v>
      </c>
      <c r="P16" s="86">
        <f t="shared" si="9"/>
        <v>1068.8800000000001</v>
      </c>
      <c r="Q16" s="87">
        <f t="shared" si="10"/>
        <v>0</v>
      </c>
      <c r="R16" s="87">
        <f t="shared" si="11"/>
        <v>0</v>
      </c>
      <c r="S16" s="88">
        <f t="shared" si="12"/>
        <v>0</v>
      </c>
      <c r="T16" s="89">
        <f t="shared" si="13"/>
        <v>0</v>
      </c>
      <c r="U16" s="89">
        <f t="shared" si="2"/>
        <v>0</v>
      </c>
      <c r="V16" s="86">
        <v>89</v>
      </c>
      <c r="W16" s="87">
        <v>133</v>
      </c>
      <c r="X16" s="87">
        <v>105</v>
      </c>
      <c r="Y16" s="87">
        <v>69</v>
      </c>
      <c r="Z16" s="90">
        <v>16</v>
      </c>
      <c r="AA16" s="90">
        <v>15</v>
      </c>
      <c r="AB16" s="91">
        <f t="shared" si="3"/>
        <v>0.13126843657817108</v>
      </c>
      <c r="AC16" s="91">
        <f t="shared" si="4"/>
        <v>0.19616519174041297</v>
      </c>
      <c r="AD16" s="91">
        <f t="shared" si="5"/>
        <v>0.15486725663716813</v>
      </c>
      <c r="AE16" s="91">
        <f t="shared" si="6"/>
        <v>0.10176991150442478</v>
      </c>
      <c r="AF16" s="91">
        <f t="shared" si="7"/>
        <v>2.359882005899705E-2</v>
      </c>
      <c r="AG16" s="91">
        <f t="shared" si="8"/>
        <v>2.2123893805309734E-2</v>
      </c>
      <c r="AH16" s="92">
        <v>2252</v>
      </c>
      <c r="AI16" s="93">
        <v>3424.5599999999954</v>
      </c>
      <c r="AJ16" s="93">
        <v>3424.5599999999949</v>
      </c>
      <c r="AK16" s="93">
        <v>2449.5099999999998</v>
      </c>
      <c r="AL16" s="94">
        <v>1602.66</v>
      </c>
      <c r="AM16" s="94">
        <v>477.99999999999898</v>
      </c>
      <c r="AN16" s="94" t="s">
        <v>779</v>
      </c>
      <c r="AO16" s="111">
        <v>0</v>
      </c>
      <c r="AP16" s="112">
        <v>0</v>
      </c>
      <c r="AQ16" s="112">
        <v>0</v>
      </c>
      <c r="AR16" s="112">
        <v>0</v>
      </c>
      <c r="AS16" s="113">
        <v>0</v>
      </c>
      <c r="AT16" s="113">
        <v>0</v>
      </c>
      <c r="AU16" s="111">
        <v>3825.5200000000009</v>
      </c>
      <c r="AV16" s="112">
        <v>5776.7499999999982</v>
      </c>
      <c r="AW16" s="112">
        <v>4320.9199999999992</v>
      </c>
      <c r="AX16" s="112">
        <v>2898.47999999999</v>
      </c>
      <c r="AY16" s="113">
        <v>607.46</v>
      </c>
      <c r="AZ16" s="113">
        <v>635.79999999999995</v>
      </c>
    </row>
    <row r="17" spans="1:52" x14ac:dyDescent="0.25">
      <c r="A17" s="101" t="s">
        <v>169</v>
      </c>
      <c r="B17" s="102" t="s">
        <v>170</v>
      </c>
      <c r="C17" s="102"/>
      <c r="D17" s="102" t="s">
        <v>1048</v>
      </c>
      <c r="E17" s="103">
        <v>34.019999999999996</v>
      </c>
      <c r="F17" s="104">
        <v>700</v>
      </c>
      <c r="G17" s="105">
        <f t="shared" si="0"/>
        <v>350</v>
      </c>
      <c r="H17" s="105">
        <v>2856</v>
      </c>
      <c r="I17" s="106">
        <f t="shared" si="1"/>
        <v>0.12254901960784313</v>
      </c>
      <c r="J17" s="86">
        <v>118.18181818181817</v>
      </c>
      <c r="K17" s="87">
        <v>164.39393939393938</v>
      </c>
      <c r="L17" s="87">
        <v>704.75757575757564</v>
      </c>
      <c r="M17" s="87">
        <v>987.87878787878788</v>
      </c>
      <c r="N17" s="90">
        <v>435.24242424242425</v>
      </c>
      <c r="O17" s="90">
        <v>504</v>
      </c>
      <c r="P17" s="86">
        <f t="shared" si="9"/>
        <v>4020.5454545454536</v>
      </c>
      <c r="Q17" s="87">
        <f t="shared" si="10"/>
        <v>5592.6818181818171</v>
      </c>
      <c r="R17" s="87">
        <f t="shared" si="11"/>
        <v>23975.852727272719</v>
      </c>
      <c r="S17" s="88">
        <f t="shared" si="12"/>
        <v>33607.63636363636</v>
      </c>
      <c r="T17" s="89">
        <f t="shared" si="13"/>
        <v>14806.947272727271</v>
      </c>
      <c r="U17" s="89">
        <f t="shared" si="2"/>
        <v>17146.079999999998</v>
      </c>
      <c r="V17" s="86">
        <v>290</v>
      </c>
      <c r="W17" s="87">
        <v>116</v>
      </c>
      <c r="X17" s="87">
        <v>164</v>
      </c>
      <c r="Y17" s="87">
        <v>478</v>
      </c>
      <c r="Z17" s="90">
        <v>429</v>
      </c>
      <c r="AA17" s="90">
        <v>1024</v>
      </c>
      <c r="AB17" s="91">
        <f t="shared" si="3"/>
        <v>0.1015406162464986</v>
      </c>
      <c r="AC17" s="91">
        <f t="shared" si="4"/>
        <v>4.0616246498599441E-2</v>
      </c>
      <c r="AD17" s="91">
        <f t="shared" si="5"/>
        <v>5.7422969187675067E-2</v>
      </c>
      <c r="AE17" s="91">
        <f t="shared" si="6"/>
        <v>0.16736694677871147</v>
      </c>
      <c r="AF17" s="91">
        <f t="shared" si="7"/>
        <v>0.15021008403361344</v>
      </c>
      <c r="AG17" s="91">
        <f t="shared" si="8"/>
        <v>0.35854341736694678</v>
      </c>
      <c r="AH17" s="92">
        <v>4936.5999999999967</v>
      </c>
      <c r="AI17" s="93">
        <v>1652.6999999999889</v>
      </c>
      <c r="AJ17" s="93">
        <v>1652.6999999999891</v>
      </c>
      <c r="AK17" s="93">
        <v>8153.84</v>
      </c>
      <c r="AL17" s="94">
        <v>17989.07</v>
      </c>
      <c r="AM17" s="94">
        <v>34686.769999999902</v>
      </c>
      <c r="AN17" s="94" t="s">
        <v>779</v>
      </c>
      <c r="AO17" s="111">
        <v>8697.39</v>
      </c>
      <c r="AP17" s="112">
        <v>12105.81</v>
      </c>
      <c r="AQ17" s="112">
        <v>51826.549999999996</v>
      </c>
      <c r="AR17" s="112">
        <v>69767.100000000006</v>
      </c>
      <c r="AS17" s="113">
        <v>31619.040000000001</v>
      </c>
      <c r="AT17" s="113">
        <v>34528.33</v>
      </c>
      <c r="AU17" s="111">
        <v>26506.799999999999</v>
      </c>
      <c r="AV17" s="112">
        <v>10271.499999999991</v>
      </c>
      <c r="AW17" s="112">
        <v>20261.28</v>
      </c>
      <c r="AX17" s="112">
        <v>53535.71</v>
      </c>
      <c r="AY17" s="113">
        <v>51400.74</v>
      </c>
      <c r="AZ17" s="113">
        <v>107869.44</v>
      </c>
    </row>
    <row r="18" spans="1:52" x14ac:dyDescent="0.25">
      <c r="A18" s="101" t="s">
        <v>882</v>
      </c>
      <c r="B18" s="102" t="s">
        <v>830</v>
      </c>
      <c r="C18" s="102"/>
      <c r="D18" s="102" t="s">
        <v>1049</v>
      </c>
      <c r="E18" s="103">
        <v>32.993197278911566</v>
      </c>
      <c r="F18" s="104">
        <v>400</v>
      </c>
      <c r="G18" s="105">
        <f t="shared" si="0"/>
        <v>200</v>
      </c>
      <c r="H18" s="105">
        <v>1004</v>
      </c>
      <c r="I18" s="106">
        <f t="shared" si="1"/>
        <v>0.19920318725099601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90">
        <v>430</v>
      </c>
      <c r="P18" s="86"/>
      <c r="Q18" s="87"/>
      <c r="R18" s="87"/>
      <c r="S18" s="88"/>
      <c r="T18" s="89"/>
      <c r="U18" s="89">
        <f t="shared" si="2"/>
        <v>14187.074829931973</v>
      </c>
      <c r="V18" s="86"/>
      <c r="W18" s="87"/>
      <c r="X18" s="87"/>
      <c r="Y18" s="87"/>
      <c r="Z18" s="90"/>
      <c r="AA18" s="90"/>
      <c r="AB18" s="91">
        <f t="shared" si="3"/>
        <v>0</v>
      </c>
      <c r="AC18" s="91">
        <f t="shared" si="4"/>
        <v>0</v>
      </c>
      <c r="AD18" s="91">
        <f t="shared" si="5"/>
        <v>0</v>
      </c>
      <c r="AE18" s="91">
        <f t="shared" si="6"/>
        <v>0</v>
      </c>
      <c r="AF18" s="91">
        <f t="shared" si="7"/>
        <v>0</v>
      </c>
      <c r="AG18" s="91">
        <f t="shared" si="8"/>
        <v>0</v>
      </c>
      <c r="AH18" s="92"/>
      <c r="AI18" s="93"/>
      <c r="AJ18" s="93"/>
      <c r="AK18" s="93"/>
      <c r="AL18" s="94"/>
      <c r="AM18" s="94"/>
      <c r="AN18" s="94" t="s">
        <v>779</v>
      </c>
      <c r="AO18" s="111">
        <v>0</v>
      </c>
      <c r="AP18" s="112">
        <v>0</v>
      </c>
      <c r="AQ18" s="112">
        <v>0</v>
      </c>
      <c r="AR18" s="112">
        <v>1637</v>
      </c>
      <c r="AS18" s="113">
        <v>1677.5</v>
      </c>
      <c r="AT18" s="113">
        <v>7612.3</v>
      </c>
      <c r="AU18" s="111">
        <v>0</v>
      </c>
      <c r="AV18" s="112">
        <v>0</v>
      </c>
      <c r="AW18" s="112">
        <v>0</v>
      </c>
      <c r="AX18" s="112">
        <v>0</v>
      </c>
      <c r="AY18" s="113">
        <v>0</v>
      </c>
      <c r="AZ18" s="113">
        <v>0</v>
      </c>
    </row>
    <row r="19" spans="1:52" x14ac:dyDescent="0.25">
      <c r="A19" s="101" t="s">
        <v>193</v>
      </c>
      <c r="B19" s="102" t="s">
        <v>194</v>
      </c>
      <c r="C19" s="102" t="s">
        <v>1063</v>
      </c>
      <c r="D19" s="102" t="s">
        <v>1049</v>
      </c>
      <c r="E19" s="103">
        <v>32.950000000000003</v>
      </c>
      <c r="F19" s="104">
        <v>500</v>
      </c>
      <c r="G19" s="105">
        <f t="shared" si="0"/>
        <v>250</v>
      </c>
      <c r="H19" s="105">
        <v>1500</v>
      </c>
      <c r="I19" s="106">
        <f t="shared" si="1"/>
        <v>0.16666666666666666</v>
      </c>
      <c r="J19" s="86">
        <v>0</v>
      </c>
      <c r="K19" s="87">
        <v>0</v>
      </c>
      <c r="L19" s="87">
        <v>98</v>
      </c>
      <c r="M19" s="87">
        <v>86</v>
      </c>
      <c r="N19" s="90">
        <v>557</v>
      </c>
      <c r="O19" s="90">
        <v>616</v>
      </c>
      <c r="P19" s="86">
        <f>+J19*E19</f>
        <v>0</v>
      </c>
      <c r="Q19" s="87">
        <f>+K19*E19</f>
        <v>0</v>
      </c>
      <c r="R19" s="87">
        <f>+L19*E19</f>
        <v>3229.1000000000004</v>
      </c>
      <c r="S19" s="88">
        <f>+M19*E19</f>
        <v>2833.7000000000003</v>
      </c>
      <c r="T19" s="89">
        <f>+N19*E19</f>
        <v>18353.150000000001</v>
      </c>
      <c r="U19" s="89">
        <f t="shared" si="2"/>
        <v>20297.2</v>
      </c>
      <c r="V19" s="86">
        <v>0</v>
      </c>
      <c r="W19" s="87">
        <v>0</v>
      </c>
      <c r="X19" s="87">
        <v>0</v>
      </c>
      <c r="Y19" s="87">
        <v>75</v>
      </c>
      <c r="Z19" s="90">
        <v>103</v>
      </c>
      <c r="AA19" s="90">
        <v>506</v>
      </c>
      <c r="AB19" s="91">
        <f t="shared" si="3"/>
        <v>0</v>
      </c>
      <c r="AC19" s="91">
        <f t="shared" si="4"/>
        <v>0</v>
      </c>
      <c r="AD19" s="91">
        <f t="shared" si="5"/>
        <v>0</v>
      </c>
      <c r="AE19" s="91">
        <f t="shared" si="6"/>
        <v>0.05</v>
      </c>
      <c r="AF19" s="91">
        <f t="shared" si="7"/>
        <v>6.8666666666666668E-2</v>
      </c>
      <c r="AG19" s="91">
        <f t="shared" si="8"/>
        <v>0.33733333333333332</v>
      </c>
      <c r="AH19" s="92">
        <v>0</v>
      </c>
      <c r="AI19" s="93">
        <v>0</v>
      </c>
      <c r="AJ19" s="93">
        <v>0</v>
      </c>
      <c r="AK19" s="93">
        <v>2471.25</v>
      </c>
      <c r="AL19" s="94">
        <v>2588.4899999999998</v>
      </c>
      <c r="AM19" s="94">
        <v>15132.7</v>
      </c>
      <c r="AN19" s="94" t="s">
        <v>779</v>
      </c>
      <c r="AO19" s="111">
        <v>0</v>
      </c>
      <c r="AP19" s="112">
        <v>0</v>
      </c>
      <c r="AQ19" s="112">
        <v>7586.9600000000009</v>
      </c>
      <c r="AR19" s="112">
        <v>6963.42</v>
      </c>
      <c r="AS19" s="113">
        <v>44039.81</v>
      </c>
      <c r="AT19" s="113">
        <v>48183.76</v>
      </c>
      <c r="AU19" s="111">
        <v>0</v>
      </c>
      <c r="AV19" s="112">
        <v>0</v>
      </c>
      <c r="AW19" s="112">
        <v>0</v>
      </c>
      <c r="AX19" s="112">
        <v>8431.7399999999907</v>
      </c>
      <c r="AY19" s="113">
        <v>11680.67</v>
      </c>
      <c r="AZ19" s="113">
        <v>55069.47</v>
      </c>
    </row>
    <row r="20" spans="1:52" x14ac:dyDescent="0.25">
      <c r="A20" s="101" t="s">
        <v>805</v>
      </c>
      <c r="B20" s="102" t="s">
        <v>848</v>
      </c>
      <c r="C20" s="102"/>
      <c r="D20" s="102" t="s">
        <v>1048</v>
      </c>
      <c r="E20" s="103">
        <v>28.834747583243821</v>
      </c>
      <c r="F20" s="104">
        <v>300</v>
      </c>
      <c r="G20" s="105">
        <f t="shared" si="0"/>
        <v>150</v>
      </c>
      <c r="H20" s="105">
        <v>1769</v>
      </c>
      <c r="I20" s="106">
        <f t="shared" si="1"/>
        <v>8.4793668739400793E-2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90">
        <v>50</v>
      </c>
      <c r="P20" s="86"/>
      <c r="Q20" s="87"/>
      <c r="R20" s="87"/>
      <c r="S20" s="88"/>
      <c r="T20" s="89"/>
      <c r="U20" s="89">
        <f t="shared" si="2"/>
        <v>1441.737379162191</v>
      </c>
      <c r="V20" s="86"/>
      <c r="W20" s="87"/>
      <c r="X20" s="87"/>
      <c r="Y20" s="87"/>
      <c r="Z20" s="90"/>
      <c r="AA20" s="90"/>
      <c r="AB20" s="91">
        <f t="shared" si="3"/>
        <v>0</v>
      </c>
      <c r="AC20" s="91">
        <f t="shared" si="4"/>
        <v>0</v>
      </c>
      <c r="AD20" s="91">
        <f t="shared" si="5"/>
        <v>0</v>
      </c>
      <c r="AE20" s="91">
        <f t="shared" si="6"/>
        <v>0</v>
      </c>
      <c r="AF20" s="91">
        <f t="shared" si="7"/>
        <v>0</v>
      </c>
      <c r="AG20" s="91">
        <f t="shared" si="8"/>
        <v>0</v>
      </c>
      <c r="AH20" s="92"/>
      <c r="AI20" s="93"/>
      <c r="AJ20" s="93"/>
      <c r="AK20" s="93"/>
      <c r="AL20" s="94"/>
      <c r="AM20" s="94"/>
      <c r="AN20" s="94" t="s">
        <v>779</v>
      </c>
      <c r="AO20" s="111">
        <v>0</v>
      </c>
      <c r="AP20" s="112">
        <v>0</v>
      </c>
      <c r="AQ20" s="112">
        <v>0</v>
      </c>
      <c r="AR20" s="112">
        <v>0</v>
      </c>
      <c r="AS20" s="113">
        <v>0</v>
      </c>
      <c r="AT20" s="113">
        <v>660</v>
      </c>
      <c r="AU20" s="111">
        <v>0</v>
      </c>
      <c r="AV20" s="112">
        <v>0</v>
      </c>
      <c r="AW20" s="112">
        <v>0</v>
      </c>
      <c r="AX20" s="112">
        <v>0</v>
      </c>
      <c r="AY20" s="113">
        <v>0</v>
      </c>
      <c r="AZ20" s="113">
        <v>0</v>
      </c>
    </row>
    <row r="21" spans="1:52" x14ac:dyDescent="0.25">
      <c r="A21" s="101" t="s">
        <v>191</v>
      </c>
      <c r="B21" s="102" t="s">
        <v>192</v>
      </c>
      <c r="C21" s="102"/>
      <c r="D21" s="102" t="s">
        <v>1048</v>
      </c>
      <c r="E21" s="103">
        <v>25.830000000000005</v>
      </c>
      <c r="F21" s="104">
        <v>200</v>
      </c>
      <c r="G21" s="105">
        <f t="shared" si="0"/>
        <v>100</v>
      </c>
      <c r="H21" s="105">
        <v>279</v>
      </c>
      <c r="I21" s="106">
        <f t="shared" si="1"/>
        <v>0.35842293906810035</v>
      </c>
      <c r="J21" s="86">
        <v>0</v>
      </c>
      <c r="K21" s="87">
        <v>0</v>
      </c>
      <c r="L21" s="87">
        <v>0</v>
      </c>
      <c r="M21" s="87">
        <v>0</v>
      </c>
      <c r="N21" s="90"/>
      <c r="O21" s="90">
        <v>0</v>
      </c>
      <c r="P21" s="86">
        <f t="shared" ref="P21:P43" si="14">+J21*E21</f>
        <v>0</v>
      </c>
      <c r="Q21" s="87">
        <f t="shared" ref="Q21:Q43" si="15">+K21*E21</f>
        <v>0</v>
      </c>
      <c r="R21" s="87">
        <f t="shared" ref="R21:R43" si="16">+L21*E21</f>
        <v>0</v>
      </c>
      <c r="S21" s="88">
        <f t="shared" ref="S21:S43" si="17">+M21*E21</f>
        <v>0</v>
      </c>
      <c r="T21" s="89">
        <f t="shared" ref="T21:T43" si="18">+N21*E21</f>
        <v>0</v>
      </c>
      <c r="U21" s="89">
        <f t="shared" si="2"/>
        <v>0</v>
      </c>
      <c r="V21" s="86">
        <v>62</v>
      </c>
      <c r="W21" s="87">
        <v>140</v>
      </c>
      <c r="X21" s="87">
        <v>59</v>
      </c>
      <c r="Y21" s="87">
        <v>38</v>
      </c>
      <c r="Z21" s="90">
        <v>64</v>
      </c>
      <c r="AA21" s="90">
        <v>34</v>
      </c>
      <c r="AB21" s="91">
        <f t="shared" si="3"/>
        <v>0.22222222222222221</v>
      </c>
      <c r="AC21" s="91">
        <f t="shared" si="4"/>
        <v>0.50179211469534046</v>
      </c>
      <c r="AD21" s="91">
        <f t="shared" si="5"/>
        <v>0.21146953405017921</v>
      </c>
      <c r="AE21" s="91">
        <f t="shared" si="6"/>
        <v>0.13620071684587814</v>
      </c>
      <c r="AF21" s="91">
        <f t="shared" si="7"/>
        <v>0.22939068100358423</v>
      </c>
      <c r="AG21" s="91">
        <f t="shared" si="8"/>
        <v>0.12186379928315412</v>
      </c>
      <c r="AH21" s="92">
        <v>2478.86</v>
      </c>
      <c r="AI21" s="93">
        <v>3503.1499999999965</v>
      </c>
      <c r="AJ21" s="93">
        <v>3503.1499999999969</v>
      </c>
      <c r="AK21" s="93">
        <v>1968.2099999999982</v>
      </c>
      <c r="AL21" s="94">
        <v>1284.83</v>
      </c>
      <c r="AM21" s="94">
        <v>902.54</v>
      </c>
      <c r="AN21" s="94" t="s">
        <v>779</v>
      </c>
      <c r="AO21" s="111">
        <v>0</v>
      </c>
      <c r="AP21" s="112">
        <v>0</v>
      </c>
      <c r="AQ21" s="112">
        <v>0</v>
      </c>
      <c r="AR21" s="112">
        <v>0</v>
      </c>
      <c r="AS21" s="113">
        <v>0</v>
      </c>
      <c r="AT21" s="113">
        <v>0</v>
      </c>
      <c r="AU21" s="111">
        <v>6178.1</v>
      </c>
      <c r="AV21" s="112">
        <v>11842.949999999997</v>
      </c>
      <c r="AW21" s="112">
        <v>5482.8399999999965</v>
      </c>
      <c r="AX21" s="112">
        <v>3548.49</v>
      </c>
      <c r="AY21" s="113">
        <v>5436.54</v>
      </c>
      <c r="AZ21" s="113">
        <v>2927.92</v>
      </c>
    </row>
    <row r="22" spans="1:52" x14ac:dyDescent="0.25">
      <c r="A22" s="101" t="s">
        <v>36</v>
      </c>
      <c r="B22" s="102" t="s">
        <v>37</v>
      </c>
      <c r="C22" s="102"/>
      <c r="D22" s="102" t="s">
        <v>1048</v>
      </c>
      <c r="E22" s="103">
        <v>25.580000000000002</v>
      </c>
      <c r="F22" s="104">
        <v>240</v>
      </c>
      <c r="G22" s="105">
        <f t="shared" si="0"/>
        <v>120</v>
      </c>
      <c r="H22" s="105">
        <v>1315</v>
      </c>
      <c r="I22" s="106">
        <f t="shared" si="1"/>
        <v>9.125475285171103E-2</v>
      </c>
      <c r="J22" s="86">
        <v>149</v>
      </c>
      <c r="K22" s="87">
        <v>0</v>
      </c>
      <c r="L22" s="87">
        <v>224</v>
      </c>
      <c r="M22" s="87">
        <v>161</v>
      </c>
      <c r="N22" s="90"/>
      <c r="O22" s="90">
        <v>0</v>
      </c>
      <c r="P22" s="86">
        <f t="shared" si="14"/>
        <v>3811.42</v>
      </c>
      <c r="Q22" s="87">
        <f t="shared" si="15"/>
        <v>0</v>
      </c>
      <c r="R22" s="87">
        <f t="shared" si="16"/>
        <v>5729.92</v>
      </c>
      <c r="S22" s="88">
        <f t="shared" si="17"/>
        <v>4118.38</v>
      </c>
      <c r="T22" s="89">
        <f t="shared" si="18"/>
        <v>0</v>
      </c>
      <c r="U22" s="89">
        <f t="shared" si="2"/>
        <v>0</v>
      </c>
      <c r="V22" s="86">
        <v>0</v>
      </c>
      <c r="W22" s="87">
        <v>4</v>
      </c>
      <c r="X22" s="87">
        <v>6</v>
      </c>
      <c r="Y22" s="87">
        <v>0</v>
      </c>
      <c r="Z22" s="90">
        <v>0</v>
      </c>
      <c r="AA22" s="90">
        <v>0</v>
      </c>
      <c r="AB22" s="91">
        <f t="shared" si="3"/>
        <v>0</v>
      </c>
      <c r="AC22" s="91">
        <f t="shared" si="4"/>
        <v>3.041825095057034E-3</v>
      </c>
      <c r="AD22" s="91">
        <f t="shared" si="5"/>
        <v>4.5627376425855515E-3</v>
      </c>
      <c r="AE22" s="91">
        <f t="shared" si="6"/>
        <v>0</v>
      </c>
      <c r="AF22" s="91">
        <f t="shared" si="7"/>
        <v>0</v>
      </c>
      <c r="AG22" s="91">
        <f t="shared" si="8"/>
        <v>0</v>
      </c>
      <c r="AH22" s="92">
        <v>0</v>
      </c>
      <c r="AI22" s="93">
        <v>116.9</v>
      </c>
      <c r="AJ22" s="93">
        <v>116.9</v>
      </c>
      <c r="AK22" s="93">
        <v>210</v>
      </c>
      <c r="AL22" s="94">
        <v>0</v>
      </c>
      <c r="AM22" s="94">
        <v>0</v>
      </c>
      <c r="AN22" s="94" t="s">
        <v>779</v>
      </c>
      <c r="AO22" s="111">
        <v>2506.0299999999997</v>
      </c>
      <c r="AP22" s="112">
        <v>0</v>
      </c>
      <c r="AQ22" s="112">
        <v>3751.36</v>
      </c>
      <c r="AR22" s="112">
        <v>2688.9</v>
      </c>
      <c r="AS22" s="113">
        <v>0</v>
      </c>
      <c r="AT22" s="113">
        <v>0</v>
      </c>
      <c r="AU22" s="111">
        <v>0</v>
      </c>
      <c r="AV22" s="112">
        <v>192.89999999999998</v>
      </c>
      <c r="AW22" s="112">
        <v>324</v>
      </c>
      <c r="AX22" s="112">
        <v>0</v>
      </c>
      <c r="AY22" s="113">
        <v>0</v>
      </c>
      <c r="AZ22" s="113">
        <v>0</v>
      </c>
    </row>
    <row r="23" spans="1:52" x14ac:dyDescent="0.25">
      <c r="A23" s="101" t="s">
        <v>60</v>
      </c>
      <c r="B23" s="102" t="s">
        <v>61</v>
      </c>
      <c r="C23" s="102"/>
      <c r="D23" s="102" t="s">
        <v>1049</v>
      </c>
      <c r="E23" s="103">
        <v>25.509999999999998</v>
      </c>
      <c r="F23" s="104">
        <v>2000</v>
      </c>
      <c r="G23" s="105">
        <f t="shared" si="0"/>
        <v>1000</v>
      </c>
      <c r="H23" s="105">
        <v>45807</v>
      </c>
      <c r="I23" s="106">
        <f t="shared" si="1"/>
        <v>2.1830724561748203E-2</v>
      </c>
      <c r="J23" s="86">
        <v>0</v>
      </c>
      <c r="K23" s="87">
        <v>0</v>
      </c>
      <c r="L23" s="87">
        <v>999</v>
      </c>
      <c r="M23" s="87">
        <v>1040</v>
      </c>
      <c r="N23" s="90">
        <v>820</v>
      </c>
      <c r="O23" s="90">
        <v>1620</v>
      </c>
      <c r="P23" s="86">
        <f t="shared" si="14"/>
        <v>0</v>
      </c>
      <c r="Q23" s="87">
        <f t="shared" si="15"/>
        <v>0</v>
      </c>
      <c r="R23" s="87">
        <f t="shared" si="16"/>
        <v>25484.489999999998</v>
      </c>
      <c r="S23" s="88">
        <f t="shared" si="17"/>
        <v>26530.399999999998</v>
      </c>
      <c r="T23" s="89">
        <f t="shared" si="18"/>
        <v>20918.199999999997</v>
      </c>
      <c r="U23" s="89">
        <f t="shared" si="2"/>
        <v>41326.199999999997</v>
      </c>
      <c r="V23" s="86">
        <v>9</v>
      </c>
      <c r="W23" s="87">
        <v>0</v>
      </c>
      <c r="X23" s="87">
        <v>0</v>
      </c>
      <c r="Y23" s="87">
        <v>683</v>
      </c>
      <c r="Z23" s="90">
        <v>830</v>
      </c>
      <c r="AA23" s="90">
        <v>1339</v>
      </c>
      <c r="AB23" s="91">
        <f t="shared" si="3"/>
        <v>1.9647652105573383E-4</v>
      </c>
      <c r="AC23" s="91">
        <f t="shared" si="4"/>
        <v>0</v>
      </c>
      <c r="AD23" s="91">
        <f t="shared" si="5"/>
        <v>0</v>
      </c>
      <c r="AE23" s="91">
        <f t="shared" si="6"/>
        <v>1.4910384875674023E-2</v>
      </c>
      <c r="AF23" s="91">
        <f t="shared" si="7"/>
        <v>1.811950138625101E-2</v>
      </c>
      <c r="AG23" s="91">
        <f t="shared" si="8"/>
        <v>2.9231340188180847E-2</v>
      </c>
      <c r="AH23" s="92">
        <v>224.64</v>
      </c>
      <c r="AI23" s="93">
        <v>1.5899999999999901</v>
      </c>
      <c r="AJ23" s="93">
        <v>1.5899999999999901</v>
      </c>
      <c r="AK23" s="93">
        <v>17423.329999999998</v>
      </c>
      <c r="AL23" s="94">
        <v>17212.999999999902</v>
      </c>
      <c r="AM23" s="94">
        <v>32944.949999999997</v>
      </c>
      <c r="AN23" s="94" t="s">
        <v>779</v>
      </c>
      <c r="AO23" s="111">
        <v>0</v>
      </c>
      <c r="AP23" s="112">
        <v>0</v>
      </c>
      <c r="AQ23" s="112">
        <v>22097.88</v>
      </c>
      <c r="AR23" s="112">
        <v>23193.8</v>
      </c>
      <c r="AS23" s="113">
        <v>18240.599999999999</v>
      </c>
      <c r="AT23" s="113">
        <v>31553.8</v>
      </c>
      <c r="AU23" s="111">
        <v>429.3</v>
      </c>
      <c r="AV23" s="112">
        <v>1.59</v>
      </c>
      <c r="AW23" s="112">
        <v>0</v>
      </c>
      <c r="AX23" s="112">
        <v>32314.13</v>
      </c>
      <c r="AY23" s="113">
        <v>38986.93</v>
      </c>
      <c r="AZ23" s="113">
        <v>62798.709999999897</v>
      </c>
    </row>
    <row r="24" spans="1:52" x14ac:dyDescent="0.25">
      <c r="A24" s="101" t="s">
        <v>883</v>
      </c>
      <c r="B24" s="102" t="s">
        <v>14</v>
      </c>
      <c r="C24" s="102"/>
      <c r="D24" s="102" t="s">
        <v>1049</v>
      </c>
      <c r="E24" s="103">
        <v>25.25</v>
      </c>
      <c r="F24" s="104">
        <v>1500</v>
      </c>
      <c r="G24" s="105">
        <f t="shared" si="0"/>
        <v>750</v>
      </c>
      <c r="H24" s="105">
        <v>2564</v>
      </c>
      <c r="I24" s="106">
        <f t="shared" si="1"/>
        <v>0.29251170046801872</v>
      </c>
      <c r="J24" s="86">
        <v>0</v>
      </c>
      <c r="K24" s="87">
        <v>0</v>
      </c>
      <c r="L24" s="87">
        <v>0</v>
      </c>
      <c r="M24" s="87">
        <v>60</v>
      </c>
      <c r="N24" s="90"/>
      <c r="O24" s="90">
        <v>230</v>
      </c>
      <c r="P24" s="86">
        <f t="shared" si="14"/>
        <v>0</v>
      </c>
      <c r="Q24" s="87">
        <f t="shared" si="15"/>
        <v>0</v>
      </c>
      <c r="R24" s="87">
        <f t="shared" si="16"/>
        <v>0</v>
      </c>
      <c r="S24" s="88">
        <f t="shared" si="17"/>
        <v>1515</v>
      </c>
      <c r="T24" s="89">
        <f t="shared" si="18"/>
        <v>0</v>
      </c>
      <c r="U24" s="89">
        <f t="shared" si="2"/>
        <v>5807.5</v>
      </c>
      <c r="V24" s="86">
        <v>0</v>
      </c>
      <c r="W24" s="87">
        <v>0</v>
      </c>
      <c r="X24" s="87">
        <v>0</v>
      </c>
      <c r="Y24" s="87">
        <v>0</v>
      </c>
      <c r="Z24" s="90">
        <v>0</v>
      </c>
      <c r="AA24" s="90">
        <v>0</v>
      </c>
      <c r="AB24" s="91">
        <f t="shared" si="3"/>
        <v>0</v>
      </c>
      <c r="AC24" s="91">
        <f t="shared" si="4"/>
        <v>0</v>
      </c>
      <c r="AD24" s="91">
        <f t="shared" si="5"/>
        <v>0</v>
      </c>
      <c r="AE24" s="91">
        <f t="shared" si="6"/>
        <v>0</v>
      </c>
      <c r="AF24" s="91">
        <f t="shared" si="7"/>
        <v>0</v>
      </c>
      <c r="AG24" s="91">
        <f t="shared" si="8"/>
        <v>0</v>
      </c>
      <c r="AH24" s="92">
        <v>0</v>
      </c>
      <c r="AI24" s="93">
        <v>0</v>
      </c>
      <c r="AJ24" s="93">
        <v>0</v>
      </c>
      <c r="AK24" s="93">
        <v>0</v>
      </c>
      <c r="AL24" s="94">
        <v>0</v>
      </c>
      <c r="AM24" s="94">
        <v>0</v>
      </c>
      <c r="AN24" s="94" t="s">
        <v>779</v>
      </c>
      <c r="AO24" s="111">
        <v>0</v>
      </c>
      <c r="AP24" s="112">
        <v>0</v>
      </c>
      <c r="AQ24" s="112">
        <v>0</v>
      </c>
      <c r="AR24" s="112">
        <v>1762.5</v>
      </c>
      <c r="AS24" s="113">
        <v>0</v>
      </c>
      <c r="AT24" s="113">
        <v>15433.9</v>
      </c>
      <c r="AU24" s="111">
        <v>0</v>
      </c>
      <c r="AV24" s="112">
        <v>0</v>
      </c>
      <c r="AW24" s="112">
        <v>0</v>
      </c>
      <c r="AX24" s="112">
        <v>0</v>
      </c>
      <c r="AY24" s="113">
        <v>0</v>
      </c>
      <c r="AZ24" s="113">
        <v>0</v>
      </c>
    </row>
    <row r="25" spans="1:52" x14ac:dyDescent="0.25">
      <c r="A25" s="101" t="s">
        <v>26</v>
      </c>
      <c r="B25" s="102" t="s">
        <v>27</v>
      </c>
      <c r="C25" s="102"/>
      <c r="D25" s="102" t="s">
        <v>1048</v>
      </c>
      <c r="E25" s="103">
        <v>25.2</v>
      </c>
      <c r="F25" s="104">
        <v>777.6</v>
      </c>
      <c r="G25" s="105">
        <f t="shared" si="0"/>
        <v>388.8</v>
      </c>
      <c r="H25" s="105">
        <v>2722</v>
      </c>
      <c r="I25" s="106">
        <f t="shared" si="1"/>
        <v>0.14283614988978693</v>
      </c>
      <c r="J25" s="86">
        <v>0</v>
      </c>
      <c r="K25" s="87">
        <v>0</v>
      </c>
      <c r="L25" s="87">
        <v>0</v>
      </c>
      <c r="M25" s="87">
        <v>128</v>
      </c>
      <c r="N25" s="90">
        <v>40</v>
      </c>
      <c r="O25" s="90">
        <v>112</v>
      </c>
      <c r="P25" s="86">
        <f t="shared" si="14"/>
        <v>0</v>
      </c>
      <c r="Q25" s="87">
        <f t="shared" si="15"/>
        <v>0</v>
      </c>
      <c r="R25" s="87">
        <f t="shared" si="16"/>
        <v>0</v>
      </c>
      <c r="S25" s="88">
        <f t="shared" si="17"/>
        <v>3225.6</v>
      </c>
      <c r="T25" s="89">
        <f t="shared" si="18"/>
        <v>1008</v>
      </c>
      <c r="U25" s="89">
        <f t="shared" si="2"/>
        <v>2822.4</v>
      </c>
      <c r="V25" s="86">
        <v>315</v>
      </c>
      <c r="W25" s="87">
        <v>198</v>
      </c>
      <c r="X25" s="87">
        <v>349</v>
      </c>
      <c r="Y25" s="87">
        <v>506</v>
      </c>
      <c r="Z25" s="90">
        <v>576</v>
      </c>
      <c r="AA25" s="90">
        <v>599</v>
      </c>
      <c r="AB25" s="91">
        <f t="shared" si="3"/>
        <v>0.11572373254959588</v>
      </c>
      <c r="AC25" s="91">
        <f t="shared" si="4"/>
        <v>7.274063188831742E-2</v>
      </c>
      <c r="AD25" s="91">
        <f t="shared" si="5"/>
        <v>0.12821454812637767</v>
      </c>
      <c r="AE25" s="91">
        <f t="shared" si="6"/>
        <v>0.18589272593681117</v>
      </c>
      <c r="AF25" s="91">
        <f t="shared" si="7"/>
        <v>0.21160911094783247</v>
      </c>
      <c r="AG25" s="91">
        <f t="shared" si="8"/>
        <v>0.22005878030859663</v>
      </c>
      <c r="AH25" s="92">
        <v>1890.4599999999989</v>
      </c>
      <c r="AI25" s="93">
        <v>2281.8199999999974</v>
      </c>
      <c r="AJ25" s="93">
        <v>2281.8199999999983</v>
      </c>
      <c r="AK25" s="93">
        <v>3480.1599999999939</v>
      </c>
      <c r="AL25" s="94">
        <v>3680.35</v>
      </c>
      <c r="AM25" s="94">
        <v>3899.7799999999902</v>
      </c>
      <c r="AN25" s="94" t="s">
        <v>779</v>
      </c>
      <c r="AO25" s="111">
        <v>0</v>
      </c>
      <c r="AP25" s="112">
        <v>0</v>
      </c>
      <c r="AQ25" s="112">
        <v>0</v>
      </c>
      <c r="AR25" s="112">
        <v>2816.62</v>
      </c>
      <c r="AS25" s="113">
        <v>838.8</v>
      </c>
      <c r="AT25" s="113">
        <v>2459.6800000000003</v>
      </c>
      <c r="AU25" s="111">
        <v>9878.8499999999985</v>
      </c>
      <c r="AV25" s="112">
        <v>6043.8199999999961</v>
      </c>
      <c r="AW25" s="112">
        <v>10111.159999999987</v>
      </c>
      <c r="AX25" s="112">
        <v>13187.279999999901</v>
      </c>
      <c r="AY25" s="113">
        <v>12906.82</v>
      </c>
      <c r="AZ25" s="113">
        <v>13173.859999999901</v>
      </c>
    </row>
    <row r="26" spans="1:52" x14ac:dyDescent="0.25">
      <c r="A26" s="101" t="s">
        <v>884</v>
      </c>
      <c r="B26" s="102" t="s">
        <v>198</v>
      </c>
      <c r="C26" s="102"/>
      <c r="D26" s="102" t="s">
        <v>1048</v>
      </c>
      <c r="E26" s="103">
        <v>24.510000000000005</v>
      </c>
      <c r="F26" s="104">
        <v>3000</v>
      </c>
      <c r="G26" s="105">
        <f t="shared" si="0"/>
        <v>1500</v>
      </c>
      <c r="H26" s="105">
        <v>9407</v>
      </c>
      <c r="I26" s="106">
        <f t="shared" si="1"/>
        <v>0.15945572446050812</v>
      </c>
      <c r="J26" s="86">
        <v>785</v>
      </c>
      <c r="K26" s="87">
        <v>290</v>
      </c>
      <c r="L26" s="87">
        <v>1145</v>
      </c>
      <c r="M26" s="87">
        <v>1969</v>
      </c>
      <c r="N26" s="90">
        <v>43</v>
      </c>
      <c r="O26" s="90">
        <v>713</v>
      </c>
      <c r="P26" s="86">
        <f t="shared" si="14"/>
        <v>19240.350000000006</v>
      </c>
      <c r="Q26" s="87">
        <f t="shared" si="15"/>
        <v>7107.9000000000015</v>
      </c>
      <c r="R26" s="87">
        <f t="shared" si="16"/>
        <v>28063.950000000004</v>
      </c>
      <c r="S26" s="88">
        <f t="shared" si="17"/>
        <v>48260.19000000001</v>
      </c>
      <c r="T26" s="89">
        <f t="shared" si="18"/>
        <v>1053.9300000000003</v>
      </c>
      <c r="U26" s="89">
        <f t="shared" si="2"/>
        <v>17475.630000000005</v>
      </c>
      <c r="V26" s="86">
        <v>266</v>
      </c>
      <c r="W26" s="87">
        <v>0</v>
      </c>
      <c r="X26" s="87">
        <v>803</v>
      </c>
      <c r="Y26" s="87">
        <v>1768</v>
      </c>
      <c r="Z26" s="90">
        <v>1809</v>
      </c>
      <c r="AA26" s="90">
        <v>194</v>
      </c>
      <c r="AB26" s="91">
        <f t="shared" si="3"/>
        <v>2.8276815137663443E-2</v>
      </c>
      <c r="AC26" s="91">
        <f t="shared" si="4"/>
        <v>0</v>
      </c>
      <c r="AD26" s="91">
        <f t="shared" si="5"/>
        <v>8.536196449452535E-2</v>
      </c>
      <c r="AE26" s="91">
        <f t="shared" si="6"/>
        <v>0.18794514723078559</v>
      </c>
      <c r="AF26" s="91">
        <f t="shared" si="7"/>
        <v>0.1923036036993728</v>
      </c>
      <c r="AG26" s="91">
        <f t="shared" si="8"/>
        <v>2.062294036355905E-2</v>
      </c>
      <c r="AH26" s="92">
        <v>881.11</v>
      </c>
      <c r="AI26" s="93">
        <v>0</v>
      </c>
      <c r="AJ26" s="93">
        <v>19681.530000000002</v>
      </c>
      <c r="AK26" s="93">
        <v>14415.349999999986</v>
      </c>
      <c r="AL26" s="94">
        <v>41100.39</v>
      </c>
      <c r="AM26" s="94">
        <v>3954.39</v>
      </c>
      <c r="AN26" s="94" t="s">
        <v>779</v>
      </c>
      <c r="AO26" s="111">
        <v>46918.380000000005</v>
      </c>
      <c r="AP26" s="112">
        <v>17579.400000000001</v>
      </c>
      <c r="AQ26" s="112">
        <v>70914.720000000001</v>
      </c>
      <c r="AR26" s="112">
        <v>124545.96999999999</v>
      </c>
      <c r="AS26" s="113">
        <v>2576.13</v>
      </c>
      <c r="AT26" s="113">
        <v>47624.97</v>
      </c>
      <c r="AU26" s="111">
        <v>0</v>
      </c>
      <c r="AV26" s="112">
        <v>0</v>
      </c>
      <c r="AW26" s="112">
        <v>0</v>
      </c>
      <c r="AX26" s="112">
        <v>0</v>
      </c>
      <c r="AY26" s="113">
        <v>0</v>
      </c>
      <c r="AZ26" s="113">
        <v>0</v>
      </c>
    </row>
    <row r="27" spans="1:52" x14ac:dyDescent="0.25">
      <c r="A27" s="101" t="s">
        <v>885</v>
      </c>
      <c r="B27" s="102" t="s">
        <v>23</v>
      </c>
      <c r="C27" s="102"/>
      <c r="D27" s="102" t="s">
        <v>1048</v>
      </c>
      <c r="E27" s="103">
        <v>23.95</v>
      </c>
      <c r="F27" s="104">
        <v>729.6</v>
      </c>
      <c r="G27" s="105">
        <f t="shared" si="0"/>
        <v>364.8</v>
      </c>
      <c r="H27" s="105">
        <v>3648</v>
      </c>
      <c r="I27" s="106">
        <f t="shared" si="1"/>
        <v>0.1</v>
      </c>
      <c r="J27" s="86">
        <v>232</v>
      </c>
      <c r="K27" s="87">
        <v>600</v>
      </c>
      <c r="L27" s="87">
        <v>0</v>
      </c>
      <c r="M27" s="87">
        <v>0</v>
      </c>
      <c r="N27" s="90"/>
      <c r="O27" s="90">
        <v>120</v>
      </c>
      <c r="P27" s="86">
        <f t="shared" si="14"/>
        <v>5556.4</v>
      </c>
      <c r="Q27" s="87">
        <f t="shared" si="15"/>
        <v>14370</v>
      </c>
      <c r="R27" s="87">
        <f t="shared" si="16"/>
        <v>0</v>
      </c>
      <c r="S27" s="88">
        <f t="shared" si="17"/>
        <v>0</v>
      </c>
      <c r="T27" s="89">
        <f t="shared" si="18"/>
        <v>0</v>
      </c>
      <c r="U27" s="89">
        <f t="shared" si="2"/>
        <v>2874</v>
      </c>
      <c r="V27" s="86">
        <v>2</v>
      </c>
      <c r="W27" s="87">
        <v>3</v>
      </c>
      <c r="X27" s="87">
        <v>1</v>
      </c>
      <c r="Y27" s="87">
        <v>1</v>
      </c>
      <c r="Z27" s="90">
        <v>4</v>
      </c>
      <c r="AA27" s="90">
        <v>0</v>
      </c>
      <c r="AB27" s="91">
        <f t="shared" si="3"/>
        <v>5.4824561403508769E-4</v>
      </c>
      <c r="AC27" s="91">
        <f t="shared" si="4"/>
        <v>8.2236842105263153E-4</v>
      </c>
      <c r="AD27" s="91">
        <f t="shared" si="5"/>
        <v>2.7412280701754384E-4</v>
      </c>
      <c r="AE27" s="91">
        <f t="shared" si="6"/>
        <v>2.7412280701754384E-4</v>
      </c>
      <c r="AF27" s="91">
        <f t="shared" si="7"/>
        <v>1.0964912280701754E-3</v>
      </c>
      <c r="AG27" s="91">
        <f t="shared" si="8"/>
        <v>0</v>
      </c>
      <c r="AH27" s="92">
        <v>44.43</v>
      </c>
      <c r="AI27" s="93">
        <v>73.47999999999999</v>
      </c>
      <c r="AJ27" s="93">
        <v>73.48</v>
      </c>
      <c r="AK27" s="93">
        <v>23.4</v>
      </c>
      <c r="AL27" s="94">
        <v>30.44</v>
      </c>
      <c r="AM27" s="94">
        <v>0</v>
      </c>
      <c r="AN27" s="94" t="s">
        <v>779</v>
      </c>
      <c r="AO27" s="111">
        <v>2484.7200000000003</v>
      </c>
      <c r="AP27" s="112">
        <v>6676</v>
      </c>
      <c r="AQ27" s="112">
        <v>0</v>
      </c>
      <c r="AR27" s="112">
        <v>0</v>
      </c>
      <c r="AS27" s="113">
        <v>0</v>
      </c>
      <c r="AT27" s="113">
        <v>1246.8</v>
      </c>
      <c r="AU27" s="111">
        <v>0</v>
      </c>
      <c r="AV27" s="112">
        <v>0</v>
      </c>
      <c r="AW27" s="112">
        <v>0</v>
      </c>
      <c r="AX27" s="112">
        <v>0</v>
      </c>
      <c r="AY27" s="113">
        <v>0</v>
      </c>
      <c r="AZ27" s="113">
        <v>0</v>
      </c>
    </row>
    <row r="28" spans="1:52" x14ac:dyDescent="0.25">
      <c r="A28" s="101" t="s">
        <v>886</v>
      </c>
      <c r="B28" s="102" t="s">
        <v>22</v>
      </c>
      <c r="C28" s="102"/>
      <c r="D28" s="102" t="s">
        <v>1048</v>
      </c>
      <c r="E28" s="103">
        <v>23.409999999999997</v>
      </c>
      <c r="F28" s="104">
        <v>2500</v>
      </c>
      <c r="G28" s="105">
        <f t="shared" si="0"/>
        <v>1250</v>
      </c>
      <c r="H28" s="105">
        <v>5335</v>
      </c>
      <c r="I28" s="106">
        <f t="shared" si="1"/>
        <v>0.23430178069353327</v>
      </c>
      <c r="J28" s="86">
        <v>172</v>
      </c>
      <c r="K28" s="87">
        <v>0</v>
      </c>
      <c r="L28" s="87">
        <v>216</v>
      </c>
      <c r="M28" s="87">
        <v>0</v>
      </c>
      <c r="N28" s="90"/>
      <c r="O28" s="90">
        <v>0</v>
      </c>
      <c r="P28" s="86">
        <f t="shared" si="14"/>
        <v>4026.5199999999995</v>
      </c>
      <c r="Q28" s="87">
        <f t="shared" si="15"/>
        <v>0</v>
      </c>
      <c r="R28" s="87">
        <f t="shared" si="16"/>
        <v>5056.5599999999995</v>
      </c>
      <c r="S28" s="88">
        <f t="shared" si="17"/>
        <v>0</v>
      </c>
      <c r="T28" s="89">
        <f t="shared" si="18"/>
        <v>0</v>
      </c>
      <c r="U28" s="89">
        <f t="shared" si="2"/>
        <v>0</v>
      </c>
      <c r="V28" s="86">
        <v>0</v>
      </c>
      <c r="W28" s="87">
        <v>0</v>
      </c>
      <c r="X28" s="87">
        <v>0</v>
      </c>
      <c r="Y28" s="87">
        <v>0</v>
      </c>
      <c r="Z28" s="90">
        <v>0</v>
      </c>
      <c r="AA28" s="90">
        <v>325</v>
      </c>
      <c r="AB28" s="91">
        <f t="shared" si="3"/>
        <v>0</v>
      </c>
      <c r="AC28" s="91">
        <f t="shared" si="4"/>
        <v>0</v>
      </c>
      <c r="AD28" s="91">
        <f t="shared" si="5"/>
        <v>0</v>
      </c>
      <c r="AE28" s="91">
        <f t="shared" si="6"/>
        <v>0</v>
      </c>
      <c r="AF28" s="91">
        <f t="shared" si="7"/>
        <v>0</v>
      </c>
      <c r="AG28" s="91">
        <f t="shared" si="8"/>
        <v>6.0918462980318652E-2</v>
      </c>
      <c r="AH28" s="92">
        <v>0</v>
      </c>
      <c r="AI28" s="93">
        <v>0</v>
      </c>
      <c r="AJ28" s="93">
        <v>0</v>
      </c>
      <c r="AK28" s="93">
        <v>0</v>
      </c>
      <c r="AL28" s="94">
        <v>0</v>
      </c>
      <c r="AM28" s="94">
        <v>7425.7600000000302</v>
      </c>
      <c r="AN28" s="94" t="s">
        <v>779</v>
      </c>
      <c r="AO28" s="111">
        <v>0</v>
      </c>
      <c r="AP28" s="112">
        <v>0</v>
      </c>
      <c r="AQ28" s="112">
        <v>0</v>
      </c>
      <c r="AR28" s="112">
        <v>0</v>
      </c>
      <c r="AS28" s="113">
        <v>0</v>
      </c>
      <c r="AT28" s="113">
        <v>0</v>
      </c>
      <c r="AU28" s="111">
        <v>0</v>
      </c>
      <c r="AV28" s="112">
        <v>0</v>
      </c>
      <c r="AW28" s="112">
        <v>0</v>
      </c>
      <c r="AX28" s="112">
        <v>0</v>
      </c>
      <c r="AY28" s="113">
        <v>0</v>
      </c>
      <c r="AZ28" s="113">
        <v>0</v>
      </c>
    </row>
    <row r="29" spans="1:52" x14ac:dyDescent="0.25">
      <c r="A29" s="101" t="s">
        <v>255</v>
      </c>
      <c r="B29" s="102" t="s">
        <v>256</v>
      </c>
      <c r="C29" s="102"/>
      <c r="D29" s="102" t="s">
        <v>1048</v>
      </c>
      <c r="E29" s="103">
        <v>22.61</v>
      </c>
      <c r="F29" s="104">
        <v>2500</v>
      </c>
      <c r="G29" s="105">
        <f t="shared" si="0"/>
        <v>1250</v>
      </c>
      <c r="H29" s="105">
        <v>7025</v>
      </c>
      <c r="I29" s="106">
        <f t="shared" si="1"/>
        <v>0.17793594306049823</v>
      </c>
      <c r="J29" s="86">
        <v>613.4545454545455</v>
      </c>
      <c r="K29" s="87">
        <v>327.45454545454544</v>
      </c>
      <c r="L29" s="87">
        <v>4300.636363636364</v>
      </c>
      <c r="M29" s="87">
        <v>2860.6060606060614</v>
      </c>
      <c r="N29" s="90">
        <v>1993.939393939394</v>
      </c>
      <c r="O29" s="90">
        <v>1266</v>
      </c>
      <c r="P29" s="86">
        <f t="shared" si="14"/>
        <v>13870.207272727273</v>
      </c>
      <c r="Q29" s="87">
        <f t="shared" si="15"/>
        <v>7403.7472727272725</v>
      </c>
      <c r="R29" s="87">
        <f t="shared" si="16"/>
        <v>97237.388181818184</v>
      </c>
      <c r="S29" s="88">
        <f t="shared" si="17"/>
        <v>64678.303030303046</v>
      </c>
      <c r="T29" s="89">
        <f t="shared" si="18"/>
        <v>45082.969696969696</v>
      </c>
      <c r="U29" s="89">
        <f t="shared" si="2"/>
        <v>28624.26</v>
      </c>
      <c r="V29" s="86">
        <v>1383</v>
      </c>
      <c r="W29" s="87">
        <v>1353</v>
      </c>
      <c r="X29" s="87">
        <v>243</v>
      </c>
      <c r="Y29" s="87">
        <v>1085</v>
      </c>
      <c r="Z29" s="90">
        <v>2670</v>
      </c>
      <c r="AA29" s="90">
        <v>2302</v>
      </c>
      <c r="AB29" s="91">
        <f t="shared" si="3"/>
        <v>0.19686832740213522</v>
      </c>
      <c r="AC29" s="91">
        <f t="shared" si="4"/>
        <v>0.19259786476868326</v>
      </c>
      <c r="AD29" s="91">
        <f t="shared" si="5"/>
        <v>3.4590747330960854E-2</v>
      </c>
      <c r="AE29" s="91">
        <f t="shared" si="6"/>
        <v>0.15444839857651246</v>
      </c>
      <c r="AF29" s="91">
        <f t="shared" si="7"/>
        <v>0.38007117437722421</v>
      </c>
      <c r="AG29" s="91">
        <f t="shared" si="8"/>
        <v>0.32768683274021354</v>
      </c>
      <c r="AH29" s="92">
        <v>2298.1800000000021</v>
      </c>
      <c r="AI29" s="93">
        <v>4008.5499999999897</v>
      </c>
      <c r="AJ29" s="93">
        <v>4008.5499999999906</v>
      </c>
      <c r="AK29" s="93">
        <v>11406.929999999978</v>
      </c>
      <c r="AL29" s="94">
        <v>15626.57</v>
      </c>
      <c r="AM29" s="94">
        <v>35049.0699999996</v>
      </c>
      <c r="AN29" s="94" t="s">
        <v>779</v>
      </c>
      <c r="AO29" s="111">
        <v>66410.83</v>
      </c>
      <c r="AP29" s="112">
        <v>23361.61</v>
      </c>
      <c r="AQ29" s="112">
        <v>304497.5</v>
      </c>
      <c r="AR29" s="112">
        <v>205058.1</v>
      </c>
      <c r="AS29" s="113">
        <v>143276.54</v>
      </c>
      <c r="AT29" s="113">
        <v>58532.53</v>
      </c>
      <c r="AU29" s="111">
        <v>103465.1700000002</v>
      </c>
      <c r="AV29" s="112">
        <v>102551.24999999978</v>
      </c>
      <c r="AW29" s="112">
        <v>28890.3999999999</v>
      </c>
      <c r="AX29" s="112">
        <v>93408.0799999999</v>
      </c>
      <c r="AY29" s="113">
        <v>219452.260000001</v>
      </c>
      <c r="AZ29" s="113">
        <v>199683.94000000201</v>
      </c>
    </row>
    <row r="30" spans="1:52" x14ac:dyDescent="0.25">
      <c r="A30" s="101" t="s">
        <v>12</v>
      </c>
      <c r="B30" s="102" t="s">
        <v>13</v>
      </c>
      <c r="C30" s="102"/>
      <c r="D30" s="102" t="s">
        <v>1048</v>
      </c>
      <c r="E30" s="103">
        <v>22.46</v>
      </c>
      <c r="F30" s="104">
        <v>1000</v>
      </c>
      <c r="G30" s="105">
        <f t="shared" si="0"/>
        <v>500</v>
      </c>
      <c r="H30" s="105">
        <v>1089</v>
      </c>
      <c r="I30" s="106">
        <f t="shared" si="1"/>
        <v>0.4591368227731864</v>
      </c>
      <c r="J30" s="86">
        <v>0</v>
      </c>
      <c r="K30" s="87">
        <v>136</v>
      </c>
      <c r="L30" s="87">
        <v>471</v>
      </c>
      <c r="M30" s="87">
        <v>145</v>
      </c>
      <c r="N30" s="90"/>
      <c r="O30" s="90">
        <v>0</v>
      </c>
      <c r="P30" s="86">
        <f t="shared" si="14"/>
        <v>0</v>
      </c>
      <c r="Q30" s="87">
        <f t="shared" si="15"/>
        <v>3054.56</v>
      </c>
      <c r="R30" s="87">
        <f t="shared" si="16"/>
        <v>10578.66</v>
      </c>
      <c r="S30" s="88">
        <f t="shared" si="17"/>
        <v>3256.7000000000003</v>
      </c>
      <c r="T30" s="89">
        <f t="shared" si="18"/>
        <v>0</v>
      </c>
      <c r="U30" s="89">
        <f t="shared" si="2"/>
        <v>0</v>
      </c>
      <c r="V30" s="86">
        <v>330</v>
      </c>
      <c r="W30" s="87">
        <v>793</v>
      </c>
      <c r="X30" s="87">
        <v>90</v>
      </c>
      <c r="Y30" s="87">
        <v>358</v>
      </c>
      <c r="Z30" s="90">
        <v>189</v>
      </c>
      <c r="AA30" s="90">
        <v>0</v>
      </c>
      <c r="AB30" s="91">
        <f t="shared" si="3"/>
        <v>0.30303030303030304</v>
      </c>
      <c r="AC30" s="91">
        <f t="shared" si="4"/>
        <v>0.7281910009182736</v>
      </c>
      <c r="AD30" s="91">
        <f t="shared" si="5"/>
        <v>8.2644628099173556E-2</v>
      </c>
      <c r="AE30" s="91">
        <f t="shared" si="6"/>
        <v>0.3287419651056015</v>
      </c>
      <c r="AF30" s="91">
        <f t="shared" si="7"/>
        <v>0.17355371900826447</v>
      </c>
      <c r="AG30" s="91">
        <f t="shared" si="8"/>
        <v>0</v>
      </c>
      <c r="AH30" s="92">
        <v>2600.09</v>
      </c>
      <c r="AI30" s="93">
        <v>8426.8599999999969</v>
      </c>
      <c r="AJ30" s="93">
        <v>8426.8599999999969</v>
      </c>
      <c r="AK30" s="93">
        <v>1519.5800000000002</v>
      </c>
      <c r="AL30" s="94">
        <v>5557.32</v>
      </c>
      <c r="AM30" s="94">
        <v>0</v>
      </c>
      <c r="AN30" s="94" t="s">
        <v>779</v>
      </c>
      <c r="AO30" s="111">
        <v>0</v>
      </c>
      <c r="AP30" s="112">
        <v>953.34</v>
      </c>
      <c r="AQ30" s="112">
        <v>3331.62</v>
      </c>
      <c r="AR30" s="112">
        <v>1014.8</v>
      </c>
      <c r="AS30" s="113">
        <v>0</v>
      </c>
      <c r="AT30" s="113">
        <v>0</v>
      </c>
      <c r="AU30" s="111">
        <v>4913.3900000000003</v>
      </c>
      <c r="AV30" s="112">
        <v>13985.79</v>
      </c>
      <c r="AW30" s="112">
        <v>2149.58</v>
      </c>
      <c r="AX30" s="112">
        <v>8087.8699999999899</v>
      </c>
      <c r="AY30" s="113">
        <v>4577.9499999999898</v>
      </c>
      <c r="AZ30" s="113">
        <v>0</v>
      </c>
    </row>
    <row r="31" spans="1:52" x14ac:dyDescent="0.25">
      <c r="A31" s="101" t="s">
        <v>887</v>
      </c>
      <c r="B31" s="102" t="s">
        <v>72</v>
      </c>
      <c r="C31" s="102"/>
      <c r="D31" s="102" t="s">
        <v>1048</v>
      </c>
      <c r="E31" s="103">
        <v>22.34</v>
      </c>
      <c r="F31" s="104">
        <v>100</v>
      </c>
      <c r="G31" s="105">
        <f t="shared" si="0"/>
        <v>50</v>
      </c>
      <c r="H31" s="105">
        <v>87</v>
      </c>
      <c r="I31" s="106">
        <f t="shared" si="1"/>
        <v>0.57471264367816088</v>
      </c>
      <c r="J31" s="86">
        <v>100</v>
      </c>
      <c r="K31" s="87">
        <v>122</v>
      </c>
      <c r="L31" s="87">
        <v>0</v>
      </c>
      <c r="M31" s="87">
        <v>0</v>
      </c>
      <c r="N31" s="90"/>
      <c r="O31" s="90">
        <v>0</v>
      </c>
      <c r="P31" s="86">
        <f t="shared" si="14"/>
        <v>2234</v>
      </c>
      <c r="Q31" s="87">
        <f t="shared" si="15"/>
        <v>2725.48</v>
      </c>
      <c r="R31" s="87">
        <f t="shared" si="16"/>
        <v>0</v>
      </c>
      <c r="S31" s="88">
        <f t="shared" si="17"/>
        <v>0</v>
      </c>
      <c r="T31" s="89">
        <f t="shared" si="18"/>
        <v>0</v>
      </c>
      <c r="U31" s="89">
        <f t="shared" si="2"/>
        <v>0</v>
      </c>
      <c r="V31" s="86">
        <v>23</v>
      </c>
      <c r="W31" s="87">
        <v>27</v>
      </c>
      <c r="X31" s="87">
        <v>28</v>
      </c>
      <c r="Y31" s="87">
        <v>72</v>
      </c>
      <c r="Z31" s="90">
        <v>33</v>
      </c>
      <c r="AA31" s="90">
        <v>56</v>
      </c>
      <c r="AB31" s="91">
        <f t="shared" si="3"/>
        <v>0.26436781609195403</v>
      </c>
      <c r="AC31" s="91">
        <f t="shared" si="4"/>
        <v>0.31034482758620691</v>
      </c>
      <c r="AD31" s="91">
        <f t="shared" si="5"/>
        <v>0.32183908045977011</v>
      </c>
      <c r="AE31" s="91">
        <f t="shared" si="6"/>
        <v>0.82758620689655171</v>
      </c>
      <c r="AF31" s="91">
        <f t="shared" si="7"/>
        <v>0.37931034482758619</v>
      </c>
      <c r="AG31" s="91">
        <f t="shared" si="8"/>
        <v>0.64367816091954022</v>
      </c>
      <c r="AH31" s="92">
        <v>42.83</v>
      </c>
      <c r="AI31" s="93">
        <v>71.52</v>
      </c>
      <c r="AJ31" s="93">
        <v>71.52</v>
      </c>
      <c r="AK31" s="93">
        <v>109.73999999999998</v>
      </c>
      <c r="AL31" s="94">
        <v>193.45999999999901</v>
      </c>
      <c r="AM31" s="94">
        <v>528.51999999999896</v>
      </c>
      <c r="AN31" s="94" t="s">
        <v>779</v>
      </c>
      <c r="AO31" s="111">
        <v>2252</v>
      </c>
      <c r="AP31" s="112">
        <v>2729.14</v>
      </c>
      <c r="AQ31" s="112">
        <v>0</v>
      </c>
      <c r="AR31" s="112">
        <v>0</v>
      </c>
      <c r="AS31" s="113">
        <v>0</v>
      </c>
      <c r="AT31" s="113">
        <v>0</v>
      </c>
      <c r="AU31" s="111">
        <v>0</v>
      </c>
      <c r="AV31" s="112">
        <v>0</v>
      </c>
      <c r="AW31" s="112">
        <v>0</v>
      </c>
      <c r="AX31" s="112">
        <v>0</v>
      </c>
      <c r="AY31" s="113">
        <v>0</v>
      </c>
      <c r="AZ31" s="113">
        <v>0</v>
      </c>
    </row>
    <row r="32" spans="1:52" x14ac:dyDescent="0.25">
      <c r="A32" s="101" t="s">
        <v>32</v>
      </c>
      <c r="B32" s="102" t="s">
        <v>33</v>
      </c>
      <c r="C32" s="102"/>
      <c r="D32" s="102" t="s">
        <v>1048</v>
      </c>
      <c r="E32" s="103">
        <v>21.360000000000003</v>
      </c>
      <c r="F32" s="104">
        <v>300</v>
      </c>
      <c r="G32" s="105">
        <f t="shared" si="0"/>
        <v>150</v>
      </c>
      <c r="H32" s="105">
        <v>548</v>
      </c>
      <c r="I32" s="106">
        <f t="shared" si="1"/>
        <v>0.27372262773722628</v>
      </c>
      <c r="J32" s="86">
        <v>0</v>
      </c>
      <c r="K32" s="87">
        <v>50</v>
      </c>
      <c r="L32" s="87">
        <v>0</v>
      </c>
      <c r="M32" s="87">
        <v>0</v>
      </c>
      <c r="N32" s="90"/>
      <c r="O32" s="90">
        <v>0</v>
      </c>
      <c r="P32" s="86">
        <f t="shared" si="14"/>
        <v>0</v>
      </c>
      <c r="Q32" s="87">
        <f t="shared" si="15"/>
        <v>1068.0000000000002</v>
      </c>
      <c r="R32" s="87">
        <f t="shared" si="16"/>
        <v>0</v>
      </c>
      <c r="S32" s="88">
        <f t="shared" si="17"/>
        <v>0</v>
      </c>
      <c r="T32" s="89">
        <f t="shared" si="18"/>
        <v>0</v>
      </c>
      <c r="U32" s="89">
        <f t="shared" si="2"/>
        <v>0</v>
      </c>
      <c r="V32" s="86">
        <v>0</v>
      </c>
      <c r="W32" s="87">
        <v>0</v>
      </c>
      <c r="X32" s="87">
        <v>0</v>
      </c>
      <c r="Y32" s="87">
        <v>0</v>
      </c>
      <c r="Z32" s="90">
        <v>0</v>
      </c>
      <c r="AA32" s="90">
        <v>0</v>
      </c>
      <c r="AB32" s="91">
        <f t="shared" si="3"/>
        <v>0</v>
      </c>
      <c r="AC32" s="91">
        <f t="shared" si="4"/>
        <v>0</v>
      </c>
      <c r="AD32" s="91">
        <f t="shared" si="5"/>
        <v>0</v>
      </c>
      <c r="AE32" s="91">
        <f t="shared" si="6"/>
        <v>0</v>
      </c>
      <c r="AF32" s="91">
        <f t="shared" si="7"/>
        <v>0</v>
      </c>
      <c r="AG32" s="91">
        <f t="shared" si="8"/>
        <v>0</v>
      </c>
      <c r="AH32" s="92">
        <v>0</v>
      </c>
      <c r="AI32" s="93">
        <v>0</v>
      </c>
      <c r="AJ32" s="93">
        <v>0</v>
      </c>
      <c r="AK32" s="93">
        <v>0</v>
      </c>
      <c r="AL32" s="94">
        <v>0</v>
      </c>
      <c r="AM32" s="94">
        <v>0</v>
      </c>
      <c r="AN32" s="94" t="s">
        <v>779</v>
      </c>
      <c r="AO32" s="111">
        <v>0</v>
      </c>
      <c r="AP32" s="112">
        <v>692</v>
      </c>
      <c r="AQ32" s="112">
        <v>0</v>
      </c>
      <c r="AR32" s="112">
        <v>0</v>
      </c>
      <c r="AS32" s="113">
        <v>0</v>
      </c>
      <c r="AT32" s="113">
        <v>0</v>
      </c>
      <c r="AU32" s="111">
        <v>0</v>
      </c>
      <c r="AV32" s="112">
        <v>0</v>
      </c>
      <c r="AW32" s="112">
        <v>0</v>
      </c>
      <c r="AX32" s="112">
        <v>0</v>
      </c>
      <c r="AY32" s="113">
        <v>0</v>
      </c>
      <c r="AZ32" s="113">
        <v>0</v>
      </c>
    </row>
    <row r="33" spans="1:52" x14ac:dyDescent="0.25">
      <c r="A33" s="101" t="s">
        <v>62</v>
      </c>
      <c r="B33" s="102" t="s">
        <v>63</v>
      </c>
      <c r="C33" s="102"/>
      <c r="D33" s="102" t="s">
        <v>1048</v>
      </c>
      <c r="E33" s="103">
        <v>21</v>
      </c>
      <c r="F33" s="104">
        <v>880.80000000000007</v>
      </c>
      <c r="G33" s="105">
        <f t="shared" si="0"/>
        <v>440.40000000000003</v>
      </c>
      <c r="H33" s="105">
        <v>4404</v>
      </c>
      <c r="I33" s="106">
        <f t="shared" si="1"/>
        <v>0.1</v>
      </c>
      <c r="J33" s="86">
        <v>415</v>
      </c>
      <c r="K33" s="87">
        <v>413</v>
      </c>
      <c r="L33" s="87">
        <v>665</v>
      </c>
      <c r="M33" s="87">
        <v>894</v>
      </c>
      <c r="N33" s="90">
        <v>595</v>
      </c>
      <c r="O33" s="90">
        <v>557</v>
      </c>
      <c r="P33" s="86">
        <f t="shared" si="14"/>
        <v>8715</v>
      </c>
      <c r="Q33" s="87">
        <f t="shared" si="15"/>
        <v>8673</v>
      </c>
      <c r="R33" s="87">
        <f t="shared" si="16"/>
        <v>13965</v>
      </c>
      <c r="S33" s="88">
        <f t="shared" si="17"/>
        <v>18774</v>
      </c>
      <c r="T33" s="89">
        <f t="shared" si="18"/>
        <v>12495</v>
      </c>
      <c r="U33" s="89">
        <f t="shared" si="2"/>
        <v>11697</v>
      </c>
      <c r="V33" s="86">
        <v>49</v>
      </c>
      <c r="W33" s="87">
        <v>413</v>
      </c>
      <c r="X33" s="87">
        <v>556</v>
      </c>
      <c r="Y33" s="87">
        <v>493</v>
      </c>
      <c r="Z33" s="90">
        <v>338</v>
      </c>
      <c r="AA33" s="90">
        <v>977</v>
      </c>
      <c r="AB33" s="91">
        <f t="shared" si="3"/>
        <v>1.1126248864668483E-2</v>
      </c>
      <c r="AC33" s="91">
        <f t="shared" si="4"/>
        <v>9.377838328792007E-2</v>
      </c>
      <c r="AD33" s="91">
        <f t="shared" si="5"/>
        <v>0.1262488646684832</v>
      </c>
      <c r="AE33" s="91">
        <f t="shared" si="6"/>
        <v>0.11194368755676658</v>
      </c>
      <c r="AF33" s="91">
        <f t="shared" si="7"/>
        <v>7.6748410535876471E-2</v>
      </c>
      <c r="AG33" s="91">
        <f t="shared" si="8"/>
        <v>0.22184377838328792</v>
      </c>
      <c r="AH33" s="92">
        <v>1235.06</v>
      </c>
      <c r="AI33" s="93">
        <v>7135.5599999999986</v>
      </c>
      <c r="AJ33" s="93">
        <v>7135.5599999999977</v>
      </c>
      <c r="AK33" s="93">
        <v>8764.5399999999809</v>
      </c>
      <c r="AL33" s="94">
        <v>15380.389999999899</v>
      </c>
      <c r="AM33" s="94">
        <v>18642.619999999901</v>
      </c>
      <c r="AN33" s="94" t="s">
        <v>779</v>
      </c>
      <c r="AO33" s="111">
        <v>7545.05</v>
      </c>
      <c r="AP33" s="112">
        <v>7709.75</v>
      </c>
      <c r="AQ33" s="112">
        <v>12250.07</v>
      </c>
      <c r="AR33" s="112">
        <v>16882.39</v>
      </c>
      <c r="AS33" s="113">
        <v>11327.41</v>
      </c>
      <c r="AT33" s="113">
        <v>10766.92</v>
      </c>
      <c r="AU33" s="111">
        <v>2120.0100000000002</v>
      </c>
      <c r="AV33" s="112">
        <v>14678.929999999946</v>
      </c>
      <c r="AW33" s="112">
        <v>18990.60999999995</v>
      </c>
      <c r="AX33" s="112">
        <v>24476.769999999899</v>
      </c>
      <c r="AY33" s="113">
        <v>14717.959999999901</v>
      </c>
      <c r="AZ33" s="113">
        <v>37122.479999999698</v>
      </c>
    </row>
    <row r="34" spans="1:52" x14ac:dyDescent="0.25">
      <c r="A34" s="101" t="s">
        <v>68</v>
      </c>
      <c r="B34" s="102" t="s">
        <v>69</v>
      </c>
      <c r="C34" s="102"/>
      <c r="D34" s="102" t="s">
        <v>1048</v>
      </c>
      <c r="E34" s="103">
        <v>20.82</v>
      </c>
      <c r="F34" s="104">
        <v>100</v>
      </c>
      <c r="G34" s="105">
        <f t="shared" si="0"/>
        <v>50</v>
      </c>
      <c r="H34" s="105">
        <v>167</v>
      </c>
      <c r="I34" s="106">
        <f t="shared" si="1"/>
        <v>0.29940119760479039</v>
      </c>
      <c r="J34" s="86">
        <v>700</v>
      </c>
      <c r="K34" s="87">
        <v>0</v>
      </c>
      <c r="L34" s="87">
        <v>0</v>
      </c>
      <c r="M34" s="87">
        <v>0</v>
      </c>
      <c r="N34" s="90">
        <v>800</v>
      </c>
      <c r="O34" s="90">
        <v>600</v>
      </c>
      <c r="P34" s="86">
        <f t="shared" si="14"/>
        <v>14574</v>
      </c>
      <c r="Q34" s="87">
        <f t="shared" si="15"/>
        <v>0</v>
      </c>
      <c r="R34" s="87">
        <f t="shared" si="16"/>
        <v>0</v>
      </c>
      <c r="S34" s="88">
        <f t="shared" si="17"/>
        <v>0</v>
      </c>
      <c r="T34" s="89">
        <f t="shared" si="18"/>
        <v>16656</v>
      </c>
      <c r="U34" s="89">
        <f t="shared" si="2"/>
        <v>12492</v>
      </c>
      <c r="V34" s="86">
        <v>112</v>
      </c>
      <c r="W34" s="87">
        <v>135</v>
      </c>
      <c r="X34" s="87">
        <v>248</v>
      </c>
      <c r="Y34" s="87">
        <v>224</v>
      </c>
      <c r="Z34" s="90">
        <v>127</v>
      </c>
      <c r="AA34" s="90">
        <v>296</v>
      </c>
      <c r="AB34" s="91">
        <f t="shared" si="3"/>
        <v>0.6706586826347305</v>
      </c>
      <c r="AC34" s="91">
        <f t="shared" si="4"/>
        <v>0.80838323353293418</v>
      </c>
      <c r="AD34" s="91">
        <f t="shared" si="5"/>
        <v>1.4850299401197604</v>
      </c>
      <c r="AE34" s="91">
        <f t="shared" si="6"/>
        <v>1.341317365269461</v>
      </c>
      <c r="AF34" s="91">
        <f t="shared" si="7"/>
        <v>0.76047904191616766</v>
      </c>
      <c r="AG34" s="91">
        <f t="shared" si="8"/>
        <v>1.7724550898203593</v>
      </c>
      <c r="AH34" s="92">
        <v>683.7</v>
      </c>
      <c r="AI34" s="93">
        <v>1372.9599999999966</v>
      </c>
      <c r="AJ34" s="93">
        <v>1372.9599999999966</v>
      </c>
      <c r="AK34" s="93">
        <v>1993.389999999999</v>
      </c>
      <c r="AL34" s="94">
        <v>1959.73</v>
      </c>
      <c r="AM34" s="94">
        <v>5416.1399999999903</v>
      </c>
      <c r="AN34" s="94" t="s">
        <v>779</v>
      </c>
      <c r="AO34" s="111">
        <v>21380</v>
      </c>
      <c r="AP34" s="112">
        <v>0</v>
      </c>
      <c r="AQ34" s="112">
        <v>0</v>
      </c>
      <c r="AR34" s="112">
        <v>0</v>
      </c>
      <c r="AS34" s="113">
        <v>15331</v>
      </c>
      <c r="AT34" s="113">
        <v>8910</v>
      </c>
      <c r="AU34" s="111">
        <v>4653.78</v>
      </c>
      <c r="AV34" s="112">
        <v>5600.99</v>
      </c>
      <c r="AW34" s="112">
        <v>9639.23</v>
      </c>
      <c r="AX34" s="112">
        <v>8865.65</v>
      </c>
      <c r="AY34" s="113">
        <v>5206.3599999999997</v>
      </c>
      <c r="AZ34" s="113">
        <v>11359.78</v>
      </c>
    </row>
    <row r="35" spans="1:52" x14ac:dyDescent="0.25">
      <c r="A35" s="101" t="s">
        <v>7</v>
      </c>
      <c r="B35" s="102" t="s">
        <v>8</v>
      </c>
      <c r="C35" s="102"/>
      <c r="D35" s="102" t="s">
        <v>1048</v>
      </c>
      <c r="E35" s="103">
        <v>20.78</v>
      </c>
      <c r="F35" s="104">
        <v>2000</v>
      </c>
      <c r="G35" s="105">
        <f t="shared" si="0"/>
        <v>1000</v>
      </c>
      <c r="H35" s="105">
        <v>600</v>
      </c>
      <c r="I35" s="106">
        <f t="shared" si="1"/>
        <v>1.6666666666666667</v>
      </c>
      <c r="J35" s="86">
        <v>0</v>
      </c>
      <c r="K35" s="87">
        <v>100</v>
      </c>
      <c r="L35" s="87">
        <v>494</v>
      </c>
      <c r="M35" s="87">
        <v>286</v>
      </c>
      <c r="N35" s="90"/>
      <c r="O35" s="90">
        <v>0</v>
      </c>
      <c r="P35" s="86">
        <f t="shared" si="14"/>
        <v>0</v>
      </c>
      <c r="Q35" s="87">
        <f t="shared" si="15"/>
        <v>2078</v>
      </c>
      <c r="R35" s="87">
        <f t="shared" si="16"/>
        <v>10265.32</v>
      </c>
      <c r="S35" s="88">
        <f t="shared" si="17"/>
        <v>5943.08</v>
      </c>
      <c r="T35" s="89">
        <f t="shared" si="18"/>
        <v>0</v>
      </c>
      <c r="U35" s="89">
        <f t="shared" si="2"/>
        <v>0</v>
      </c>
      <c r="V35" s="86">
        <v>1137</v>
      </c>
      <c r="W35" s="87">
        <v>873</v>
      </c>
      <c r="X35" s="87">
        <v>0</v>
      </c>
      <c r="Y35" s="87">
        <v>261</v>
      </c>
      <c r="Z35" s="90">
        <v>417</v>
      </c>
      <c r="AA35" s="90">
        <v>0</v>
      </c>
      <c r="AB35" s="91">
        <f t="shared" si="3"/>
        <v>1.895</v>
      </c>
      <c r="AC35" s="91">
        <f t="shared" si="4"/>
        <v>1.4550000000000001</v>
      </c>
      <c r="AD35" s="91">
        <f t="shared" si="5"/>
        <v>0</v>
      </c>
      <c r="AE35" s="91">
        <f t="shared" si="6"/>
        <v>0.435</v>
      </c>
      <c r="AF35" s="91">
        <f t="shared" si="7"/>
        <v>0.69499999999999995</v>
      </c>
      <c r="AG35" s="91">
        <f t="shared" si="8"/>
        <v>0</v>
      </c>
      <c r="AH35" s="92">
        <v>21116.639999999999</v>
      </c>
      <c r="AI35" s="93">
        <v>20169.099999999977</v>
      </c>
      <c r="AJ35" s="93">
        <v>20169.09999999998</v>
      </c>
      <c r="AK35" s="93">
        <v>5423.58</v>
      </c>
      <c r="AL35" s="94">
        <v>5659.7199999999903</v>
      </c>
      <c r="AM35" s="94">
        <v>0</v>
      </c>
      <c r="AN35" s="94" t="s">
        <v>779</v>
      </c>
      <c r="AO35" s="111">
        <v>0</v>
      </c>
      <c r="AP35" s="112">
        <v>286</v>
      </c>
      <c r="AQ35" s="112">
        <v>1525.84</v>
      </c>
      <c r="AR35" s="112">
        <v>864.62</v>
      </c>
      <c r="AS35" s="113">
        <v>0</v>
      </c>
      <c r="AT35" s="113">
        <v>0</v>
      </c>
      <c r="AU35" s="111">
        <v>24527.64</v>
      </c>
      <c r="AV35" s="112">
        <v>22788.09999999998</v>
      </c>
      <c r="AW35" s="112">
        <v>0</v>
      </c>
      <c r="AX35" s="112">
        <v>6485.73</v>
      </c>
      <c r="AY35" s="113">
        <v>9941.2399999999907</v>
      </c>
      <c r="AZ35" s="113">
        <v>0</v>
      </c>
    </row>
    <row r="36" spans="1:52" x14ac:dyDescent="0.25">
      <c r="A36" s="101" t="s">
        <v>92</v>
      </c>
      <c r="B36" s="102" t="s">
        <v>93</v>
      </c>
      <c r="C36" s="102"/>
      <c r="D36" s="102" t="s">
        <v>1048</v>
      </c>
      <c r="E36" s="103">
        <v>20.25</v>
      </c>
      <c r="F36" s="104">
        <v>500</v>
      </c>
      <c r="G36" s="105">
        <f t="shared" si="0"/>
        <v>250</v>
      </c>
      <c r="H36" s="105">
        <v>833</v>
      </c>
      <c r="I36" s="106">
        <f t="shared" si="1"/>
        <v>0.30012004801920766</v>
      </c>
      <c r="J36" s="86">
        <v>0</v>
      </c>
      <c r="K36" s="87">
        <v>0</v>
      </c>
      <c r="L36" s="87">
        <v>0</v>
      </c>
      <c r="M36" s="87">
        <v>144</v>
      </c>
      <c r="N36" s="90"/>
      <c r="O36" s="90">
        <v>0</v>
      </c>
      <c r="P36" s="86">
        <f t="shared" si="14"/>
        <v>0</v>
      </c>
      <c r="Q36" s="87">
        <f t="shared" si="15"/>
        <v>0</v>
      </c>
      <c r="R36" s="87">
        <f t="shared" si="16"/>
        <v>0</v>
      </c>
      <c r="S36" s="88">
        <f t="shared" si="17"/>
        <v>2916</v>
      </c>
      <c r="T36" s="89">
        <f t="shared" si="18"/>
        <v>0</v>
      </c>
      <c r="U36" s="89">
        <f t="shared" si="2"/>
        <v>0</v>
      </c>
      <c r="V36" s="86">
        <v>184</v>
      </c>
      <c r="W36" s="87">
        <v>225</v>
      </c>
      <c r="X36" s="87">
        <v>126</v>
      </c>
      <c r="Y36" s="87">
        <v>183</v>
      </c>
      <c r="Z36" s="90">
        <v>150</v>
      </c>
      <c r="AA36" s="90">
        <v>129</v>
      </c>
      <c r="AB36" s="91">
        <f t="shared" si="3"/>
        <v>0.22088835534213686</v>
      </c>
      <c r="AC36" s="91">
        <f t="shared" si="4"/>
        <v>0.27010804321728693</v>
      </c>
      <c r="AD36" s="91">
        <f t="shared" si="5"/>
        <v>0.15126050420168066</v>
      </c>
      <c r="AE36" s="91">
        <f t="shared" si="6"/>
        <v>0.21968787515006002</v>
      </c>
      <c r="AF36" s="91">
        <f t="shared" si="7"/>
        <v>0.18007202881152462</v>
      </c>
      <c r="AG36" s="91">
        <f t="shared" si="8"/>
        <v>0.15486194477791115</v>
      </c>
      <c r="AH36" s="92">
        <v>5948.8399999999974</v>
      </c>
      <c r="AI36" s="93">
        <v>5925.4399999999987</v>
      </c>
      <c r="AJ36" s="93">
        <v>5925.4399999999978</v>
      </c>
      <c r="AK36" s="93">
        <v>2791.8799999999919</v>
      </c>
      <c r="AL36" s="94">
        <v>3921.34</v>
      </c>
      <c r="AM36" s="94">
        <v>2540.4399999999901</v>
      </c>
      <c r="AN36" s="94" t="s">
        <v>779</v>
      </c>
      <c r="AO36" s="111">
        <v>0</v>
      </c>
      <c r="AP36" s="112">
        <v>0</v>
      </c>
      <c r="AQ36" s="112">
        <v>0</v>
      </c>
      <c r="AR36" s="112">
        <v>3079.7799999999997</v>
      </c>
      <c r="AS36" s="113">
        <v>0</v>
      </c>
      <c r="AT36" s="113">
        <v>0</v>
      </c>
      <c r="AU36" s="111">
        <v>9836.760000000002</v>
      </c>
      <c r="AV36" s="112">
        <v>10679.689999999999</v>
      </c>
      <c r="AW36" s="112">
        <v>5790.0499999999993</v>
      </c>
      <c r="AX36" s="112">
        <v>8313.34</v>
      </c>
      <c r="AY36" s="113">
        <v>6501.5599999999904</v>
      </c>
      <c r="AZ36" s="113">
        <v>5765.44</v>
      </c>
    </row>
    <row r="37" spans="1:52" x14ac:dyDescent="0.25">
      <c r="A37" s="101" t="s">
        <v>888</v>
      </c>
      <c r="B37" s="102" t="s">
        <v>116</v>
      </c>
      <c r="C37" s="102"/>
      <c r="D37" s="102" t="s">
        <v>1048</v>
      </c>
      <c r="E37" s="103">
        <v>20.100000000000001</v>
      </c>
      <c r="F37" s="104">
        <v>93.2</v>
      </c>
      <c r="G37" s="105">
        <f t="shared" si="0"/>
        <v>46.6</v>
      </c>
      <c r="H37" s="105">
        <v>102</v>
      </c>
      <c r="I37" s="106">
        <f t="shared" si="1"/>
        <v>0.4568627450980392</v>
      </c>
      <c r="J37" s="86">
        <v>100</v>
      </c>
      <c r="K37" s="87">
        <v>0</v>
      </c>
      <c r="L37" s="87">
        <v>0</v>
      </c>
      <c r="M37" s="87">
        <v>0</v>
      </c>
      <c r="N37" s="90"/>
      <c r="O37" s="90">
        <v>0</v>
      </c>
      <c r="P37" s="86">
        <f t="shared" si="14"/>
        <v>2010.0000000000002</v>
      </c>
      <c r="Q37" s="87">
        <f t="shared" si="15"/>
        <v>0</v>
      </c>
      <c r="R37" s="87">
        <f t="shared" si="16"/>
        <v>0</v>
      </c>
      <c r="S37" s="88">
        <f t="shared" si="17"/>
        <v>0</v>
      </c>
      <c r="T37" s="89">
        <f t="shared" si="18"/>
        <v>0</v>
      </c>
      <c r="U37" s="89">
        <f t="shared" si="2"/>
        <v>0</v>
      </c>
      <c r="V37" s="86">
        <v>103</v>
      </c>
      <c r="W37" s="87">
        <v>44</v>
      </c>
      <c r="X37" s="87">
        <v>31</v>
      </c>
      <c r="Y37" s="87">
        <v>33</v>
      </c>
      <c r="Z37" s="90">
        <v>22</v>
      </c>
      <c r="AA37" s="90">
        <v>18</v>
      </c>
      <c r="AB37" s="91">
        <f t="shared" si="3"/>
        <v>1.0098039215686274</v>
      </c>
      <c r="AC37" s="91">
        <f t="shared" si="4"/>
        <v>0.43137254901960786</v>
      </c>
      <c r="AD37" s="91">
        <f t="shared" si="5"/>
        <v>0.30392156862745096</v>
      </c>
      <c r="AE37" s="91">
        <f t="shared" si="6"/>
        <v>0.3235294117647059</v>
      </c>
      <c r="AF37" s="91">
        <f t="shared" si="7"/>
        <v>0.21568627450980393</v>
      </c>
      <c r="AG37" s="91">
        <f t="shared" si="8"/>
        <v>0.17647058823529413</v>
      </c>
      <c r="AH37" s="92">
        <v>3054.22</v>
      </c>
      <c r="AI37" s="93">
        <v>1223.8300000000002</v>
      </c>
      <c r="AJ37" s="93">
        <v>1223.83</v>
      </c>
      <c r="AK37" s="93">
        <v>827.65999999999917</v>
      </c>
      <c r="AL37" s="94">
        <v>971.13999999999896</v>
      </c>
      <c r="AM37" s="94">
        <v>364.14</v>
      </c>
      <c r="AN37" s="94" t="s">
        <v>779</v>
      </c>
      <c r="AO37" s="111">
        <v>3125</v>
      </c>
      <c r="AP37" s="112">
        <v>0</v>
      </c>
      <c r="AQ37" s="112">
        <v>0</v>
      </c>
      <c r="AR37" s="112">
        <v>0</v>
      </c>
      <c r="AS37" s="113">
        <v>0</v>
      </c>
      <c r="AT37" s="113">
        <v>0</v>
      </c>
      <c r="AU37" s="111">
        <v>0</v>
      </c>
      <c r="AV37" s="112">
        <v>0</v>
      </c>
      <c r="AW37" s="112">
        <v>0</v>
      </c>
      <c r="AX37" s="112">
        <v>0</v>
      </c>
      <c r="AY37" s="113">
        <v>0</v>
      </c>
      <c r="AZ37" s="113">
        <v>0</v>
      </c>
    </row>
    <row r="38" spans="1:52" x14ac:dyDescent="0.25">
      <c r="A38" s="101" t="s">
        <v>24</v>
      </c>
      <c r="B38" s="102" t="s">
        <v>25</v>
      </c>
      <c r="C38" s="102"/>
      <c r="D38" s="102" t="s">
        <v>1048</v>
      </c>
      <c r="E38" s="103">
        <v>18.78</v>
      </c>
      <c r="F38" s="104">
        <v>600</v>
      </c>
      <c r="G38" s="105">
        <f t="shared" si="0"/>
        <v>300</v>
      </c>
      <c r="H38" s="105">
        <v>176</v>
      </c>
      <c r="I38" s="106">
        <f t="shared" si="1"/>
        <v>1.7045454545454546</v>
      </c>
      <c r="J38" s="86">
        <v>0</v>
      </c>
      <c r="K38" s="87">
        <v>0</v>
      </c>
      <c r="L38" s="87">
        <v>0</v>
      </c>
      <c r="M38" s="87">
        <v>213</v>
      </c>
      <c r="N38" s="90"/>
      <c r="O38" s="90">
        <v>0</v>
      </c>
      <c r="P38" s="86">
        <f t="shared" si="14"/>
        <v>0</v>
      </c>
      <c r="Q38" s="87">
        <f t="shared" si="15"/>
        <v>0</v>
      </c>
      <c r="R38" s="87">
        <f t="shared" si="16"/>
        <v>0</v>
      </c>
      <c r="S38" s="88">
        <f t="shared" si="17"/>
        <v>4000.1400000000003</v>
      </c>
      <c r="T38" s="89">
        <f t="shared" si="18"/>
        <v>0</v>
      </c>
      <c r="U38" s="89">
        <f t="shared" si="2"/>
        <v>0</v>
      </c>
      <c r="V38" s="86">
        <v>16</v>
      </c>
      <c r="W38" s="87">
        <v>305</v>
      </c>
      <c r="X38" s="87">
        <v>61</v>
      </c>
      <c r="Y38" s="87">
        <v>0</v>
      </c>
      <c r="Z38" s="90">
        <v>38</v>
      </c>
      <c r="AA38" s="90">
        <v>140</v>
      </c>
      <c r="AB38" s="91">
        <f t="shared" si="3"/>
        <v>9.0909090909090912E-2</v>
      </c>
      <c r="AC38" s="91">
        <f t="shared" si="4"/>
        <v>1.7329545454545454</v>
      </c>
      <c r="AD38" s="91">
        <f t="shared" si="5"/>
        <v>0.34659090909090912</v>
      </c>
      <c r="AE38" s="91">
        <f t="shared" si="6"/>
        <v>0</v>
      </c>
      <c r="AF38" s="91">
        <f t="shared" si="7"/>
        <v>0.21590909090909091</v>
      </c>
      <c r="AG38" s="91">
        <f t="shared" si="8"/>
        <v>0.79545454545454541</v>
      </c>
      <c r="AH38" s="92">
        <v>255.76</v>
      </c>
      <c r="AI38" s="93">
        <v>2809.9200000000005</v>
      </c>
      <c r="AJ38" s="93">
        <v>2809.9200000000005</v>
      </c>
      <c r="AK38" s="93">
        <v>1138.7999999999997</v>
      </c>
      <c r="AL38" s="94">
        <v>713.6400000000001</v>
      </c>
      <c r="AM38" s="94">
        <v>2559.0599999999899</v>
      </c>
      <c r="AN38" s="94" t="s">
        <v>779</v>
      </c>
      <c r="AO38" s="111">
        <v>0</v>
      </c>
      <c r="AP38" s="112">
        <v>0</v>
      </c>
      <c r="AQ38" s="112">
        <v>0</v>
      </c>
      <c r="AR38" s="112">
        <v>2066.25</v>
      </c>
      <c r="AS38" s="113">
        <v>0</v>
      </c>
      <c r="AT38" s="113">
        <v>0</v>
      </c>
      <c r="AU38" s="111">
        <v>410</v>
      </c>
      <c r="AV38" s="112">
        <v>5750.12</v>
      </c>
      <c r="AW38" s="112">
        <v>1726.8400000000001</v>
      </c>
      <c r="AX38" s="112">
        <v>0</v>
      </c>
      <c r="AY38" s="113">
        <v>1074.2</v>
      </c>
      <c r="AZ38" s="113">
        <v>3917.06</v>
      </c>
    </row>
    <row r="39" spans="1:52" x14ac:dyDescent="0.25">
      <c r="A39" s="101" t="s">
        <v>889</v>
      </c>
      <c r="B39" s="102" t="s">
        <v>286</v>
      </c>
      <c r="C39" s="102"/>
      <c r="D39" s="102" t="s">
        <v>1048</v>
      </c>
      <c r="E39" s="103">
        <v>18.230000000000004</v>
      </c>
      <c r="F39" s="104">
        <v>1500</v>
      </c>
      <c r="G39" s="105">
        <f t="shared" si="0"/>
        <v>750</v>
      </c>
      <c r="H39" s="105">
        <v>4846</v>
      </c>
      <c r="I39" s="106">
        <f t="shared" si="1"/>
        <v>0.15476681799422204</v>
      </c>
      <c r="J39" s="86">
        <v>398.18181818181813</v>
      </c>
      <c r="K39" s="87">
        <v>0</v>
      </c>
      <c r="L39" s="87">
        <v>245</v>
      </c>
      <c r="M39" s="87">
        <v>144</v>
      </c>
      <c r="N39" s="90">
        <v>490</v>
      </c>
      <c r="O39" s="90">
        <v>475</v>
      </c>
      <c r="P39" s="86">
        <f t="shared" si="14"/>
        <v>7258.8545454545465</v>
      </c>
      <c r="Q39" s="87">
        <f t="shared" si="15"/>
        <v>0</v>
      </c>
      <c r="R39" s="87">
        <f t="shared" si="16"/>
        <v>4466.3500000000013</v>
      </c>
      <c r="S39" s="88">
        <f t="shared" si="17"/>
        <v>2625.1200000000008</v>
      </c>
      <c r="T39" s="89">
        <f t="shared" si="18"/>
        <v>8932.7000000000025</v>
      </c>
      <c r="U39" s="89">
        <f t="shared" si="2"/>
        <v>8659.2500000000018</v>
      </c>
      <c r="V39" s="86">
        <v>1008</v>
      </c>
      <c r="W39" s="87">
        <v>542</v>
      </c>
      <c r="X39" s="87">
        <v>49</v>
      </c>
      <c r="Y39" s="87">
        <v>975</v>
      </c>
      <c r="Z39" s="90">
        <v>1524</v>
      </c>
      <c r="AA39" s="90">
        <v>1130</v>
      </c>
      <c r="AB39" s="91">
        <f t="shared" si="3"/>
        <v>0.20800660338423441</v>
      </c>
      <c r="AC39" s="91">
        <f t="shared" si="4"/>
        <v>0.11184482047049113</v>
      </c>
      <c r="AD39" s="91">
        <f t="shared" si="5"/>
        <v>1.0111432108955839E-2</v>
      </c>
      <c r="AE39" s="91">
        <f t="shared" si="6"/>
        <v>0.20119686339248866</v>
      </c>
      <c r="AF39" s="91">
        <f t="shared" si="7"/>
        <v>0.31448617416425917</v>
      </c>
      <c r="AG39" s="91">
        <f t="shared" si="8"/>
        <v>0.23318200577796119</v>
      </c>
      <c r="AH39" s="92">
        <v>2197.3699999999981</v>
      </c>
      <c r="AI39" s="93">
        <v>2838.0699999999933</v>
      </c>
      <c r="AJ39" s="93">
        <v>2838.0699999999929</v>
      </c>
      <c r="AK39" s="93">
        <v>2158.219999999998</v>
      </c>
      <c r="AL39" s="94">
        <v>42398.230000000098</v>
      </c>
      <c r="AM39" s="94">
        <v>16181.12</v>
      </c>
      <c r="AN39" s="94" t="s">
        <v>779</v>
      </c>
      <c r="AO39" s="111">
        <v>5674.5</v>
      </c>
      <c r="AP39" s="112">
        <v>0</v>
      </c>
      <c r="AQ39" s="112">
        <v>17369.150000000001</v>
      </c>
      <c r="AR39" s="112">
        <v>10195.200000000001</v>
      </c>
      <c r="AS39" s="113">
        <v>34846.550000000003</v>
      </c>
      <c r="AT39" s="113">
        <v>33335.5</v>
      </c>
      <c r="AU39" s="111">
        <v>0</v>
      </c>
      <c r="AV39" s="112">
        <v>0</v>
      </c>
      <c r="AW39" s="112">
        <v>0</v>
      </c>
      <c r="AX39" s="112">
        <v>0</v>
      </c>
      <c r="AY39" s="113">
        <v>0</v>
      </c>
      <c r="AZ39" s="113">
        <v>0</v>
      </c>
    </row>
    <row r="40" spans="1:52" x14ac:dyDescent="0.25">
      <c r="A40" s="101" t="s">
        <v>890</v>
      </c>
      <c r="B40" s="102" t="s">
        <v>16</v>
      </c>
      <c r="C40" s="102"/>
      <c r="D40" s="102" t="s">
        <v>1048</v>
      </c>
      <c r="E40" s="103">
        <v>18.11</v>
      </c>
      <c r="F40" s="104">
        <v>58.2</v>
      </c>
      <c r="G40" s="105">
        <f t="shared" si="0"/>
        <v>29.1</v>
      </c>
      <c r="H40" s="105">
        <v>291</v>
      </c>
      <c r="I40" s="106">
        <f t="shared" si="1"/>
        <v>0.1</v>
      </c>
      <c r="J40" s="86">
        <v>0</v>
      </c>
      <c r="K40" s="87">
        <v>0</v>
      </c>
      <c r="L40" s="87">
        <v>0</v>
      </c>
      <c r="M40" s="87">
        <v>0</v>
      </c>
      <c r="N40" s="90"/>
      <c r="O40" s="90">
        <v>0</v>
      </c>
      <c r="P40" s="86">
        <f t="shared" si="14"/>
        <v>0</v>
      </c>
      <c r="Q40" s="87">
        <f t="shared" si="15"/>
        <v>0</v>
      </c>
      <c r="R40" s="87">
        <f t="shared" si="16"/>
        <v>0</v>
      </c>
      <c r="S40" s="88">
        <f t="shared" si="17"/>
        <v>0</v>
      </c>
      <c r="T40" s="89">
        <f t="shared" si="18"/>
        <v>0</v>
      </c>
      <c r="U40" s="89">
        <f t="shared" si="2"/>
        <v>0</v>
      </c>
      <c r="V40" s="86">
        <v>0</v>
      </c>
      <c r="W40" s="87">
        <v>0</v>
      </c>
      <c r="X40" s="87">
        <v>0</v>
      </c>
      <c r="Y40" s="87">
        <v>0</v>
      </c>
      <c r="Z40" s="90">
        <v>0</v>
      </c>
      <c r="AA40" s="90">
        <v>0</v>
      </c>
      <c r="AB40" s="91">
        <f t="shared" si="3"/>
        <v>0</v>
      </c>
      <c r="AC40" s="91">
        <f t="shared" si="4"/>
        <v>0</v>
      </c>
      <c r="AD40" s="91">
        <f t="shared" si="5"/>
        <v>0</v>
      </c>
      <c r="AE40" s="91">
        <f t="shared" si="6"/>
        <v>0</v>
      </c>
      <c r="AF40" s="91">
        <f t="shared" si="7"/>
        <v>0</v>
      </c>
      <c r="AG40" s="91">
        <f t="shared" si="8"/>
        <v>0</v>
      </c>
      <c r="AH40" s="92">
        <v>0</v>
      </c>
      <c r="AI40" s="93">
        <v>0</v>
      </c>
      <c r="AJ40" s="93">
        <v>0</v>
      </c>
      <c r="AK40" s="93">
        <v>0</v>
      </c>
      <c r="AL40" s="94">
        <v>0</v>
      </c>
      <c r="AM40" s="94">
        <v>0</v>
      </c>
      <c r="AN40" s="94" t="s">
        <v>779</v>
      </c>
      <c r="AO40" s="111">
        <v>0</v>
      </c>
      <c r="AP40" s="112">
        <v>0</v>
      </c>
      <c r="AQ40" s="112">
        <v>0</v>
      </c>
      <c r="AR40" s="112">
        <v>0</v>
      </c>
      <c r="AS40" s="113">
        <v>0</v>
      </c>
      <c r="AT40" s="113">
        <v>0</v>
      </c>
      <c r="AU40" s="111">
        <v>0</v>
      </c>
      <c r="AV40" s="112">
        <v>0</v>
      </c>
      <c r="AW40" s="112">
        <v>0</v>
      </c>
      <c r="AX40" s="112">
        <v>0</v>
      </c>
      <c r="AY40" s="113">
        <v>0</v>
      </c>
      <c r="AZ40" s="113">
        <v>0</v>
      </c>
    </row>
    <row r="41" spans="1:52" x14ac:dyDescent="0.25">
      <c r="A41" s="101" t="s">
        <v>281</v>
      </c>
      <c r="B41" s="102" t="s">
        <v>282</v>
      </c>
      <c r="C41" s="102"/>
      <c r="D41" s="102" t="s">
        <v>1049</v>
      </c>
      <c r="E41" s="103">
        <v>17.670000000000002</v>
      </c>
      <c r="F41" s="104">
        <v>500</v>
      </c>
      <c r="G41" s="105">
        <f t="shared" si="0"/>
        <v>250</v>
      </c>
      <c r="H41" s="105">
        <v>469</v>
      </c>
      <c r="I41" s="106">
        <f t="shared" si="1"/>
        <v>0.53304904051172708</v>
      </c>
      <c r="J41" s="86">
        <v>0</v>
      </c>
      <c r="K41" s="87">
        <v>0</v>
      </c>
      <c r="L41" s="87">
        <v>50</v>
      </c>
      <c r="M41" s="87">
        <v>192</v>
      </c>
      <c r="N41" s="90"/>
      <c r="O41" s="90">
        <v>0</v>
      </c>
      <c r="P41" s="86">
        <f t="shared" si="14"/>
        <v>0</v>
      </c>
      <c r="Q41" s="87">
        <f t="shared" si="15"/>
        <v>0</v>
      </c>
      <c r="R41" s="87">
        <f t="shared" si="16"/>
        <v>883.50000000000011</v>
      </c>
      <c r="S41" s="88">
        <f t="shared" si="17"/>
        <v>3392.6400000000003</v>
      </c>
      <c r="T41" s="89">
        <f t="shared" si="18"/>
        <v>0</v>
      </c>
      <c r="U41" s="89">
        <f t="shared" si="2"/>
        <v>0</v>
      </c>
      <c r="V41" s="86">
        <v>134</v>
      </c>
      <c r="W41" s="87">
        <v>168</v>
      </c>
      <c r="X41" s="87">
        <v>138</v>
      </c>
      <c r="Y41" s="87">
        <v>147</v>
      </c>
      <c r="Z41" s="90">
        <v>106</v>
      </c>
      <c r="AA41" s="90">
        <v>196</v>
      </c>
      <c r="AB41" s="91">
        <f t="shared" si="3"/>
        <v>0.2857142857142857</v>
      </c>
      <c r="AC41" s="91">
        <f t="shared" si="4"/>
        <v>0.35820895522388058</v>
      </c>
      <c r="AD41" s="91">
        <f t="shared" si="5"/>
        <v>0.29424307036247332</v>
      </c>
      <c r="AE41" s="91">
        <f t="shared" si="6"/>
        <v>0.31343283582089554</v>
      </c>
      <c r="AF41" s="91">
        <f t="shared" si="7"/>
        <v>0.22601279317697229</v>
      </c>
      <c r="AG41" s="91">
        <f t="shared" si="8"/>
        <v>0.41791044776119401</v>
      </c>
      <c r="AH41" s="92">
        <v>626.54999999999961</v>
      </c>
      <c r="AI41" s="93">
        <v>767.83999999999969</v>
      </c>
      <c r="AJ41" s="93">
        <v>767.83999999999958</v>
      </c>
      <c r="AK41" s="93">
        <v>875.42999999999972</v>
      </c>
      <c r="AL41" s="94">
        <v>824.520000000001</v>
      </c>
      <c r="AM41" s="94">
        <v>3350</v>
      </c>
      <c r="AN41" s="94" t="s">
        <v>779</v>
      </c>
      <c r="AO41" s="111">
        <v>0</v>
      </c>
      <c r="AP41" s="112">
        <v>0</v>
      </c>
      <c r="AQ41" s="112">
        <v>3009</v>
      </c>
      <c r="AR41" s="112">
        <v>11554.56</v>
      </c>
      <c r="AS41" s="113">
        <v>0</v>
      </c>
      <c r="AT41" s="113">
        <v>0</v>
      </c>
      <c r="AU41" s="111">
        <v>11611.87000000001</v>
      </c>
      <c r="AV41" s="112">
        <v>14540.479999999972</v>
      </c>
      <c r="AW41" s="112">
        <v>11917.409999999982</v>
      </c>
      <c r="AX41" s="112">
        <v>12571.469999999899</v>
      </c>
      <c r="AY41" s="113">
        <v>8952.65</v>
      </c>
      <c r="AZ41" s="113">
        <v>16546.68</v>
      </c>
    </row>
    <row r="42" spans="1:52" x14ac:dyDescent="0.25">
      <c r="A42" s="101" t="s">
        <v>891</v>
      </c>
      <c r="B42" s="102" t="s">
        <v>145</v>
      </c>
      <c r="C42" s="102" t="s">
        <v>1063</v>
      </c>
      <c r="D42" s="102" t="s">
        <v>1048</v>
      </c>
      <c r="E42" s="103">
        <v>17.12</v>
      </c>
      <c r="F42" s="104">
        <v>1946.4</v>
      </c>
      <c r="G42" s="105">
        <f t="shared" si="0"/>
        <v>973.2</v>
      </c>
      <c r="H42" s="105">
        <v>2199</v>
      </c>
      <c r="I42" s="106">
        <f t="shared" si="1"/>
        <v>0.44256480218281041</v>
      </c>
      <c r="J42" s="86">
        <v>0</v>
      </c>
      <c r="K42" s="87">
        <v>0</v>
      </c>
      <c r="L42" s="87">
        <v>0</v>
      </c>
      <c r="M42" s="87">
        <v>0</v>
      </c>
      <c r="N42" s="90">
        <v>160</v>
      </c>
      <c r="O42" s="90">
        <v>1016</v>
      </c>
      <c r="P42" s="86">
        <f t="shared" si="14"/>
        <v>0</v>
      </c>
      <c r="Q42" s="87">
        <f t="shared" si="15"/>
        <v>0</v>
      </c>
      <c r="R42" s="87">
        <f t="shared" si="16"/>
        <v>0</v>
      </c>
      <c r="S42" s="88">
        <f t="shared" si="17"/>
        <v>0</v>
      </c>
      <c r="T42" s="89">
        <f t="shared" si="18"/>
        <v>2739.2000000000003</v>
      </c>
      <c r="U42" s="89">
        <f t="shared" si="2"/>
        <v>17393.920000000002</v>
      </c>
      <c r="V42" s="86">
        <v>587</v>
      </c>
      <c r="W42" s="87">
        <v>912</v>
      </c>
      <c r="X42" s="87">
        <v>412</v>
      </c>
      <c r="Y42" s="87">
        <v>1995</v>
      </c>
      <c r="Z42" s="90">
        <v>960</v>
      </c>
      <c r="AA42" s="90">
        <v>633</v>
      </c>
      <c r="AB42" s="91">
        <f t="shared" si="3"/>
        <v>0.26693951796271032</v>
      </c>
      <c r="AC42" s="91">
        <f t="shared" si="4"/>
        <v>0.41473396998635742</v>
      </c>
      <c r="AD42" s="91">
        <f t="shared" si="5"/>
        <v>0.18735788994997726</v>
      </c>
      <c r="AE42" s="91">
        <f t="shared" si="6"/>
        <v>0.90723055934515684</v>
      </c>
      <c r="AF42" s="91">
        <f t="shared" si="7"/>
        <v>0.43656207366984995</v>
      </c>
      <c r="AG42" s="91">
        <f t="shared" si="8"/>
        <v>0.28785811732605732</v>
      </c>
      <c r="AH42" s="92">
        <v>2676</v>
      </c>
      <c r="AI42" s="93">
        <v>1728.6599999999996</v>
      </c>
      <c r="AJ42" s="93">
        <v>1728.66</v>
      </c>
      <c r="AK42" s="93">
        <v>111.3799999999999</v>
      </c>
      <c r="AL42" s="94">
        <v>16435.2</v>
      </c>
      <c r="AM42" s="94">
        <v>6418.41</v>
      </c>
      <c r="AN42" s="94" t="s">
        <v>779</v>
      </c>
      <c r="AO42" s="111">
        <v>0</v>
      </c>
      <c r="AP42" s="112">
        <v>0</v>
      </c>
      <c r="AQ42" s="112">
        <v>0</v>
      </c>
      <c r="AR42" s="112">
        <v>0</v>
      </c>
      <c r="AS42" s="113">
        <v>803.2</v>
      </c>
      <c r="AT42" s="113">
        <v>5169.51</v>
      </c>
      <c r="AU42" s="111">
        <v>0</v>
      </c>
      <c r="AV42" s="112">
        <v>0</v>
      </c>
      <c r="AW42" s="112">
        <v>0</v>
      </c>
      <c r="AX42" s="112">
        <v>0</v>
      </c>
      <c r="AY42" s="113">
        <v>0</v>
      </c>
      <c r="AZ42" s="113">
        <v>0</v>
      </c>
    </row>
    <row r="43" spans="1:52" x14ac:dyDescent="0.25">
      <c r="A43" s="101" t="s">
        <v>892</v>
      </c>
      <c r="B43" s="102" t="s">
        <v>313</v>
      </c>
      <c r="C43" s="102"/>
      <c r="D43" s="102" t="s">
        <v>1049</v>
      </c>
      <c r="E43" s="103">
        <v>16.689999999999998</v>
      </c>
      <c r="F43" s="104">
        <v>1000</v>
      </c>
      <c r="G43" s="105">
        <f t="shared" si="0"/>
        <v>500</v>
      </c>
      <c r="H43" s="105">
        <v>2287</v>
      </c>
      <c r="I43" s="106">
        <f t="shared" si="1"/>
        <v>0.21862702229995629</v>
      </c>
      <c r="J43" s="86">
        <v>0</v>
      </c>
      <c r="K43" s="87">
        <v>0</v>
      </c>
      <c r="L43" s="87">
        <v>0</v>
      </c>
      <c r="M43" s="87">
        <v>0</v>
      </c>
      <c r="N43" s="90">
        <v>60</v>
      </c>
      <c r="O43" s="90">
        <v>161</v>
      </c>
      <c r="P43" s="86">
        <f t="shared" si="14"/>
        <v>0</v>
      </c>
      <c r="Q43" s="87">
        <f t="shared" si="15"/>
        <v>0</v>
      </c>
      <c r="R43" s="87">
        <f t="shared" si="16"/>
        <v>0</v>
      </c>
      <c r="S43" s="88">
        <f t="shared" si="17"/>
        <v>0</v>
      </c>
      <c r="T43" s="89">
        <f t="shared" si="18"/>
        <v>1001.3999999999999</v>
      </c>
      <c r="U43" s="89">
        <f t="shared" si="2"/>
        <v>2687.0899999999997</v>
      </c>
      <c r="V43" s="86">
        <v>0</v>
      </c>
      <c r="W43" s="87">
        <v>0</v>
      </c>
      <c r="X43" s="87">
        <v>0</v>
      </c>
      <c r="Y43" s="87">
        <v>0</v>
      </c>
      <c r="Z43" s="90">
        <v>0</v>
      </c>
      <c r="AA43" s="90">
        <v>0</v>
      </c>
      <c r="AB43" s="91">
        <f t="shared" si="3"/>
        <v>0</v>
      </c>
      <c r="AC43" s="91">
        <f t="shared" si="4"/>
        <v>0</v>
      </c>
      <c r="AD43" s="91">
        <f t="shared" si="5"/>
        <v>0</v>
      </c>
      <c r="AE43" s="91">
        <f t="shared" si="6"/>
        <v>0</v>
      </c>
      <c r="AF43" s="91">
        <f t="shared" si="7"/>
        <v>0</v>
      </c>
      <c r="AG43" s="91">
        <f t="shared" si="8"/>
        <v>0</v>
      </c>
      <c r="AH43" s="92">
        <v>0</v>
      </c>
      <c r="AI43" s="93">
        <v>0</v>
      </c>
      <c r="AJ43" s="93">
        <v>0</v>
      </c>
      <c r="AK43" s="93">
        <v>0</v>
      </c>
      <c r="AL43" s="94">
        <v>0</v>
      </c>
      <c r="AM43" s="94">
        <v>0</v>
      </c>
      <c r="AN43" s="94" t="s">
        <v>780</v>
      </c>
      <c r="AO43" s="111">
        <v>0</v>
      </c>
      <c r="AP43" s="112">
        <v>0</v>
      </c>
      <c r="AQ43" s="112">
        <v>0</v>
      </c>
      <c r="AR43" s="112">
        <v>0</v>
      </c>
      <c r="AS43" s="113">
        <v>4194.6000000000004</v>
      </c>
      <c r="AT43" s="113">
        <v>11265.98</v>
      </c>
      <c r="AU43" s="111">
        <v>0</v>
      </c>
      <c r="AV43" s="112">
        <v>0</v>
      </c>
      <c r="AW43" s="112">
        <v>0</v>
      </c>
      <c r="AX43" s="112">
        <v>0</v>
      </c>
      <c r="AY43" s="113">
        <v>0</v>
      </c>
      <c r="AZ43" s="113">
        <v>0</v>
      </c>
    </row>
    <row r="44" spans="1:52" x14ac:dyDescent="0.25">
      <c r="A44" s="101" t="s">
        <v>804</v>
      </c>
      <c r="B44" s="102" t="s">
        <v>847</v>
      </c>
      <c r="C44" s="102"/>
      <c r="D44" s="102" t="s">
        <v>1048</v>
      </c>
      <c r="E44" s="103">
        <v>15.938361916026018</v>
      </c>
      <c r="F44" s="104">
        <v>50</v>
      </c>
      <c r="G44" s="105">
        <f t="shared" si="0"/>
        <v>25</v>
      </c>
      <c r="H44" s="105">
        <v>14</v>
      </c>
      <c r="I44" s="106">
        <f t="shared" si="1"/>
        <v>1.7857142857142858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90">
        <v>90</v>
      </c>
      <c r="P44" s="86"/>
      <c r="Q44" s="87"/>
      <c r="R44" s="87"/>
      <c r="S44" s="88"/>
      <c r="T44" s="89"/>
      <c r="U44" s="89">
        <f t="shared" si="2"/>
        <v>1434.4525724423415</v>
      </c>
      <c r="V44" s="86"/>
      <c r="W44" s="87"/>
      <c r="X44" s="87"/>
      <c r="Y44" s="87"/>
      <c r="Z44" s="90"/>
      <c r="AA44" s="90"/>
      <c r="AB44" s="91">
        <f t="shared" si="3"/>
        <v>0</v>
      </c>
      <c r="AC44" s="91">
        <f t="shared" si="4"/>
        <v>0</v>
      </c>
      <c r="AD44" s="91">
        <f t="shared" si="5"/>
        <v>0</v>
      </c>
      <c r="AE44" s="91">
        <f t="shared" si="6"/>
        <v>0</v>
      </c>
      <c r="AF44" s="91">
        <f t="shared" si="7"/>
        <v>0</v>
      </c>
      <c r="AG44" s="91">
        <f t="shared" si="8"/>
        <v>0</v>
      </c>
      <c r="AH44" s="92"/>
      <c r="AI44" s="93"/>
      <c r="AJ44" s="93"/>
      <c r="AK44" s="93"/>
      <c r="AL44" s="94"/>
      <c r="AM44" s="94"/>
      <c r="AN44" s="94" t="s">
        <v>779</v>
      </c>
      <c r="AO44" s="111">
        <v>0</v>
      </c>
      <c r="AP44" s="112">
        <v>0</v>
      </c>
      <c r="AQ44" s="112">
        <v>0</v>
      </c>
      <c r="AR44" s="112">
        <v>0</v>
      </c>
      <c r="AS44" s="113">
        <v>0</v>
      </c>
      <c r="AT44" s="113">
        <v>1017</v>
      </c>
      <c r="AU44" s="111">
        <v>437.12</v>
      </c>
      <c r="AV44" s="112">
        <v>1030.9000000000001</v>
      </c>
      <c r="AW44" s="112">
        <v>436.25</v>
      </c>
      <c r="AX44" s="112">
        <v>380.07</v>
      </c>
      <c r="AY44" s="113">
        <v>883.29</v>
      </c>
      <c r="AZ44" s="113">
        <v>839.81999999999903</v>
      </c>
    </row>
    <row r="45" spans="1:52" x14ac:dyDescent="0.25">
      <c r="A45" s="101" t="s">
        <v>226</v>
      </c>
      <c r="B45" s="102" t="s">
        <v>227</v>
      </c>
      <c r="C45" s="102"/>
      <c r="D45" s="102" t="s">
        <v>1048</v>
      </c>
      <c r="E45" s="103">
        <v>14.07</v>
      </c>
      <c r="F45" s="104">
        <v>1000</v>
      </c>
      <c r="G45" s="105">
        <f t="shared" si="0"/>
        <v>500</v>
      </c>
      <c r="H45" s="105">
        <v>1313</v>
      </c>
      <c r="I45" s="106">
        <f t="shared" si="1"/>
        <v>0.38080731150038083</v>
      </c>
      <c r="J45" s="86">
        <v>183</v>
      </c>
      <c r="K45" s="87">
        <v>564</v>
      </c>
      <c r="L45" s="87">
        <v>397</v>
      </c>
      <c r="M45" s="87">
        <v>243</v>
      </c>
      <c r="N45" s="90">
        <v>53</v>
      </c>
      <c r="O45" s="90">
        <v>127</v>
      </c>
      <c r="P45" s="86">
        <f>+J45*E45</f>
        <v>2574.81</v>
      </c>
      <c r="Q45" s="87">
        <f>+K45*E45</f>
        <v>7935.4800000000005</v>
      </c>
      <c r="R45" s="87">
        <f>+L45*E45</f>
        <v>5585.79</v>
      </c>
      <c r="S45" s="88">
        <f>+M45*E45</f>
        <v>3419.01</v>
      </c>
      <c r="T45" s="89">
        <f>+N45*E45</f>
        <v>745.71</v>
      </c>
      <c r="U45" s="89">
        <f t="shared" si="2"/>
        <v>1786.89</v>
      </c>
      <c r="V45" s="86">
        <v>172</v>
      </c>
      <c r="W45" s="87">
        <v>506</v>
      </c>
      <c r="X45" s="87">
        <v>487</v>
      </c>
      <c r="Y45" s="87">
        <v>249</v>
      </c>
      <c r="Z45" s="90">
        <v>608</v>
      </c>
      <c r="AA45" s="90">
        <v>168</v>
      </c>
      <c r="AB45" s="91">
        <f t="shared" si="3"/>
        <v>0.13099771515613101</v>
      </c>
      <c r="AC45" s="91">
        <f t="shared" si="4"/>
        <v>0.38537699923838536</v>
      </c>
      <c r="AD45" s="91">
        <f t="shared" si="5"/>
        <v>0.37090632140137092</v>
      </c>
      <c r="AE45" s="91">
        <f t="shared" si="6"/>
        <v>0.18964204112718963</v>
      </c>
      <c r="AF45" s="91">
        <f t="shared" si="7"/>
        <v>0.46306169078446308</v>
      </c>
      <c r="AG45" s="91">
        <f t="shared" si="8"/>
        <v>0.12795125666412796</v>
      </c>
      <c r="AH45" s="92">
        <v>1868.82</v>
      </c>
      <c r="AI45" s="93">
        <v>4865.3199999999961</v>
      </c>
      <c r="AJ45" s="93">
        <v>4865.3199999999952</v>
      </c>
      <c r="AK45" s="93">
        <v>4468.5599999999886</v>
      </c>
      <c r="AL45" s="94">
        <v>2282.35</v>
      </c>
      <c r="AM45" s="94">
        <v>2377.31</v>
      </c>
      <c r="AN45" s="94" t="s">
        <v>779</v>
      </c>
      <c r="AO45" s="111">
        <v>8301.66</v>
      </c>
      <c r="AP45" s="112">
        <v>26103.71</v>
      </c>
      <c r="AQ45" s="112">
        <v>17782.46</v>
      </c>
      <c r="AR45" s="112">
        <v>9450.7999999999993</v>
      </c>
      <c r="AS45" s="113">
        <v>2110.46</v>
      </c>
      <c r="AT45" s="113">
        <v>5062.0200000000004</v>
      </c>
      <c r="AU45" s="111">
        <v>9484.82</v>
      </c>
      <c r="AV45" s="112">
        <v>27975.66</v>
      </c>
      <c r="AW45" s="112">
        <v>26766.669999999991</v>
      </c>
      <c r="AX45" s="112">
        <v>13608.55</v>
      </c>
      <c r="AY45" s="113">
        <v>32799.979999999901</v>
      </c>
      <c r="AZ45" s="113">
        <v>8830.8699999999899</v>
      </c>
    </row>
    <row r="46" spans="1:52" x14ac:dyDescent="0.25">
      <c r="A46" s="101" t="s">
        <v>90</v>
      </c>
      <c r="B46" s="102" t="s">
        <v>91</v>
      </c>
      <c r="C46" s="102"/>
      <c r="D46" s="102" t="s">
        <v>1048</v>
      </c>
      <c r="E46" s="103">
        <v>14.02</v>
      </c>
      <c r="F46" s="104">
        <v>120</v>
      </c>
      <c r="G46" s="105">
        <f t="shared" si="0"/>
        <v>60</v>
      </c>
      <c r="H46" s="105">
        <v>27</v>
      </c>
      <c r="I46" s="106">
        <f t="shared" si="1"/>
        <v>2.2222222222222223</v>
      </c>
      <c r="J46" s="86">
        <v>0</v>
      </c>
      <c r="K46" s="87">
        <v>0</v>
      </c>
      <c r="L46" s="87">
        <v>100</v>
      </c>
      <c r="M46" s="87">
        <v>95</v>
      </c>
      <c r="N46" s="90"/>
      <c r="O46" s="90">
        <v>0</v>
      </c>
      <c r="P46" s="86">
        <f>+J46*E46</f>
        <v>0</v>
      </c>
      <c r="Q46" s="87">
        <f>+K46*E46</f>
        <v>0</v>
      </c>
      <c r="R46" s="87">
        <f>+L46*E46</f>
        <v>1402</v>
      </c>
      <c r="S46" s="88">
        <f>+M46*E46</f>
        <v>1331.8999999999999</v>
      </c>
      <c r="T46" s="89">
        <f>+N46*E46</f>
        <v>0</v>
      </c>
      <c r="U46" s="89">
        <f t="shared" si="2"/>
        <v>0</v>
      </c>
      <c r="V46" s="86">
        <v>9</v>
      </c>
      <c r="W46" s="87">
        <v>11</v>
      </c>
      <c r="X46" s="87">
        <v>3</v>
      </c>
      <c r="Y46" s="87">
        <v>3</v>
      </c>
      <c r="Z46" s="90">
        <v>9</v>
      </c>
      <c r="AA46" s="90">
        <v>30</v>
      </c>
      <c r="AB46" s="91">
        <f t="shared" si="3"/>
        <v>0.33333333333333331</v>
      </c>
      <c r="AC46" s="91">
        <f t="shared" si="4"/>
        <v>0.40740740740740738</v>
      </c>
      <c r="AD46" s="91">
        <f t="shared" si="5"/>
        <v>0.1111111111111111</v>
      </c>
      <c r="AE46" s="91">
        <f t="shared" si="6"/>
        <v>0.1111111111111111</v>
      </c>
      <c r="AF46" s="91">
        <f t="shared" si="7"/>
        <v>0.33333333333333331</v>
      </c>
      <c r="AG46" s="91">
        <f t="shared" si="8"/>
        <v>1.1111111111111112</v>
      </c>
      <c r="AH46" s="92">
        <v>122.14</v>
      </c>
      <c r="AI46" s="93">
        <v>117.83</v>
      </c>
      <c r="AJ46" s="93">
        <v>117.82999999999998</v>
      </c>
      <c r="AK46" s="93">
        <v>55.8</v>
      </c>
      <c r="AL46" s="94">
        <v>32.659999999999997</v>
      </c>
      <c r="AM46" s="94">
        <v>325.33999999999997</v>
      </c>
      <c r="AN46" s="94" t="s">
        <v>779</v>
      </c>
      <c r="AO46" s="111">
        <v>0</v>
      </c>
      <c r="AP46" s="112">
        <v>0</v>
      </c>
      <c r="AQ46" s="112">
        <v>1687</v>
      </c>
      <c r="AR46" s="112">
        <v>1608.35</v>
      </c>
      <c r="AS46" s="113">
        <v>0</v>
      </c>
      <c r="AT46" s="113">
        <v>0</v>
      </c>
      <c r="AU46" s="111">
        <v>305.38</v>
      </c>
      <c r="AV46" s="112">
        <v>324.63</v>
      </c>
      <c r="AW46" s="112">
        <v>108.3</v>
      </c>
      <c r="AX46" s="112">
        <v>83.66</v>
      </c>
      <c r="AY46" s="113">
        <v>261.94</v>
      </c>
      <c r="AZ46" s="113">
        <v>831.43999999999903</v>
      </c>
    </row>
    <row r="47" spans="1:52" x14ac:dyDescent="0.25">
      <c r="A47" s="101" t="s">
        <v>304</v>
      </c>
      <c r="B47" s="102" t="s">
        <v>305</v>
      </c>
      <c r="C47" s="102"/>
      <c r="D47" s="102" t="s">
        <v>1048</v>
      </c>
      <c r="E47" s="103">
        <v>13.899999999999999</v>
      </c>
      <c r="F47" s="104">
        <v>600</v>
      </c>
      <c r="G47" s="105">
        <f t="shared" si="0"/>
        <v>300</v>
      </c>
      <c r="H47" s="105">
        <v>1585</v>
      </c>
      <c r="I47" s="106">
        <f t="shared" si="1"/>
        <v>0.1892744479495268</v>
      </c>
      <c r="J47" s="86">
        <v>0</v>
      </c>
      <c r="K47" s="87">
        <v>50</v>
      </c>
      <c r="L47" s="87">
        <v>123</v>
      </c>
      <c r="M47" s="87">
        <v>149</v>
      </c>
      <c r="N47" s="90"/>
      <c r="O47" s="90">
        <v>400</v>
      </c>
      <c r="P47" s="86">
        <f>+J47*E47</f>
        <v>0</v>
      </c>
      <c r="Q47" s="87">
        <f>+K47*E47</f>
        <v>694.99999999999989</v>
      </c>
      <c r="R47" s="87">
        <f>+L47*E47</f>
        <v>1709.6999999999998</v>
      </c>
      <c r="S47" s="88">
        <f>+M47*E47</f>
        <v>2071.1</v>
      </c>
      <c r="T47" s="89">
        <f>+N47*E47</f>
        <v>0</v>
      </c>
      <c r="U47" s="89">
        <f t="shared" si="2"/>
        <v>5559.9999999999991</v>
      </c>
      <c r="V47" s="86">
        <v>172</v>
      </c>
      <c r="W47" s="87">
        <v>191</v>
      </c>
      <c r="X47" s="87">
        <v>14</v>
      </c>
      <c r="Y47" s="87">
        <v>137</v>
      </c>
      <c r="Z47" s="90">
        <v>12</v>
      </c>
      <c r="AA47" s="90">
        <v>49</v>
      </c>
      <c r="AB47" s="91">
        <f t="shared" si="3"/>
        <v>0.1085173501577287</v>
      </c>
      <c r="AC47" s="91">
        <f t="shared" si="4"/>
        <v>0.12050473186119874</v>
      </c>
      <c r="AD47" s="91">
        <f t="shared" si="5"/>
        <v>8.8328075709779175E-3</v>
      </c>
      <c r="AE47" s="91">
        <f t="shared" si="6"/>
        <v>8.6435331230283907E-2</v>
      </c>
      <c r="AF47" s="91">
        <f t="shared" si="7"/>
        <v>7.5709779179810727E-3</v>
      </c>
      <c r="AG47" s="91">
        <f t="shared" si="8"/>
        <v>3.0914826498422712E-2</v>
      </c>
      <c r="AH47" s="92">
        <v>1779.1</v>
      </c>
      <c r="AI47" s="93">
        <v>2145.449999999998</v>
      </c>
      <c r="AJ47" s="93">
        <v>2145.4499999999985</v>
      </c>
      <c r="AK47" s="93">
        <v>199.95000000000002</v>
      </c>
      <c r="AL47" s="94">
        <v>1751.26</v>
      </c>
      <c r="AM47" s="94">
        <v>695.979999999999</v>
      </c>
      <c r="AN47" s="94" t="s">
        <v>779</v>
      </c>
      <c r="AO47" s="111">
        <v>0</v>
      </c>
      <c r="AP47" s="112">
        <v>3141.5</v>
      </c>
      <c r="AQ47" s="112">
        <v>7722.38</v>
      </c>
      <c r="AR47" s="112">
        <v>8757.02</v>
      </c>
      <c r="AS47" s="113">
        <v>0</v>
      </c>
      <c r="AT47" s="113">
        <v>23108.5</v>
      </c>
      <c r="AU47" s="111">
        <v>13254.29</v>
      </c>
      <c r="AV47" s="112">
        <v>14623.479999999985</v>
      </c>
      <c r="AW47" s="112">
        <v>1079.6999999999998</v>
      </c>
      <c r="AX47" s="112">
        <v>10383.629999999899</v>
      </c>
      <c r="AY47" s="113">
        <v>881.29</v>
      </c>
      <c r="AZ47" s="113">
        <v>3571.2999999999902</v>
      </c>
    </row>
    <row r="48" spans="1:52" x14ac:dyDescent="0.25">
      <c r="A48" s="101" t="s">
        <v>893</v>
      </c>
      <c r="B48" s="102" t="s">
        <v>829</v>
      </c>
      <c r="C48" s="102"/>
      <c r="D48" s="102" t="s">
        <v>1049</v>
      </c>
      <c r="E48" s="103">
        <v>13.603611971104232</v>
      </c>
      <c r="F48" s="104">
        <v>500</v>
      </c>
      <c r="G48" s="105">
        <f t="shared" si="0"/>
        <v>250</v>
      </c>
      <c r="H48" s="105">
        <v>1202</v>
      </c>
      <c r="I48" s="106">
        <f t="shared" si="1"/>
        <v>0.20798668885191349</v>
      </c>
      <c r="J48" s="86">
        <v>0</v>
      </c>
      <c r="K48" s="86">
        <v>0</v>
      </c>
      <c r="L48" s="86">
        <v>0</v>
      </c>
      <c r="M48" s="86">
        <v>0</v>
      </c>
      <c r="N48" s="86">
        <v>0</v>
      </c>
      <c r="O48" s="90">
        <v>235</v>
      </c>
      <c r="P48" s="86"/>
      <c r="Q48" s="87"/>
      <c r="R48" s="87"/>
      <c r="S48" s="88"/>
      <c r="T48" s="89"/>
      <c r="U48" s="89">
        <f t="shared" si="2"/>
        <v>3196.8488132094944</v>
      </c>
      <c r="V48" s="86"/>
      <c r="W48" s="87"/>
      <c r="X48" s="87"/>
      <c r="Y48" s="87"/>
      <c r="Z48" s="90"/>
      <c r="AA48" s="90"/>
      <c r="AB48" s="91">
        <f t="shared" si="3"/>
        <v>0</v>
      </c>
      <c r="AC48" s="91">
        <f t="shared" si="4"/>
        <v>0</v>
      </c>
      <c r="AD48" s="91">
        <f t="shared" si="5"/>
        <v>0</v>
      </c>
      <c r="AE48" s="91">
        <f t="shared" si="6"/>
        <v>0</v>
      </c>
      <c r="AF48" s="91">
        <f t="shared" si="7"/>
        <v>0</v>
      </c>
      <c r="AG48" s="91">
        <f t="shared" si="8"/>
        <v>0</v>
      </c>
      <c r="AH48" s="92"/>
      <c r="AI48" s="93"/>
      <c r="AJ48" s="93"/>
      <c r="AK48" s="93"/>
      <c r="AL48" s="94"/>
      <c r="AM48" s="94"/>
      <c r="AN48" s="94" t="s">
        <v>779</v>
      </c>
      <c r="AO48" s="111">
        <v>0</v>
      </c>
      <c r="AP48" s="112">
        <v>0</v>
      </c>
      <c r="AQ48" s="112">
        <v>0</v>
      </c>
      <c r="AR48" s="112">
        <v>0</v>
      </c>
      <c r="AS48" s="113">
        <v>0</v>
      </c>
      <c r="AT48" s="113">
        <v>3211.36</v>
      </c>
      <c r="AU48" s="111">
        <v>0</v>
      </c>
      <c r="AV48" s="112">
        <v>0</v>
      </c>
      <c r="AW48" s="112">
        <v>0</v>
      </c>
      <c r="AX48" s="112">
        <v>0</v>
      </c>
      <c r="AY48" s="113">
        <v>0</v>
      </c>
      <c r="AZ48" s="113">
        <v>0</v>
      </c>
    </row>
    <row r="49" spans="1:52" x14ac:dyDescent="0.25">
      <c r="A49" s="101" t="s">
        <v>894</v>
      </c>
      <c r="B49" s="102" t="s">
        <v>9</v>
      </c>
      <c r="C49" s="102"/>
      <c r="D49" s="102" t="s">
        <v>1048</v>
      </c>
      <c r="E49" s="103">
        <v>13.29</v>
      </c>
      <c r="F49" s="104">
        <v>500</v>
      </c>
      <c r="G49" s="105">
        <f t="shared" si="0"/>
        <v>250</v>
      </c>
      <c r="H49" s="105">
        <v>704</v>
      </c>
      <c r="I49" s="106">
        <f t="shared" si="1"/>
        <v>0.35511363636363635</v>
      </c>
      <c r="J49" s="86">
        <v>0</v>
      </c>
      <c r="K49" s="87">
        <v>0</v>
      </c>
      <c r="L49" s="87">
        <v>0</v>
      </c>
      <c r="M49" s="87">
        <v>0</v>
      </c>
      <c r="N49" s="90">
        <v>500</v>
      </c>
      <c r="O49" s="90">
        <v>0</v>
      </c>
      <c r="P49" s="86">
        <f t="shared" ref="P49:P69" si="19">+J49*E49</f>
        <v>0</v>
      </c>
      <c r="Q49" s="87">
        <f t="shared" ref="Q49:Q69" si="20">+K49*E49</f>
        <v>0</v>
      </c>
      <c r="R49" s="87">
        <f t="shared" ref="R49:R69" si="21">+L49*E49</f>
        <v>0</v>
      </c>
      <c r="S49" s="88">
        <f t="shared" ref="S49:S69" si="22">+M49*E49</f>
        <v>0</v>
      </c>
      <c r="T49" s="89">
        <f t="shared" ref="T49:T69" si="23">+N49*E49</f>
        <v>6645</v>
      </c>
      <c r="U49" s="89">
        <f t="shared" si="2"/>
        <v>0</v>
      </c>
      <c r="V49" s="86">
        <v>113</v>
      </c>
      <c r="W49" s="87">
        <v>18</v>
      </c>
      <c r="X49" s="87">
        <v>105</v>
      </c>
      <c r="Y49" s="87">
        <v>77</v>
      </c>
      <c r="Z49" s="90">
        <v>0</v>
      </c>
      <c r="AA49" s="90">
        <v>108</v>
      </c>
      <c r="AB49" s="91">
        <f t="shared" si="3"/>
        <v>0.16051136363636365</v>
      </c>
      <c r="AC49" s="91">
        <f t="shared" si="4"/>
        <v>2.556818181818182E-2</v>
      </c>
      <c r="AD49" s="91">
        <f t="shared" si="5"/>
        <v>0.14914772727272727</v>
      </c>
      <c r="AE49" s="91">
        <f t="shared" si="6"/>
        <v>0.109375</v>
      </c>
      <c r="AF49" s="91">
        <f t="shared" si="7"/>
        <v>0</v>
      </c>
      <c r="AG49" s="91">
        <f t="shared" si="8"/>
        <v>0.15340909090909091</v>
      </c>
      <c r="AH49" s="92">
        <v>299.48</v>
      </c>
      <c r="AI49" s="93">
        <v>140.30999999999989</v>
      </c>
      <c r="AJ49" s="93">
        <v>140.30999999999989</v>
      </c>
      <c r="AK49" s="93">
        <v>1182.1099999999999</v>
      </c>
      <c r="AL49" s="94">
        <v>372.1</v>
      </c>
      <c r="AM49" s="94">
        <v>1393.45999999999</v>
      </c>
      <c r="AN49" s="94" t="s">
        <v>779</v>
      </c>
      <c r="AO49" s="111">
        <v>0</v>
      </c>
      <c r="AP49" s="112">
        <v>0</v>
      </c>
      <c r="AQ49" s="112">
        <v>0</v>
      </c>
      <c r="AR49" s="112">
        <v>0</v>
      </c>
      <c r="AS49" s="113">
        <v>1190</v>
      </c>
      <c r="AT49" s="113">
        <v>0</v>
      </c>
      <c r="AU49" s="111">
        <v>0</v>
      </c>
      <c r="AV49" s="112">
        <v>0</v>
      </c>
      <c r="AW49" s="112">
        <v>0</v>
      </c>
      <c r="AX49" s="112">
        <v>0</v>
      </c>
      <c r="AY49" s="113">
        <v>0</v>
      </c>
      <c r="AZ49" s="113">
        <v>0</v>
      </c>
    </row>
    <row r="50" spans="1:52" x14ac:dyDescent="0.25">
      <c r="A50" s="101" t="s">
        <v>895</v>
      </c>
      <c r="B50" s="102" t="s">
        <v>519</v>
      </c>
      <c r="C50" s="102"/>
      <c r="D50" s="102" t="s">
        <v>1049</v>
      </c>
      <c r="E50" s="103">
        <v>12.759999999999991</v>
      </c>
      <c r="F50" s="104">
        <v>400</v>
      </c>
      <c r="G50" s="105">
        <f t="shared" si="0"/>
        <v>200</v>
      </c>
      <c r="H50" s="105">
        <v>265</v>
      </c>
      <c r="I50" s="106">
        <f t="shared" si="1"/>
        <v>0.75471698113207553</v>
      </c>
      <c r="J50" s="86">
        <v>0</v>
      </c>
      <c r="K50" s="87">
        <v>0</v>
      </c>
      <c r="L50" s="87">
        <v>0</v>
      </c>
      <c r="M50" s="87">
        <v>0</v>
      </c>
      <c r="N50" s="90">
        <v>11</v>
      </c>
      <c r="O50" s="90">
        <v>0</v>
      </c>
      <c r="P50" s="86">
        <f t="shared" si="19"/>
        <v>0</v>
      </c>
      <c r="Q50" s="87">
        <f t="shared" si="20"/>
        <v>0</v>
      </c>
      <c r="R50" s="87">
        <f t="shared" si="21"/>
        <v>0</v>
      </c>
      <c r="S50" s="88">
        <f t="shared" si="22"/>
        <v>0</v>
      </c>
      <c r="T50" s="89">
        <f t="shared" si="23"/>
        <v>140.3599999999999</v>
      </c>
      <c r="U50" s="89">
        <f t="shared" si="2"/>
        <v>0</v>
      </c>
      <c r="V50" s="86">
        <v>62</v>
      </c>
      <c r="W50" s="87">
        <v>107</v>
      </c>
      <c r="X50" s="87">
        <v>-4</v>
      </c>
      <c r="Y50" s="87">
        <v>-5</v>
      </c>
      <c r="Z50" s="90">
        <v>20</v>
      </c>
      <c r="AA50" s="90">
        <v>0</v>
      </c>
      <c r="AB50" s="91">
        <f t="shared" si="3"/>
        <v>0.2339622641509434</v>
      </c>
      <c r="AC50" s="91">
        <f t="shared" si="4"/>
        <v>0.4037735849056604</v>
      </c>
      <c r="AD50" s="91">
        <f t="shared" si="5"/>
        <v>-1.509433962264151E-2</v>
      </c>
      <c r="AE50" s="91">
        <f t="shared" si="6"/>
        <v>-1.8867924528301886E-2</v>
      </c>
      <c r="AF50" s="91">
        <f t="shared" si="7"/>
        <v>7.5471698113207544E-2</v>
      </c>
      <c r="AG50" s="91">
        <f t="shared" si="8"/>
        <v>0</v>
      </c>
      <c r="AH50" s="92">
        <v>375.09</v>
      </c>
      <c r="AI50" s="93">
        <v>328.99999999999994</v>
      </c>
      <c r="AJ50" s="93">
        <v>328.99999999999994</v>
      </c>
      <c r="AK50" s="93">
        <v>0</v>
      </c>
      <c r="AL50" s="94">
        <v>255.19999999999982</v>
      </c>
      <c r="AM50" s="94">
        <v>0</v>
      </c>
      <c r="AN50" s="94" t="s">
        <v>780</v>
      </c>
      <c r="AO50" s="111">
        <v>0</v>
      </c>
      <c r="AP50" s="112">
        <v>0</v>
      </c>
      <c r="AQ50" s="112">
        <v>0</v>
      </c>
      <c r="AR50" s="112">
        <v>0</v>
      </c>
      <c r="AS50" s="113">
        <v>181.72</v>
      </c>
      <c r="AT50" s="113">
        <v>0</v>
      </c>
      <c r="AU50" s="111">
        <v>0</v>
      </c>
      <c r="AV50" s="112">
        <v>0</v>
      </c>
      <c r="AW50" s="112">
        <v>0</v>
      </c>
      <c r="AX50" s="112">
        <v>0</v>
      </c>
      <c r="AY50" s="113">
        <v>0</v>
      </c>
      <c r="AZ50" s="113">
        <v>0</v>
      </c>
    </row>
    <row r="51" spans="1:52" x14ac:dyDescent="0.25">
      <c r="A51" s="101" t="s">
        <v>142</v>
      </c>
      <c r="B51" s="102" t="s">
        <v>143</v>
      </c>
      <c r="C51" s="102" t="s">
        <v>1063</v>
      </c>
      <c r="D51" s="102" t="s">
        <v>1048</v>
      </c>
      <c r="E51" s="103">
        <v>12.7</v>
      </c>
      <c r="F51" s="104">
        <v>1000</v>
      </c>
      <c r="G51" s="105">
        <f t="shared" si="0"/>
        <v>500</v>
      </c>
      <c r="H51" s="105">
        <v>1449</v>
      </c>
      <c r="I51" s="106">
        <f t="shared" si="1"/>
        <v>0.34506556245686681</v>
      </c>
      <c r="J51" s="86">
        <v>1699.1999999999998</v>
      </c>
      <c r="K51" s="87">
        <v>1620</v>
      </c>
      <c r="L51" s="87">
        <v>1022.8</v>
      </c>
      <c r="M51" s="87">
        <v>1000</v>
      </c>
      <c r="N51" s="90">
        <v>2000</v>
      </c>
      <c r="O51" s="90">
        <v>4000</v>
      </c>
      <c r="P51" s="86">
        <f t="shared" si="19"/>
        <v>21579.839999999997</v>
      </c>
      <c r="Q51" s="87">
        <f t="shared" si="20"/>
        <v>20574</v>
      </c>
      <c r="R51" s="87">
        <f t="shared" si="21"/>
        <v>12989.56</v>
      </c>
      <c r="S51" s="88">
        <f t="shared" si="22"/>
        <v>12700</v>
      </c>
      <c r="T51" s="89">
        <f t="shared" si="23"/>
        <v>25400</v>
      </c>
      <c r="U51" s="89">
        <f t="shared" si="2"/>
        <v>50800</v>
      </c>
      <c r="V51" s="86">
        <v>90</v>
      </c>
      <c r="W51" s="87">
        <v>49</v>
      </c>
      <c r="X51" s="87">
        <v>0</v>
      </c>
      <c r="Y51" s="87">
        <v>399</v>
      </c>
      <c r="Z51" s="90">
        <v>297</v>
      </c>
      <c r="AA51" s="90">
        <v>712</v>
      </c>
      <c r="AB51" s="91">
        <f t="shared" si="3"/>
        <v>6.2111801242236024E-2</v>
      </c>
      <c r="AC51" s="91">
        <f t="shared" si="4"/>
        <v>3.3816425120772944E-2</v>
      </c>
      <c r="AD51" s="91">
        <f t="shared" si="5"/>
        <v>0</v>
      </c>
      <c r="AE51" s="91">
        <f t="shared" si="6"/>
        <v>0.27536231884057971</v>
      </c>
      <c r="AF51" s="91">
        <f t="shared" si="7"/>
        <v>0.20496894409937888</v>
      </c>
      <c r="AG51" s="91">
        <f t="shared" si="8"/>
        <v>0.49137336093857831</v>
      </c>
      <c r="AH51" s="92">
        <v>715.62999999999988</v>
      </c>
      <c r="AI51" s="93">
        <v>372.71</v>
      </c>
      <c r="AJ51" s="93">
        <v>372.71</v>
      </c>
      <c r="AK51" s="93">
        <v>5067.2999999999993</v>
      </c>
      <c r="AL51" s="94">
        <v>2399.1999999999998</v>
      </c>
      <c r="AM51" s="94">
        <v>5935.84</v>
      </c>
      <c r="AN51" s="94" t="s">
        <v>779</v>
      </c>
      <c r="AO51" s="111">
        <v>0</v>
      </c>
      <c r="AP51" s="112">
        <v>0</v>
      </c>
      <c r="AQ51" s="112">
        <v>0</v>
      </c>
      <c r="AR51" s="112">
        <v>0</v>
      </c>
      <c r="AS51" s="113">
        <v>0</v>
      </c>
      <c r="AT51" s="113">
        <v>0</v>
      </c>
      <c r="AU51" s="111">
        <v>3376.03</v>
      </c>
      <c r="AV51" s="112">
        <v>1821.15</v>
      </c>
      <c r="AW51" s="112">
        <v>0</v>
      </c>
      <c r="AX51" s="112">
        <v>12852.82</v>
      </c>
      <c r="AY51" s="113">
        <v>9284.0499999999902</v>
      </c>
      <c r="AZ51" s="113">
        <v>22018.929999999898</v>
      </c>
    </row>
    <row r="52" spans="1:52" x14ac:dyDescent="0.25">
      <c r="A52" s="101" t="s">
        <v>5</v>
      </c>
      <c r="B52" s="102" t="s">
        <v>6</v>
      </c>
      <c r="C52" s="102"/>
      <c r="D52" s="102" t="s">
        <v>1048</v>
      </c>
      <c r="E52" s="103">
        <v>12.020000000000001</v>
      </c>
      <c r="F52" s="104">
        <v>2000</v>
      </c>
      <c r="G52" s="105">
        <f t="shared" si="0"/>
        <v>1000</v>
      </c>
      <c r="H52" s="105">
        <v>8803</v>
      </c>
      <c r="I52" s="106">
        <f t="shared" si="1"/>
        <v>0.11359763716914688</v>
      </c>
      <c r="J52" s="86">
        <v>0</v>
      </c>
      <c r="K52" s="87">
        <v>2778.7878787878785</v>
      </c>
      <c r="L52" s="87">
        <v>2906.060606060606</v>
      </c>
      <c r="M52" s="87">
        <v>3960.6060606060601</v>
      </c>
      <c r="N52" s="90">
        <v>4057.5757575757575</v>
      </c>
      <c r="O52" s="90">
        <v>750</v>
      </c>
      <c r="P52" s="86">
        <f t="shared" si="19"/>
        <v>0</v>
      </c>
      <c r="Q52" s="87">
        <f t="shared" si="20"/>
        <v>33401.030303030304</v>
      </c>
      <c r="R52" s="87">
        <f t="shared" si="21"/>
        <v>34930.848484848488</v>
      </c>
      <c r="S52" s="88">
        <f t="shared" si="22"/>
        <v>47606.484848484848</v>
      </c>
      <c r="T52" s="89">
        <f t="shared" si="23"/>
        <v>48772.060606060608</v>
      </c>
      <c r="U52" s="89">
        <f t="shared" si="2"/>
        <v>9015.0000000000018</v>
      </c>
      <c r="V52" s="86">
        <v>0</v>
      </c>
      <c r="W52" s="87">
        <v>0</v>
      </c>
      <c r="X52" s="87">
        <v>0</v>
      </c>
      <c r="Y52" s="87">
        <v>0</v>
      </c>
      <c r="Z52" s="90">
        <v>0</v>
      </c>
      <c r="AA52" s="90">
        <v>0</v>
      </c>
      <c r="AB52" s="91">
        <f t="shared" si="3"/>
        <v>0</v>
      </c>
      <c r="AC52" s="91">
        <f t="shared" si="4"/>
        <v>0</v>
      </c>
      <c r="AD52" s="91">
        <f t="shared" si="5"/>
        <v>0</v>
      </c>
      <c r="AE52" s="91">
        <f t="shared" si="6"/>
        <v>0</v>
      </c>
      <c r="AF52" s="91">
        <f t="shared" si="7"/>
        <v>0</v>
      </c>
      <c r="AG52" s="91">
        <f t="shared" si="8"/>
        <v>0</v>
      </c>
      <c r="AH52" s="92">
        <v>0</v>
      </c>
      <c r="AI52" s="93">
        <v>0</v>
      </c>
      <c r="AJ52" s="93">
        <v>0</v>
      </c>
      <c r="AK52" s="93">
        <v>0</v>
      </c>
      <c r="AL52" s="94">
        <v>0</v>
      </c>
      <c r="AM52" s="94">
        <v>0</v>
      </c>
      <c r="AN52" s="94" t="s">
        <v>779</v>
      </c>
      <c r="AO52" s="111">
        <v>1262.56</v>
      </c>
      <c r="AP52" s="112">
        <v>4259.8</v>
      </c>
      <c r="AQ52" s="112">
        <v>4614.0499999999993</v>
      </c>
      <c r="AR52" s="112">
        <v>6252.79</v>
      </c>
      <c r="AS52" s="113">
        <v>6440.4500000000007</v>
      </c>
      <c r="AT52" s="113">
        <v>3624.1400000000003</v>
      </c>
      <c r="AU52" s="111">
        <v>0</v>
      </c>
      <c r="AV52" s="112">
        <v>0</v>
      </c>
      <c r="AW52" s="112">
        <v>0</v>
      </c>
      <c r="AX52" s="112">
        <v>0</v>
      </c>
      <c r="AY52" s="113">
        <v>0</v>
      </c>
      <c r="AZ52" s="113">
        <v>0</v>
      </c>
    </row>
    <row r="53" spans="1:52" x14ac:dyDescent="0.25">
      <c r="A53" s="101" t="s">
        <v>896</v>
      </c>
      <c r="B53" s="102" t="s">
        <v>4</v>
      </c>
      <c r="C53" s="102"/>
      <c r="D53" s="102" t="s">
        <v>1048</v>
      </c>
      <c r="E53" s="103">
        <v>11.879999999999999</v>
      </c>
      <c r="F53" s="104">
        <v>1000</v>
      </c>
      <c r="G53" s="105">
        <f t="shared" si="0"/>
        <v>500</v>
      </c>
      <c r="H53" s="105">
        <v>364</v>
      </c>
      <c r="I53" s="106">
        <f t="shared" si="1"/>
        <v>1.3736263736263736</v>
      </c>
      <c r="J53" s="86">
        <v>0</v>
      </c>
      <c r="K53" s="87">
        <v>0</v>
      </c>
      <c r="L53" s="87">
        <v>0</v>
      </c>
      <c r="M53" s="87">
        <v>301</v>
      </c>
      <c r="N53" s="90"/>
      <c r="O53" s="90">
        <v>542</v>
      </c>
      <c r="P53" s="86">
        <f t="shared" si="19"/>
        <v>0</v>
      </c>
      <c r="Q53" s="87">
        <f t="shared" si="20"/>
        <v>0</v>
      </c>
      <c r="R53" s="87">
        <f t="shared" si="21"/>
        <v>0</v>
      </c>
      <c r="S53" s="88">
        <f t="shared" si="22"/>
        <v>3575.8799999999997</v>
      </c>
      <c r="T53" s="89">
        <f t="shared" si="23"/>
        <v>0</v>
      </c>
      <c r="U53" s="89">
        <f t="shared" si="2"/>
        <v>6438.9599999999991</v>
      </c>
      <c r="V53" s="86">
        <v>0</v>
      </c>
      <c r="W53" s="87">
        <v>8</v>
      </c>
      <c r="X53" s="87">
        <v>0</v>
      </c>
      <c r="Y53" s="87">
        <v>0</v>
      </c>
      <c r="Z53" s="90">
        <v>7</v>
      </c>
      <c r="AA53" s="90">
        <v>100</v>
      </c>
      <c r="AB53" s="91">
        <f t="shared" si="3"/>
        <v>0</v>
      </c>
      <c r="AC53" s="91">
        <f t="shared" si="4"/>
        <v>2.197802197802198E-2</v>
      </c>
      <c r="AD53" s="91">
        <f t="shared" si="5"/>
        <v>0</v>
      </c>
      <c r="AE53" s="91">
        <f t="shared" si="6"/>
        <v>0</v>
      </c>
      <c r="AF53" s="91">
        <f t="shared" si="7"/>
        <v>1.9230769230769232E-2</v>
      </c>
      <c r="AG53" s="91">
        <f t="shared" si="8"/>
        <v>0.27472527472527475</v>
      </c>
      <c r="AH53" s="92">
        <v>0</v>
      </c>
      <c r="AI53" s="93">
        <v>14.16</v>
      </c>
      <c r="AJ53" s="93">
        <v>14.16</v>
      </c>
      <c r="AK53" s="93">
        <v>0</v>
      </c>
      <c r="AL53" s="94">
        <v>83.16</v>
      </c>
      <c r="AM53" s="94">
        <v>354.93</v>
      </c>
      <c r="AN53" s="94" t="s">
        <v>779</v>
      </c>
      <c r="AO53" s="111">
        <v>0</v>
      </c>
      <c r="AP53" s="112">
        <v>0</v>
      </c>
      <c r="AQ53" s="112">
        <v>0</v>
      </c>
      <c r="AR53" s="112">
        <v>370.23</v>
      </c>
      <c r="AS53" s="113">
        <v>0</v>
      </c>
      <c r="AT53" s="113">
        <v>659.32</v>
      </c>
      <c r="AU53" s="111">
        <v>0</v>
      </c>
      <c r="AV53" s="112">
        <v>0</v>
      </c>
      <c r="AW53" s="112">
        <v>0</v>
      </c>
      <c r="AX53" s="112">
        <v>0</v>
      </c>
      <c r="AY53" s="113">
        <v>0</v>
      </c>
      <c r="AZ53" s="113">
        <v>0</v>
      </c>
    </row>
    <row r="54" spans="1:52" x14ac:dyDescent="0.25">
      <c r="A54" s="101" t="s">
        <v>897</v>
      </c>
      <c r="B54" s="102" t="s">
        <v>399</v>
      </c>
      <c r="C54" s="102"/>
      <c r="D54" s="102" t="s">
        <v>1049</v>
      </c>
      <c r="E54" s="103">
        <v>11.870000000000005</v>
      </c>
      <c r="F54" s="104">
        <v>400</v>
      </c>
      <c r="G54" s="105">
        <f t="shared" si="0"/>
        <v>200</v>
      </c>
      <c r="H54" s="105">
        <v>849</v>
      </c>
      <c r="I54" s="106">
        <f t="shared" si="1"/>
        <v>0.23557126030624265</v>
      </c>
      <c r="J54" s="86">
        <v>0</v>
      </c>
      <c r="K54" s="87">
        <v>0</v>
      </c>
      <c r="L54" s="87">
        <v>120</v>
      </c>
      <c r="M54" s="87">
        <v>1000</v>
      </c>
      <c r="N54" s="90">
        <v>600</v>
      </c>
      <c r="O54" s="90">
        <v>0</v>
      </c>
      <c r="P54" s="86">
        <f t="shared" si="19"/>
        <v>0</v>
      </c>
      <c r="Q54" s="87">
        <f t="shared" si="20"/>
        <v>0</v>
      </c>
      <c r="R54" s="87">
        <f t="shared" si="21"/>
        <v>1424.4000000000005</v>
      </c>
      <c r="S54" s="88">
        <f t="shared" si="22"/>
        <v>11870.000000000004</v>
      </c>
      <c r="T54" s="89">
        <f t="shared" si="23"/>
        <v>7122.0000000000027</v>
      </c>
      <c r="U54" s="89">
        <f t="shared" si="2"/>
        <v>0</v>
      </c>
      <c r="V54" s="86">
        <v>0</v>
      </c>
      <c r="W54" s="87">
        <v>79</v>
      </c>
      <c r="X54" s="87">
        <v>255</v>
      </c>
      <c r="Y54" s="87">
        <v>274</v>
      </c>
      <c r="Z54" s="90">
        <v>956</v>
      </c>
      <c r="AA54" s="90">
        <v>206</v>
      </c>
      <c r="AB54" s="91">
        <f t="shared" si="3"/>
        <v>0</v>
      </c>
      <c r="AC54" s="91">
        <f t="shared" si="4"/>
        <v>9.3050647820965837E-2</v>
      </c>
      <c r="AD54" s="91">
        <f t="shared" si="5"/>
        <v>0.30035335689045939</v>
      </c>
      <c r="AE54" s="91">
        <f t="shared" si="6"/>
        <v>0.32273262661955243</v>
      </c>
      <c r="AF54" s="91">
        <f t="shared" si="7"/>
        <v>1.1260306242638398</v>
      </c>
      <c r="AG54" s="91">
        <f t="shared" si="8"/>
        <v>0.24263839811542992</v>
      </c>
      <c r="AH54" s="92">
        <v>0</v>
      </c>
      <c r="AI54" s="93">
        <v>230.5999999999998</v>
      </c>
      <c r="AJ54" s="93">
        <v>230.59999999999982</v>
      </c>
      <c r="AK54" s="93">
        <v>800.47999999999922</v>
      </c>
      <c r="AL54" s="94">
        <v>866.45999999999799</v>
      </c>
      <c r="AM54" s="94">
        <v>1857.22999999999</v>
      </c>
      <c r="AN54" s="94" t="s">
        <v>779</v>
      </c>
      <c r="AO54" s="111">
        <v>0</v>
      </c>
      <c r="AP54" s="112">
        <v>0</v>
      </c>
      <c r="AQ54" s="112">
        <v>9643.2000000000007</v>
      </c>
      <c r="AR54" s="112">
        <v>79650</v>
      </c>
      <c r="AS54" s="113">
        <v>48216</v>
      </c>
      <c r="AT54" s="113">
        <v>0</v>
      </c>
      <c r="AU54" s="111">
        <v>0</v>
      </c>
      <c r="AV54" s="112">
        <v>0</v>
      </c>
      <c r="AW54" s="112">
        <v>0</v>
      </c>
      <c r="AX54" s="112">
        <v>0</v>
      </c>
      <c r="AY54" s="113">
        <v>0</v>
      </c>
      <c r="AZ54" s="113">
        <v>0</v>
      </c>
    </row>
    <row r="55" spans="1:52" x14ac:dyDescent="0.25">
      <c r="A55" s="101" t="s">
        <v>379</v>
      </c>
      <c r="B55" s="102" t="s">
        <v>380</v>
      </c>
      <c r="C55" s="102"/>
      <c r="D55" s="102" t="s">
        <v>1048</v>
      </c>
      <c r="E55" s="103">
        <v>11.75</v>
      </c>
      <c r="F55" s="104">
        <v>300</v>
      </c>
      <c r="G55" s="105">
        <f t="shared" si="0"/>
        <v>150</v>
      </c>
      <c r="H55" s="105">
        <v>367</v>
      </c>
      <c r="I55" s="106">
        <f t="shared" si="1"/>
        <v>0.40871934604904631</v>
      </c>
      <c r="J55" s="86">
        <v>100</v>
      </c>
      <c r="K55" s="87">
        <v>0</v>
      </c>
      <c r="L55" s="87">
        <v>50</v>
      </c>
      <c r="M55" s="87">
        <v>135</v>
      </c>
      <c r="N55" s="90"/>
      <c r="O55" s="90">
        <v>0</v>
      </c>
      <c r="P55" s="86">
        <f t="shared" si="19"/>
        <v>1175</v>
      </c>
      <c r="Q55" s="87">
        <f t="shared" si="20"/>
        <v>0</v>
      </c>
      <c r="R55" s="87">
        <f t="shared" si="21"/>
        <v>587.5</v>
      </c>
      <c r="S55" s="88">
        <f t="shared" si="22"/>
        <v>1586.25</v>
      </c>
      <c r="T55" s="89">
        <f t="shared" si="23"/>
        <v>0</v>
      </c>
      <c r="U55" s="89">
        <f t="shared" si="2"/>
        <v>0</v>
      </c>
      <c r="V55" s="86">
        <v>174</v>
      </c>
      <c r="W55" s="87">
        <v>235</v>
      </c>
      <c r="X55" s="87">
        <v>123</v>
      </c>
      <c r="Y55" s="87">
        <v>166</v>
      </c>
      <c r="Z55" s="90">
        <v>187</v>
      </c>
      <c r="AA55" s="90">
        <v>184</v>
      </c>
      <c r="AB55" s="91">
        <f t="shared" si="3"/>
        <v>0.47411444141689374</v>
      </c>
      <c r="AC55" s="91">
        <f t="shared" si="4"/>
        <v>0.64032697547683926</v>
      </c>
      <c r="AD55" s="91">
        <f t="shared" si="5"/>
        <v>0.33514986376021799</v>
      </c>
      <c r="AE55" s="91">
        <f t="shared" si="6"/>
        <v>0.45231607629427795</v>
      </c>
      <c r="AF55" s="91">
        <f t="shared" si="7"/>
        <v>0.50953678474114439</v>
      </c>
      <c r="AG55" s="91">
        <f t="shared" si="8"/>
        <v>0.50136239782016345</v>
      </c>
      <c r="AH55" s="92">
        <v>822.51000000000022</v>
      </c>
      <c r="AI55" s="93">
        <v>1075.57</v>
      </c>
      <c r="AJ55" s="93">
        <v>1075.5699999999997</v>
      </c>
      <c r="AK55" s="93">
        <v>418.40999999999968</v>
      </c>
      <c r="AL55" s="94">
        <v>1379.46</v>
      </c>
      <c r="AM55" s="94">
        <v>2109.4899999999998</v>
      </c>
      <c r="AN55" s="94" t="s">
        <v>779</v>
      </c>
      <c r="AO55" s="111">
        <v>7589</v>
      </c>
      <c r="AP55" s="112">
        <v>0</v>
      </c>
      <c r="AQ55" s="112">
        <v>3009</v>
      </c>
      <c r="AR55" s="112">
        <v>8124.3</v>
      </c>
      <c r="AS55" s="113">
        <v>0</v>
      </c>
      <c r="AT55" s="113">
        <v>0</v>
      </c>
      <c r="AU55" s="111">
        <v>14589.569999999991</v>
      </c>
      <c r="AV55" s="112">
        <v>19662.48</v>
      </c>
      <c r="AW55" s="112">
        <v>10141.559999999996</v>
      </c>
      <c r="AX55" s="112">
        <v>13894.8399999999</v>
      </c>
      <c r="AY55" s="113">
        <v>15592.3</v>
      </c>
      <c r="AZ55" s="113">
        <v>15219.81</v>
      </c>
    </row>
    <row r="56" spans="1:52" x14ac:dyDescent="0.25">
      <c r="A56" s="101" t="s">
        <v>47</v>
      </c>
      <c r="B56" s="102" t="s">
        <v>48</v>
      </c>
      <c r="C56" s="102"/>
      <c r="D56" s="102" t="s">
        <v>1048</v>
      </c>
      <c r="E56" s="103">
        <v>11.520000000000001</v>
      </c>
      <c r="F56" s="104">
        <v>66.8</v>
      </c>
      <c r="G56" s="105">
        <f t="shared" si="0"/>
        <v>33.4</v>
      </c>
      <c r="H56" s="105">
        <v>109</v>
      </c>
      <c r="I56" s="106">
        <f t="shared" si="1"/>
        <v>0.30642201834862381</v>
      </c>
      <c r="J56" s="86">
        <v>78</v>
      </c>
      <c r="K56" s="87">
        <v>0</v>
      </c>
      <c r="L56" s="87">
        <v>0</v>
      </c>
      <c r="M56" s="87">
        <v>0</v>
      </c>
      <c r="N56" s="90"/>
      <c r="O56" s="90">
        <v>0</v>
      </c>
      <c r="P56" s="86">
        <f t="shared" si="19"/>
        <v>898.56000000000006</v>
      </c>
      <c r="Q56" s="87">
        <f t="shared" si="20"/>
        <v>0</v>
      </c>
      <c r="R56" s="87">
        <f t="shared" si="21"/>
        <v>0</v>
      </c>
      <c r="S56" s="88">
        <f t="shared" si="22"/>
        <v>0</v>
      </c>
      <c r="T56" s="89">
        <f t="shared" si="23"/>
        <v>0</v>
      </c>
      <c r="U56" s="89">
        <f t="shared" si="2"/>
        <v>0</v>
      </c>
      <c r="V56" s="86">
        <v>0</v>
      </c>
      <c r="W56" s="87">
        <v>102</v>
      </c>
      <c r="X56" s="87">
        <v>65</v>
      </c>
      <c r="Y56" s="87">
        <v>0</v>
      </c>
      <c r="Z56" s="90">
        <v>0</v>
      </c>
      <c r="AA56" s="90">
        <v>0</v>
      </c>
      <c r="AB56" s="91">
        <f t="shared" si="3"/>
        <v>0</v>
      </c>
      <c r="AC56" s="91">
        <f t="shared" si="4"/>
        <v>0.93577981651376152</v>
      </c>
      <c r="AD56" s="91">
        <f t="shared" si="5"/>
        <v>0.59633027522935778</v>
      </c>
      <c r="AE56" s="91">
        <f t="shared" si="6"/>
        <v>0</v>
      </c>
      <c r="AF56" s="91">
        <f t="shared" si="7"/>
        <v>0</v>
      </c>
      <c r="AG56" s="91">
        <f t="shared" si="8"/>
        <v>0</v>
      </c>
      <c r="AH56" s="92">
        <v>0</v>
      </c>
      <c r="AI56" s="93">
        <v>293.53999999999974</v>
      </c>
      <c r="AJ56" s="93">
        <v>293.53999999999979</v>
      </c>
      <c r="AK56" s="93">
        <v>686.4599999999997</v>
      </c>
      <c r="AL56" s="94">
        <v>0</v>
      </c>
      <c r="AM56" s="94">
        <v>0</v>
      </c>
      <c r="AN56" s="94" t="s">
        <v>779</v>
      </c>
      <c r="AO56" s="111">
        <v>673.48</v>
      </c>
      <c r="AP56" s="112">
        <v>0</v>
      </c>
      <c r="AQ56" s="112">
        <v>0</v>
      </c>
      <c r="AR56" s="112">
        <v>0</v>
      </c>
      <c r="AS56" s="113">
        <v>0</v>
      </c>
      <c r="AT56" s="113">
        <v>0</v>
      </c>
      <c r="AU56" s="111">
        <v>0</v>
      </c>
      <c r="AV56" s="112">
        <v>1172.7799999999991</v>
      </c>
      <c r="AW56" s="112">
        <v>1246.76</v>
      </c>
      <c r="AX56" s="112">
        <v>0</v>
      </c>
      <c r="AY56" s="113">
        <v>0</v>
      </c>
      <c r="AZ56" s="113">
        <v>0</v>
      </c>
    </row>
    <row r="57" spans="1:52" x14ac:dyDescent="0.25">
      <c r="A57" s="101" t="s">
        <v>204</v>
      </c>
      <c r="B57" s="102" t="s">
        <v>205</v>
      </c>
      <c r="C57" s="102"/>
      <c r="D57" s="102" t="s">
        <v>1048</v>
      </c>
      <c r="E57" s="103">
        <v>11.52</v>
      </c>
      <c r="F57" s="104">
        <v>700</v>
      </c>
      <c r="G57" s="105">
        <f t="shared" si="0"/>
        <v>350</v>
      </c>
      <c r="H57" s="105">
        <v>695</v>
      </c>
      <c r="I57" s="106">
        <f t="shared" si="1"/>
        <v>0.50359712230215825</v>
      </c>
      <c r="J57" s="86">
        <v>1285.7142857142858</v>
      </c>
      <c r="K57" s="87">
        <v>178.57142857142856</v>
      </c>
      <c r="L57" s="87">
        <v>0</v>
      </c>
      <c r="M57" s="87">
        <v>0</v>
      </c>
      <c r="N57" s="90"/>
      <c r="O57" s="90">
        <v>450</v>
      </c>
      <c r="P57" s="86">
        <f t="shared" si="19"/>
        <v>14811.428571428572</v>
      </c>
      <c r="Q57" s="87">
        <f t="shared" si="20"/>
        <v>2057.1428571428569</v>
      </c>
      <c r="R57" s="87">
        <f t="shared" si="21"/>
        <v>0</v>
      </c>
      <c r="S57" s="88">
        <f t="shared" si="22"/>
        <v>0</v>
      </c>
      <c r="T57" s="89">
        <f t="shared" si="23"/>
        <v>0</v>
      </c>
      <c r="U57" s="89">
        <f t="shared" si="2"/>
        <v>5184</v>
      </c>
      <c r="V57" s="86">
        <v>116</v>
      </c>
      <c r="W57" s="87">
        <v>238</v>
      </c>
      <c r="X57" s="87">
        <v>546</v>
      </c>
      <c r="Y57" s="87">
        <v>337</v>
      </c>
      <c r="Z57" s="90">
        <v>760</v>
      </c>
      <c r="AA57" s="90">
        <v>461</v>
      </c>
      <c r="AB57" s="91">
        <f t="shared" si="3"/>
        <v>0.1669064748201439</v>
      </c>
      <c r="AC57" s="91">
        <f t="shared" si="4"/>
        <v>0.34244604316546762</v>
      </c>
      <c r="AD57" s="91">
        <f t="shared" si="5"/>
        <v>0.78561151079136693</v>
      </c>
      <c r="AE57" s="91">
        <f t="shared" si="6"/>
        <v>0.48489208633093528</v>
      </c>
      <c r="AF57" s="91">
        <f t="shared" si="7"/>
        <v>1.0935251798561152</v>
      </c>
      <c r="AG57" s="91">
        <f t="shared" si="8"/>
        <v>0.66330935251798562</v>
      </c>
      <c r="AH57" s="92">
        <v>293.85000000000002</v>
      </c>
      <c r="AI57" s="93">
        <v>2579.7899999999972</v>
      </c>
      <c r="AJ57" s="93">
        <v>2579.7899999999972</v>
      </c>
      <c r="AK57" s="93">
        <v>5996.6199999999926</v>
      </c>
      <c r="AL57" s="94">
        <v>3958.26999999999</v>
      </c>
      <c r="AM57" s="94">
        <v>5051.3900000000003</v>
      </c>
      <c r="AN57" s="94" t="s">
        <v>779</v>
      </c>
      <c r="AO57" s="111">
        <v>41169.56</v>
      </c>
      <c r="AP57" s="112">
        <v>4464.5</v>
      </c>
      <c r="AQ57" s="112">
        <v>0</v>
      </c>
      <c r="AR57" s="112">
        <v>0</v>
      </c>
      <c r="AS57" s="113">
        <v>0</v>
      </c>
      <c r="AT57" s="113">
        <v>11842.5</v>
      </c>
      <c r="AU57" s="111">
        <v>4645.0599999999986</v>
      </c>
      <c r="AV57" s="112">
        <v>9125.64</v>
      </c>
      <c r="AW57" s="112">
        <v>22097.399999999991</v>
      </c>
      <c r="AX57" s="112">
        <v>13725.99</v>
      </c>
      <c r="AY57" s="113">
        <v>30644.81</v>
      </c>
      <c r="AZ57" s="113">
        <v>18413.099999999999</v>
      </c>
    </row>
    <row r="58" spans="1:52" x14ac:dyDescent="0.25">
      <c r="A58" s="101" t="s">
        <v>110</v>
      </c>
      <c r="B58" s="102" t="s">
        <v>111</v>
      </c>
      <c r="C58" s="102"/>
      <c r="D58" s="102" t="s">
        <v>1048</v>
      </c>
      <c r="E58" s="103">
        <v>11.01</v>
      </c>
      <c r="F58" s="104">
        <v>200</v>
      </c>
      <c r="G58" s="105">
        <f t="shared" si="0"/>
        <v>100</v>
      </c>
      <c r="H58" s="105">
        <v>547</v>
      </c>
      <c r="I58" s="106">
        <f t="shared" si="1"/>
        <v>0.18281535648994515</v>
      </c>
      <c r="J58" s="86">
        <v>0</v>
      </c>
      <c r="K58" s="87">
        <v>500</v>
      </c>
      <c r="L58" s="87">
        <v>594</v>
      </c>
      <c r="M58" s="87">
        <v>0</v>
      </c>
      <c r="N58" s="90"/>
      <c r="O58" s="90">
        <v>0</v>
      </c>
      <c r="P58" s="86">
        <f t="shared" si="19"/>
        <v>0</v>
      </c>
      <c r="Q58" s="87">
        <f t="shared" si="20"/>
        <v>5505</v>
      </c>
      <c r="R58" s="87">
        <f t="shared" si="21"/>
        <v>6539.94</v>
      </c>
      <c r="S58" s="88">
        <f t="shared" si="22"/>
        <v>0</v>
      </c>
      <c r="T58" s="89">
        <f t="shared" si="23"/>
        <v>0</v>
      </c>
      <c r="U58" s="89">
        <f t="shared" si="2"/>
        <v>0</v>
      </c>
      <c r="V58" s="86">
        <v>93</v>
      </c>
      <c r="W58" s="87">
        <v>0</v>
      </c>
      <c r="X58" s="87">
        <v>98</v>
      </c>
      <c r="Y58" s="87">
        <v>107</v>
      </c>
      <c r="Z58" s="90">
        <v>90</v>
      </c>
      <c r="AA58" s="90">
        <v>85</v>
      </c>
      <c r="AB58" s="91">
        <f t="shared" si="3"/>
        <v>0.17001828153564899</v>
      </c>
      <c r="AC58" s="91">
        <f t="shared" si="4"/>
        <v>0</v>
      </c>
      <c r="AD58" s="91">
        <f t="shared" si="5"/>
        <v>0.17915904936014626</v>
      </c>
      <c r="AE58" s="91">
        <f t="shared" si="6"/>
        <v>0.19561243144424131</v>
      </c>
      <c r="AF58" s="91">
        <f t="shared" si="7"/>
        <v>0.16453382084095064</v>
      </c>
      <c r="AG58" s="91">
        <f t="shared" si="8"/>
        <v>0.15539305301645337</v>
      </c>
      <c r="AH58" s="92">
        <v>360.89</v>
      </c>
      <c r="AI58" s="93">
        <v>0</v>
      </c>
      <c r="AJ58" s="93">
        <v>1078.98</v>
      </c>
      <c r="AK58" s="93">
        <v>341.08999999999889</v>
      </c>
      <c r="AL58" s="94">
        <v>444.39</v>
      </c>
      <c r="AM58" s="94">
        <v>888.57999999999902</v>
      </c>
      <c r="AN58" s="94" t="s">
        <v>779</v>
      </c>
      <c r="AO58" s="111">
        <v>0</v>
      </c>
      <c r="AP58" s="112">
        <v>7810</v>
      </c>
      <c r="AQ58" s="112">
        <v>9201.06</v>
      </c>
      <c r="AR58" s="112">
        <v>0</v>
      </c>
      <c r="AS58" s="113">
        <v>0</v>
      </c>
      <c r="AT58" s="113">
        <v>0</v>
      </c>
      <c r="AU58" s="111">
        <v>1801.46</v>
      </c>
      <c r="AV58" s="112">
        <v>0</v>
      </c>
      <c r="AW58" s="112">
        <v>1845.9699999999989</v>
      </c>
      <c r="AX58" s="112">
        <v>2084.9399999999901</v>
      </c>
      <c r="AY58" s="113">
        <v>2364.6699999999901</v>
      </c>
      <c r="AZ58" s="113">
        <v>2205.22999999999</v>
      </c>
    </row>
    <row r="59" spans="1:52" x14ac:dyDescent="0.25">
      <c r="A59" s="101" t="s">
        <v>898</v>
      </c>
      <c r="B59" s="102" t="s">
        <v>81</v>
      </c>
      <c r="C59" s="102"/>
      <c r="D59" s="102" t="s">
        <v>1048</v>
      </c>
      <c r="E59" s="103">
        <v>10.959999999999999</v>
      </c>
      <c r="F59" s="104">
        <v>70</v>
      </c>
      <c r="G59" s="105">
        <f t="shared" si="0"/>
        <v>35</v>
      </c>
      <c r="H59" s="105">
        <v>148</v>
      </c>
      <c r="I59" s="106">
        <f t="shared" si="1"/>
        <v>0.23648648648648649</v>
      </c>
      <c r="J59" s="86">
        <v>100</v>
      </c>
      <c r="K59" s="87">
        <v>0</v>
      </c>
      <c r="L59" s="87">
        <v>0</v>
      </c>
      <c r="M59" s="87">
        <v>0</v>
      </c>
      <c r="N59" s="90"/>
      <c r="O59" s="90">
        <v>0</v>
      </c>
      <c r="P59" s="86">
        <f t="shared" si="19"/>
        <v>1096</v>
      </c>
      <c r="Q59" s="87">
        <f t="shared" si="20"/>
        <v>0</v>
      </c>
      <c r="R59" s="87">
        <f t="shared" si="21"/>
        <v>0</v>
      </c>
      <c r="S59" s="88">
        <f t="shared" si="22"/>
        <v>0</v>
      </c>
      <c r="T59" s="89">
        <f t="shared" si="23"/>
        <v>0</v>
      </c>
      <c r="U59" s="89">
        <f t="shared" si="2"/>
        <v>0</v>
      </c>
      <c r="V59" s="86">
        <v>0</v>
      </c>
      <c r="W59" s="87">
        <v>0</v>
      </c>
      <c r="X59" s="87">
        <v>0</v>
      </c>
      <c r="Y59" s="87">
        <v>0</v>
      </c>
      <c r="Z59" s="90">
        <v>55</v>
      </c>
      <c r="AA59" s="90">
        <v>64</v>
      </c>
      <c r="AB59" s="91">
        <f t="shared" si="3"/>
        <v>0</v>
      </c>
      <c r="AC59" s="91">
        <f t="shared" si="4"/>
        <v>0</v>
      </c>
      <c r="AD59" s="91">
        <f t="shared" si="5"/>
        <v>0</v>
      </c>
      <c r="AE59" s="91">
        <f t="shared" si="6"/>
        <v>0</v>
      </c>
      <c r="AF59" s="91">
        <f t="shared" si="7"/>
        <v>0.3716216216216216</v>
      </c>
      <c r="AG59" s="91">
        <f t="shared" si="8"/>
        <v>0.43243243243243246</v>
      </c>
      <c r="AH59" s="92">
        <v>0</v>
      </c>
      <c r="AI59" s="93">
        <v>0</v>
      </c>
      <c r="AJ59" s="93">
        <v>0</v>
      </c>
      <c r="AK59" s="93">
        <v>0</v>
      </c>
      <c r="AL59" s="94">
        <v>602.79999999999995</v>
      </c>
      <c r="AM59" s="94">
        <v>1206.68</v>
      </c>
      <c r="AN59" s="94" t="s">
        <v>779</v>
      </c>
      <c r="AO59" s="111">
        <v>1250</v>
      </c>
      <c r="AP59" s="112">
        <v>0</v>
      </c>
      <c r="AQ59" s="112">
        <v>0</v>
      </c>
      <c r="AR59" s="112">
        <v>0</v>
      </c>
      <c r="AS59" s="113">
        <v>0</v>
      </c>
      <c r="AT59" s="113">
        <v>0</v>
      </c>
      <c r="AU59" s="111">
        <v>0</v>
      </c>
      <c r="AV59" s="112">
        <v>0</v>
      </c>
      <c r="AW59" s="112">
        <v>0</v>
      </c>
      <c r="AX59" s="112">
        <v>0</v>
      </c>
      <c r="AY59" s="113">
        <v>0</v>
      </c>
      <c r="AZ59" s="113">
        <v>0</v>
      </c>
    </row>
    <row r="60" spans="1:52" x14ac:dyDescent="0.25">
      <c r="A60" s="101" t="s">
        <v>899</v>
      </c>
      <c r="B60" s="102" t="s">
        <v>77</v>
      </c>
      <c r="C60" s="102"/>
      <c r="D60" s="102" t="s">
        <v>1048</v>
      </c>
      <c r="E60" s="103">
        <v>10.7</v>
      </c>
      <c r="F60" s="104">
        <v>500</v>
      </c>
      <c r="G60" s="105">
        <f t="shared" si="0"/>
        <v>250</v>
      </c>
      <c r="H60" s="105">
        <v>1821</v>
      </c>
      <c r="I60" s="106">
        <f t="shared" si="1"/>
        <v>0.13728720483250961</v>
      </c>
      <c r="J60" s="86">
        <v>0</v>
      </c>
      <c r="K60" s="87">
        <v>100</v>
      </c>
      <c r="L60" s="87">
        <v>0</v>
      </c>
      <c r="M60" s="87">
        <v>0</v>
      </c>
      <c r="N60" s="90">
        <v>89</v>
      </c>
      <c r="O60" s="90">
        <v>0</v>
      </c>
      <c r="P60" s="86">
        <f t="shared" si="19"/>
        <v>0</v>
      </c>
      <c r="Q60" s="87">
        <f t="shared" si="20"/>
        <v>1070</v>
      </c>
      <c r="R60" s="87">
        <f t="shared" si="21"/>
        <v>0</v>
      </c>
      <c r="S60" s="88">
        <f t="shared" si="22"/>
        <v>0</v>
      </c>
      <c r="T60" s="89">
        <f t="shared" si="23"/>
        <v>952.3</v>
      </c>
      <c r="U60" s="89">
        <f t="shared" si="2"/>
        <v>0</v>
      </c>
      <c r="V60" s="86">
        <v>52</v>
      </c>
      <c r="W60" s="87">
        <v>269</v>
      </c>
      <c r="X60" s="87">
        <v>1</v>
      </c>
      <c r="Y60" s="87">
        <v>0</v>
      </c>
      <c r="Z60" s="90">
        <v>0</v>
      </c>
      <c r="AA60" s="90">
        <v>1</v>
      </c>
      <c r="AB60" s="91">
        <f t="shared" si="3"/>
        <v>2.8555738605161998E-2</v>
      </c>
      <c r="AC60" s="91">
        <f t="shared" si="4"/>
        <v>0.14772103239978035</v>
      </c>
      <c r="AD60" s="91">
        <f t="shared" si="5"/>
        <v>5.4914881933003845E-4</v>
      </c>
      <c r="AE60" s="91">
        <f t="shared" si="6"/>
        <v>0</v>
      </c>
      <c r="AF60" s="91">
        <f t="shared" si="7"/>
        <v>0</v>
      </c>
      <c r="AG60" s="91">
        <f t="shared" si="8"/>
        <v>5.4914881933003845E-4</v>
      </c>
      <c r="AH60" s="92">
        <v>23.55</v>
      </c>
      <c r="AI60" s="93">
        <v>220.64999999999972</v>
      </c>
      <c r="AJ60" s="93">
        <v>220.64999999999969</v>
      </c>
      <c r="AK60" s="93">
        <v>7.0000000000000007E-2</v>
      </c>
      <c r="AL60" s="94">
        <v>0</v>
      </c>
      <c r="AM60" s="94">
        <v>10.7</v>
      </c>
      <c r="AN60" s="94" t="s">
        <v>779</v>
      </c>
      <c r="AO60" s="111">
        <v>0</v>
      </c>
      <c r="AP60" s="112">
        <v>1205</v>
      </c>
      <c r="AQ60" s="112">
        <v>0</v>
      </c>
      <c r="AR60" s="112">
        <v>0</v>
      </c>
      <c r="AS60" s="113">
        <v>942.68000000000006</v>
      </c>
      <c r="AT60" s="113">
        <v>0</v>
      </c>
      <c r="AU60" s="111">
        <v>0</v>
      </c>
      <c r="AV60" s="112">
        <v>0</v>
      </c>
      <c r="AW60" s="112">
        <v>0</v>
      </c>
      <c r="AX60" s="112">
        <v>0</v>
      </c>
      <c r="AY60" s="113">
        <v>0</v>
      </c>
      <c r="AZ60" s="113">
        <v>0</v>
      </c>
    </row>
    <row r="61" spans="1:52" x14ac:dyDescent="0.25">
      <c r="A61" s="101" t="s">
        <v>64</v>
      </c>
      <c r="B61" s="102" t="s">
        <v>65</v>
      </c>
      <c r="C61" s="102"/>
      <c r="D61" s="102" t="s">
        <v>1048</v>
      </c>
      <c r="E61" s="103">
        <v>10.35</v>
      </c>
      <c r="F61" s="104">
        <v>1000</v>
      </c>
      <c r="G61" s="105">
        <f t="shared" si="0"/>
        <v>500</v>
      </c>
      <c r="H61" s="105">
        <v>782</v>
      </c>
      <c r="I61" s="106">
        <f t="shared" si="1"/>
        <v>0.63938618925831203</v>
      </c>
      <c r="J61" s="86">
        <v>377</v>
      </c>
      <c r="K61" s="87">
        <v>711</v>
      </c>
      <c r="L61" s="87">
        <v>272</v>
      </c>
      <c r="M61" s="87">
        <v>494</v>
      </c>
      <c r="N61" s="90">
        <v>530</v>
      </c>
      <c r="O61" s="90">
        <v>303</v>
      </c>
      <c r="P61" s="86">
        <f t="shared" si="19"/>
        <v>3901.95</v>
      </c>
      <c r="Q61" s="87">
        <f t="shared" si="20"/>
        <v>7358.8499999999995</v>
      </c>
      <c r="R61" s="87">
        <f t="shared" si="21"/>
        <v>2815.2</v>
      </c>
      <c r="S61" s="88">
        <f t="shared" si="22"/>
        <v>5112.8999999999996</v>
      </c>
      <c r="T61" s="89">
        <f t="shared" si="23"/>
        <v>5485.5</v>
      </c>
      <c r="U61" s="89">
        <f t="shared" si="2"/>
        <v>3136.0499999999997</v>
      </c>
      <c r="V61" s="86">
        <v>53</v>
      </c>
      <c r="W61" s="87">
        <v>66</v>
      </c>
      <c r="X61" s="87">
        <v>273</v>
      </c>
      <c r="Y61" s="87">
        <v>214</v>
      </c>
      <c r="Z61" s="90">
        <v>364</v>
      </c>
      <c r="AA61" s="90">
        <v>492</v>
      </c>
      <c r="AB61" s="91">
        <f t="shared" si="3"/>
        <v>6.7774936061381075E-2</v>
      </c>
      <c r="AC61" s="91">
        <f t="shared" si="4"/>
        <v>8.4398976982097182E-2</v>
      </c>
      <c r="AD61" s="91">
        <f t="shared" si="5"/>
        <v>0.34910485933503838</v>
      </c>
      <c r="AE61" s="91">
        <f t="shared" si="6"/>
        <v>0.27365728900255754</v>
      </c>
      <c r="AF61" s="91">
        <f t="shared" si="7"/>
        <v>0.46547314578005117</v>
      </c>
      <c r="AG61" s="91">
        <f t="shared" si="8"/>
        <v>0.62915601023017897</v>
      </c>
      <c r="AH61" s="92">
        <v>55.770000000000017</v>
      </c>
      <c r="AI61" s="93">
        <v>223.94</v>
      </c>
      <c r="AJ61" s="93">
        <v>223.94</v>
      </c>
      <c r="AK61" s="93">
        <v>1342.729999999998</v>
      </c>
      <c r="AL61" s="94">
        <v>1149.67</v>
      </c>
      <c r="AM61" s="94">
        <v>1071.20999999999</v>
      </c>
      <c r="AN61" s="94" t="s">
        <v>779</v>
      </c>
      <c r="AO61" s="111">
        <v>3688.24</v>
      </c>
      <c r="AP61" s="112">
        <v>7008.7000000000007</v>
      </c>
      <c r="AQ61" s="112">
        <v>2632.19</v>
      </c>
      <c r="AR61" s="112">
        <v>5097.0600000000004</v>
      </c>
      <c r="AS61" s="113">
        <v>5210.71</v>
      </c>
      <c r="AT61" s="113">
        <v>2956.6800000000003</v>
      </c>
      <c r="AU61" s="111">
        <v>651.4899999999999</v>
      </c>
      <c r="AV61" s="112">
        <v>874.69999999999607</v>
      </c>
      <c r="AW61" s="112">
        <v>4023.4199999999951</v>
      </c>
      <c r="AX61" s="112">
        <v>3241.36</v>
      </c>
      <c r="AY61" s="113">
        <v>4648.74</v>
      </c>
      <c r="AZ61" s="113">
        <v>5986.8099999999904</v>
      </c>
    </row>
    <row r="62" spans="1:52" x14ac:dyDescent="0.25">
      <c r="A62" s="101" t="s">
        <v>38</v>
      </c>
      <c r="B62" s="102" t="s">
        <v>39</v>
      </c>
      <c r="C62" s="102"/>
      <c r="D62" s="102" t="s">
        <v>1048</v>
      </c>
      <c r="E62" s="103">
        <v>10.299999999999999</v>
      </c>
      <c r="F62" s="104">
        <v>1000</v>
      </c>
      <c r="G62" s="105">
        <f t="shared" si="0"/>
        <v>500</v>
      </c>
      <c r="H62" s="105">
        <v>837</v>
      </c>
      <c r="I62" s="106">
        <f t="shared" si="1"/>
        <v>0.59737156511350065</v>
      </c>
      <c r="J62" s="86">
        <v>0</v>
      </c>
      <c r="K62" s="87">
        <v>520</v>
      </c>
      <c r="L62" s="87">
        <v>50</v>
      </c>
      <c r="M62" s="87">
        <v>0</v>
      </c>
      <c r="N62" s="90"/>
      <c r="O62" s="90">
        <v>100</v>
      </c>
      <c r="P62" s="86">
        <f t="shared" si="19"/>
        <v>0</v>
      </c>
      <c r="Q62" s="87">
        <f t="shared" si="20"/>
        <v>5355.9999999999991</v>
      </c>
      <c r="R62" s="87">
        <f t="shared" si="21"/>
        <v>515</v>
      </c>
      <c r="S62" s="88">
        <f t="shared" si="22"/>
        <v>0</v>
      </c>
      <c r="T62" s="89">
        <f t="shared" si="23"/>
        <v>0</v>
      </c>
      <c r="U62" s="89">
        <f t="shared" si="2"/>
        <v>1030</v>
      </c>
      <c r="V62" s="86">
        <v>199</v>
      </c>
      <c r="W62" s="87">
        <v>4</v>
      </c>
      <c r="X62" s="87">
        <v>0</v>
      </c>
      <c r="Y62" s="87">
        <v>0</v>
      </c>
      <c r="Z62" s="90">
        <v>0</v>
      </c>
      <c r="AA62" s="90">
        <v>0</v>
      </c>
      <c r="AB62" s="91">
        <f t="shared" si="3"/>
        <v>0.23775388291517324</v>
      </c>
      <c r="AC62" s="91">
        <f t="shared" si="4"/>
        <v>4.7789725209080045E-3</v>
      </c>
      <c r="AD62" s="91">
        <f t="shared" si="5"/>
        <v>0</v>
      </c>
      <c r="AE62" s="91">
        <f t="shared" si="6"/>
        <v>0</v>
      </c>
      <c r="AF62" s="91">
        <f t="shared" si="7"/>
        <v>0</v>
      </c>
      <c r="AG62" s="91">
        <f t="shared" si="8"/>
        <v>0</v>
      </c>
      <c r="AH62" s="92">
        <v>240.35</v>
      </c>
      <c r="AI62" s="93">
        <v>5.44</v>
      </c>
      <c r="AJ62" s="93">
        <v>5.44</v>
      </c>
      <c r="AK62" s="93">
        <v>0</v>
      </c>
      <c r="AL62" s="94">
        <v>0</v>
      </c>
      <c r="AM62" s="94">
        <v>0</v>
      </c>
      <c r="AN62" s="94" t="s">
        <v>779</v>
      </c>
      <c r="AO62" s="111">
        <v>1744</v>
      </c>
      <c r="AP62" s="112">
        <v>2983</v>
      </c>
      <c r="AQ62" s="112">
        <v>221</v>
      </c>
      <c r="AR62" s="112">
        <v>0</v>
      </c>
      <c r="AS62" s="113">
        <v>0</v>
      </c>
      <c r="AT62" s="113">
        <v>439</v>
      </c>
      <c r="AU62" s="111">
        <v>1653.25</v>
      </c>
      <c r="AV62" s="112">
        <v>33.840000000000003</v>
      </c>
      <c r="AW62" s="112">
        <v>0</v>
      </c>
      <c r="AX62" s="112">
        <v>0</v>
      </c>
      <c r="AY62" s="113">
        <v>0</v>
      </c>
      <c r="AZ62" s="113">
        <v>0</v>
      </c>
    </row>
    <row r="63" spans="1:52" x14ac:dyDescent="0.25">
      <c r="A63" s="101" t="s">
        <v>900</v>
      </c>
      <c r="B63" s="102" t="s">
        <v>195</v>
      </c>
      <c r="C63" s="102"/>
      <c r="D63" s="102" t="s">
        <v>1048</v>
      </c>
      <c r="E63" s="103">
        <v>10.07</v>
      </c>
      <c r="F63" s="104">
        <v>279.60000000000002</v>
      </c>
      <c r="G63" s="105">
        <f t="shared" si="0"/>
        <v>139.80000000000001</v>
      </c>
      <c r="H63" s="105">
        <v>1290</v>
      </c>
      <c r="I63" s="106">
        <f t="shared" si="1"/>
        <v>0.10837209302325582</v>
      </c>
      <c r="J63" s="86">
        <v>200</v>
      </c>
      <c r="K63" s="87">
        <v>0</v>
      </c>
      <c r="L63" s="87">
        <v>0</v>
      </c>
      <c r="M63" s="87">
        <v>0</v>
      </c>
      <c r="N63" s="90"/>
      <c r="O63" s="90">
        <v>0</v>
      </c>
      <c r="P63" s="86">
        <f t="shared" si="19"/>
        <v>2014</v>
      </c>
      <c r="Q63" s="87">
        <f t="shared" si="20"/>
        <v>0</v>
      </c>
      <c r="R63" s="87">
        <f t="shared" si="21"/>
        <v>0</v>
      </c>
      <c r="S63" s="88">
        <f t="shared" si="22"/>
        <v>0</v>
      </c>
      <c r="T63" s="89">
        <f t="shared" si="23"/>
        <v>0</v>
      </c>
      <c r="U63" s="89">
        <f t="shared" si="2"/>
        <v>0</v>
      </c>
      <c r="V63" s="86">
        <v>139</v>
      </c>
      <c r="W63" s="87">
        <v>184</v>
      </c>
      <c r="X63" s="87">
        <v>125</v>
      </c>
      <c r="Y63" s="87">
        <v>40</v>
      </c>
      <c r="Z63" s="90">
        <v>211</v>
      </c>
      <c r="AA63" s="90">
        <v>84</v>
      </c>
      <c r="AB63" s="91">
        <f t="shared" si="3"/>
        <v>0.10775193798449613</v>
      </c>
      <c r="AC63" s="91">
        <f t="shared" si="4"/>
        <v>0.14263565891472868</v>
      </c>
      <c r="AD63" s="91">
        <f t="shared" si="5"/>
        <v>9.6899224806201556E-2</v>
      </c>
      <c r="AE63" s="91">
        <f t="shared" si="6"/>
        <v>3.1007751937984496E-2</v>
      </c>
      <c r="AF63" s="91">
        <f t="shared" si="7"/>
        <v>0.16356589147286821</v>
      </c>
      <c r="AG63" s="91">
        <f t="shared" si="8"/>
        <v>6.5116279069767441E-2</v>
      </c>
      <c r="AH63" s="92">
        <v>611.49</v>
      </c>
      <c r="AI63" s="93">
        <v>1375.2000000000003</v>
      </c>
      <c r="AJ63" s="93">
        <v>1375.2</v>
      </c>
      <c r="AK63" s="93">
        <v>1292.8900000000001</v>
      </c>
      <c r="AL63" s="94">
        <v>418</v>
      </c>
      <c r="AM63" s="94">
        <v>-1021</v>
      </c>
      <c r="AN63" s="94" t="s">
        <v>780</v>
      </c>
      <c r="AO63" s="111">
        <v>4780</v>
      </c>
      <c r="AP63" s="112">
        <v>0</v>
      </c>
      <c r="AQ63" s="112">
        <v>0</v>
      </c>
      <c r="AR63" s="112">
        <v>0</v>
      </c>
      <c r="AS63" s="113">
        <v>0</v>
      </c>
      <c r="AT63" s="113">
        <v>0</v>
      </c>
      <c r="AU63" s="111">
        <v>0</v>
      </c>
      <c r="AV63" s="112">
        <v>0</v>
      </c>
      <c r="AW63" s="112">
        <v>0</v>
      </c>
      <c r="AX63" s="112">
        <v>0</v>
      </c>
      <c r="AY63" s="113">
        <v>0</v>
      </c>
      <c r="AZ63" s="113">
        <v>0</v>
      </c>
    </row>
    <row r="64" spans="1:52" x14ac:dyDescent="0.25">
      <c r="A64" s="101" t="s">
        <v>901</v>
      </c>
      <c r="B64" s="102" t="s">
        <v>53</v>
      </c>
      <c r="C64" s="102"/>
      <c r="D64" s="102" t="s">
        <v>1048</v>
      </c>
      <c r="E64" s="103">
        <v>10.010000000000002</v>
      </c>
      <c r="F64" s="104">
        <v>200</v>
      </c>
      <c r="G64" s="105">
        <f t="shared" si="0"/>
        <v>100</v>
      </c>
      <c r="H64" s="105">
        <v>68</v>
      </c>
      <c r="I64" s="106">
        <f t="shared" si="1"/>
        <v>1.4705882352941178</v>
      </c>
      <c r="J64" s="86">
        <v>0</v>
      </c>
      <c r="K64" s="87">
        <v>0</v>
      </c>
      <c r="L64" s="87">
        <v>0</v>
      </c>
      <c r="M64" s="87">
        <v>0</v>
      </c>
      <c r="N64" s="90"/>
      <c r="O64" s="90">
        <v>0</v>
      </c>
      <c r="P64" s="86">
        <f t="shared" si="19"/>
        <v>0</v>
      </c>
      <c r="Q64" s="87">
        <f t="shared" si="20"/>
        <v>0</v>
      </c>
      <c r="R64" s="87">
        <f t="shared" si="21"/>
        <v>0</v>
      </c>
      <c r="S64" s="88">
        <f t="shared" si="22"/>
        <v>0</v>
      </c>
      <c r="T64" s="89">
        <f t="shared" si="23"/>
        <v>0</v>
      </c>
      <c r="U64" s="89">
        <f t="shared" si="2"/>
        <v>0</v>
      </c>
      <c r="V64" s="86">
        <v>0</v>
      </c>
      <c r="W64" s="87">
        <v>0</v>
      </c>
      <c r="X64" s="87">
        <v>0</v>
      </c>
      <c r="Y64" s="87">
        <v>0</v>
      </c>
      <c r="Z64" s="90">
        <v>0</v>
      </c>
      <c r="AA64" s="90">
        <v>0</v>
      </c>
      <c r="AB64" s="91">
        <f t="shared" si="3"/>
        <v>0</v>
      </c>
      <c r="AC64" s="91">
        <f t="shared" si="4"/>
        <v>0</v>
      </c>
      <c r="AD64" s="91">
        <f t="shared" si="5"/>
        <v>0</v>
      </c>
      <c r="AE64" s="91">
        <f t="shared" si="6"/>
        <v>0</v>
      </c>
      <c r="AF64" s="91">
        <f t="shared" si="7"/>
        <v>0</v>
      </c>
      <c r="AG64" s="91">
        <f t="shared" si="8"/>
        <v>0</v>
      </c>
      <c r="AH64" s="92">
        <v>0</v>
      </c>
      <c r="AI64" s="93">
        <v>0</v>
      </c>
      <c r="AJ64" s="93">
        <v>0</v>
      </c>
      <c r="AK64" s="93">
        <v>0</v>
      </c>
      <c r="AL64" s="94">
        <v>0</v>
      </c>
      <c r="AM64" s="94">
        <v>0</v>
      </c>
      <c r="AN64" s="94" t="s">
        <v>779</v>
      </c>
      <c r="AO64" s="111">
        <v>0</v>
      </c>
      <c r="AP64" s="112">
        <v>0</v>
      </c>
      <c r="AQ64" s="112">
        <v>0</v>
      </c>
      <c r="AR64" s="112">
        <v>0</v>
      </c>
      <c r="AS64" s="113">
        <v>0</v>
      </c>
      <c r="AT64" s="113">
        <v>0</v>
      </c>
      <c r="AU64" s="111">
        <v>0</v>
      </c>
      <c r="AV64" s="112">
        <v>0</v>
      </c>
      <c r="AW64" s="112">
        <v>0</v>
      </c>
      <c r="AX64" s="112">
        <v>0</v>
      </c>
      <c r="AY64" s="113">
        <v>0</v>
      </c>
      <c r="AZ64" s="113">
        <v>0</v>
      </c>
    </row>
    <row r="65" spans="1:52" x14ac:dyDescent="0.25">
      <c r="A65" s="101" t="s">
        <v>902</v>
      </c>
      <c r="B65" s="102" t="s">
        <v>269</v>
      </c>
      <c r="C65" s="102"/>
      <c r="D65" s="102" t="s">
        <v>1048</v>
      </c>
      <c r="E65" s="103">
        <v>9.9599999999999937</v>
      </c>
      <c r="F65" s="104">
        <v>400</v>
      </c>
      <c r="G65" s="105">
        <f t="shared" si="0"/>
        <v>200</v>
      </c>
      <c r="H65" s="105">
        <v>334</v>
      </c>
      <c r="I65" s="106">
        <f t="shared" si="1"/>
        <v>0.59880239520958078</v>
      </c>
      <c r="J65" s="86">
        <v>90</v>
      </c>
      <c r="K65" s="87">
        <v>0</v>
      </c>
      <c r="L65" s="87">
        <v>0</v>
      </c>
      <c r="M65" s="87">
        <v>0</v>
      </c>
      <c r="N65" s="90"/>
      <c r="O65" s="90">
        <v>31</v>
      </c>
      <c r="P65" s="86">
        <f t="shared" si="19"/>
        <v>896.39999999999941</v>
      </c>
      <c r="Q65" s="87">
        <f t="shared" si="20"/>
        <v>0</v>
      </c>
      <c r="R65" s="87">
        <f t="shared" si="21"/>
        <v>0</v>
      </c>
      <c r="S65" s="88">
        <f t="shared" si="22"/>
        <v>0</v>
      </c>
      <c r="T65" s="89">
        <f t="shared" si="23"/>
        <v>0</v>
      </c>
      <c r="U65" s="89">
        <f t="shared" si="2"/>
        <v>308.75999999999982</v>
      </c>
      <c r="V65" s="86">
        <v>13</v>
      </c>
      <c r="W65" s="87">
        <v>36</v>
      </c>
      <c r="X65" s="87">
        <v>0</v>
      </c>
      <c r="Y65" s="87">
        <v>0</v>
      </c>
      <c r="Z65" s="90">
        <v>168</v>
      </c>
      <c r="AA65" s="90">
        <v>0</v>
      </c>
      <c r="AB65" s="91">
        <f t="shared" si="3"/>
        <v>3.8922155688622756E-2</v>
      </c>
      <c r="AC65" s="91">
        <f t="shared" si="4"/>
        <v>0.10778443113772455</v>
      </c>
      <c r="AD65" s="91">
        <f t="shared" si="5"/>
        <v>0</v>
      </c>
      <c r="AE65" s="91">
        <f t="shared" si="6"/>
        <v>0</v>
      </c>
      <c r="AF65" s="91">
        <f t="shared" si="7"/>
        <v>0.50299401197604787</v>
      </c>
      <c r="AG65" s="91">
        <f t="shared" si="8"/>
        <v>0</v>
      </c>
      <c r="AH65" s="92">
        <v>94.15</v>
      </c>
      <c r="AI65" s="93">
        <v>284.89999999999986</v>
      </c>
      <c r="AJ65" s="93">
        <v>284.89999999999992</v>
      </c>
      <c r="AK65" s="93">
        <v>0</v>
      </c>
      <c r="AL65" s="94">
        <v>1673.2799999999988</v>
      </c>
      <c r="AM65" s="94">
        <v>0</v>
      </c>
      <c r="AN65" s="94" t="s">
        <v>779</v>
      </c>
      <c r="AO65" s="111">
        <v>3294.9</v>
      </c>
      <c r="AP65" s="112">
        <v>0</v>
      </c>
      <c r="AQ65" s="112">
        <v>0</v>
      </c>
      <c r="AR65" s="112">
        <v>0</v>
      </c>
      <c r="AS65" s="113">
        <v>0</v>
      </c>
      <c r="AT65" s="113">
        <v>1152.27</v>
      </c>
      <c r="AU65" s="111">
        <v>0</v>
      </c>
      <c r="AV65" s="112">
        <v>0</v>
      </c>
      <c r="AW65" s="112">
        <v>0</v>
      </c>
      <c r="AX65" s="112">
        <v>0</v>
      </c>
      <c r="AY65" s="113">
        <v>0</v>
      </c>
      <c r="AZ65" s="113">
        <v>0</v>
      </c>
    </row>
    <row r="66" spans="1:52" x14ac:dyDescent="0.25">
      <c r="A66" s="101" t="s">
        <v>103</v>
      </c>
      <c r="B66" s="102" t="s">
        <v>104</v>
      </c>
      <c r="C66" s="102"/>
      <c r="D66" s="102" t="s">
        <v>1048</v>
      </c>
      <c r="E66" s="103">
        <v>9.91</v>
      </c>
      <c r="F66" s="104">
        <v>50</v>
      </c>
      <c r="G66" s="105">
        <f t="shared" ref="G66:G129" si="24">F66/2</f>
        <v>25</v>
      </c>
      <c r="H66" s="105">
        <v>27</v>
      </c>
      <c r="I66" s="106">
        <f t="shared" ref="I66:I129" si="25">+G66/H66</f>
        <v>0.92592592592592593</v>
      </c>
      <c r="J66" s="86">
        <v>0</v>
      </c>
      <c r="K66" s="87">
        <v>0</v>
      </c>
      <c r="L66" s="87">
        <v>0</v>
      </c>
      <c r="M66" s="87">
        <v>0</v>
      </c>
      <c r="N66" s="90">
        <v>50</v>
      </c>
      <c r="O66" s="90">
        <v>0</v>
      </c>
      <c r="P66" s="86">
        <f t="shared" si="19"/>
        <v>0</v>
      </c>
      <c r="Q66" s="87">
        <f t="shared" si="20"/>
        <v>0</v>
      </c>
      <c r="R66" s="87">
        <f t="shared" si="21"/>
        <v>0</v>
      </c>
      <c r="S66" s="88">
        <f t="shared" si="22"/>
        <v>0</v>
      </c>
      <c r="T66" s="89">
        <f t="shared" si="23"/>
        <v>495.5</v>
      </c>
      <c r="U66" s="89">
        <f t="shared" ref="U66:U129" si="26">+O66*E66</f>
        <v>0</v>
      </c>
      <c r="V66" s="86">
        <v>13</v>
      </c>
      <c r="W66" s="87">
        <v>22</v>
      </c>
      <c r="X66" s="87">
        <v>13</v>
      </c>
      <c r="Y66" s="87">
        <v>9</v>
      </c>
      <c r="Z66" s="90">
        <v>12</v>
      </c>
      <c r="AA66" s="90">
        <v>11</v>
      </c>
      <c r="AB66" s="91">
        <f t="shared" ref="AB66:AB129" si="27">+IFERROR(V66/H66,"")</f>
        <v>0.48148148148148145</v>
      </c>
      <c r="AC66" s="91">
        <f t="shared" ref="AC66:AC129" si="28">+IFERROR(W66/H66,"")</f>
        <v>0.81481481481481477</v>
      </c>
      <c r="AD66" s="91">
        <f t="shared" ref="AD66:AD129" si="29">+IFERROR(X66/H66,"")</f>
        <v>0.48148148148148145</v>
      </c>
      <c r="AE66" s="91">
        <f t="shared" ref="AE66:AE129" si="30">+IFERROR(Y66/H66,"")</f>
        <v>0.33333333333333331</v>
      </c>
      <c r="AF66" s="91">
        <f t="shared" ref="AF66:AF129" si="31">+IFERROR(Z66/H66,"")</f>
        <v>0.44444444444444442</v>
      </c>
      <c r="AG66" s="91">
        <f t="shared" ref="AG66:AG129" si="32">+IFERROR(AA66/H66,"")</f>
        <v>0.40740740740740738</v>
      </c>
      <c r="AH66" s="92">
        <v>280.87</v>
      </c>
      <c r="AI66" s="93">
        <v>427.23</v>
      </c>
      <c r="AJ66" s="93">
        <v>427.23</v>
      </c>
      <c r="AK66" s="93">
        <v>254.04000000000002</v>
      </c>
      <c r="AL66" s="94">
        <v>154.16</v>
      </c>
      <c r="AM66" s="94">
        <v>151.45999999999901</v>
      </c>
      <c r="AN66" s="94" t="s">
        <v>779</v>
      </c>
      <c r="AO66" s="111">
        <v>0</v>
      </c>
      <c r="AP66" s="112">
        <v>0</v>
      </c>
      <c r="AQ66" s="112">
        <v>0</v>
      </c>
      <c r="AR66" s="112">
        <v>0</v>
      </c>
      <c r="AS66" s="113">
        <v>661</v>
      </c>
      <c r="AT66" s="113">
        <v>0</v>
      </c>
      <c r="AU66" s="111">
        <v>454.94000000000011</v>
      </c>
      <c r="AV66" s="112">
        <v>721.81</v>
      </c>
      <c r="AW66" s="112">
        <v>428.11</v>
      </c>
      <c r="AX66" s="112">
        <v>274.67</v>
      </c>
      <c r="AY66" s="113">
        <v>398.78</v>
      </c>
      <c r="AZ66" s="113">
        <v>297.64999999999998</v>
      </c>
    </row>
    <row r="67" spans="1:52" x14ac:dyDescent="0.25">
      <c r="A67" s="101" t="s">
        <v>253</v>
      </c>
      <c r="B67" s="102" t="s">
        <v>254</v>
      </c>
      <c r="C67" s="102"/>
      <c r="D67" s="102" t="s">
        <v>1048</v>
      </c>
      <c r="E67" s="103">
        <v>9.740000000000002</v>
      </c>
      <c r="F67" s="104">
        <v>2000</v>
      </c>
      <c r="G67" s="105">
        <f t="shared" si="24"/>
        <v>1000</v>
      </c>
      <c r="H67" s="105">
        <v>2620</v>
      </c>
      <c r="I67" s="106">
        <f t="shared" si="25"/>
        <v>0.38167938931297712</v>
      </c>
      <c r="J67" s="86">
        <v>0</v>
      </c>
      <c r="K67" s="87">
        <v>0</v>
      </c>
      <c r="L67" s="87">
        <v>0</v>
      </c>
      <c r="M67" s="87">
        <v>500</v>
      </c>
      <c r="N67" s="90"/>
      <c r="O67" s="90">
        <v>0</v>
      </c>
      <c r="P67" s="86">
        <f t="shared" si="19"/>
        <v>0</v>
      </c>
      <c r="Q67" s="87">
        <f t="shared" si="20"/>
        <v>0</v>
      </c>
      <c r="R67" s="87">
        <f t="shared" si="21"/>
        <v>0</v>
      </c>
      <c r="S67" s="88">
        <f t="shared" si="22"/>
        <v>4870.0000000000009</v>
      </c>
      <c r="T67" s="89">
        <f t="shared" si="23"/>
        <v>0</v>
      </c>
      <c r="U67" s="89">
        <f t="shared" si="26"/>
        <v>0</v>
      </c>
      <c r="V67" s="86">
        <v>559</v>
      </c>
      <c r="W67" s="87">
        <v>435</v>
      </c>
      <c r="X67" s="87">
        <v>300</v>
      </c>
      <c r="Y67" s="87">
        <v>485</v>
      </c>
      <c r="Z67" s="90">
        <v>624</v>
      </c>
      <c r="AA67" s="90">
        <v>185</v>
      </c>
      <c r="AB67" s="91">
        <f t="shared" si="27"/>
        <v>0.2133587786259542</v>
      </c>
      <c r="AC67" s="91">
        <f t="shared" si="28"/>
        <v>0.16603053435114504</v>
      </c>
      <c r="AD67" s="91">
        <f t="shared" si="29"/>
        <v>0.11450381679389313</v>
      </c>
      <c r="AE67" s="91">
        <f t="shared" si="30"/>
        <v>0.1851145038167939</v>
      </c>
      <c r="AF67" s="91">
        <f t="shared" si="31"/>
        <v>0.2381679389312977</v>
      </c>
      <c r="AG67" s="91">
        <f t="shared" si="32"/>
        <v>7.061068702290077E-2</v>
      </c>
      <c r="AH67" s="92">
        <v>4955.0000000000045</v>
      </c>
      <c r="AI67" s="93">
        <v>3707.1399999999931</v>
      </c>
      <c r="AJ67" s="93">
        <v>3707.1399999999931</v>
      </c>
      <c r="AK67" s="93">
        <v>1689.6999999999962</v>
      </c>
      <c r="AL67" s="94">
        <v>2627.08</v>
      </c>
      <c r="AM67" s="94">
        <v>1474.3799999999901</v>
      </c>
      <c r="AN67" s="94" t="s">
        <v>779</v>
      </c>
      <c r="AO67" s="111">
        <v>0</v>
      </c>
      <c r="AP67" s="112">
        <v>0</v>
      </c>
      <c r="AQ67" s="112">
        <v>0</v>
      </c>
      <c r="AR67" s="112">
        <v>14980</v>
      </c>
      <c r="AS67" s="113">
        <v>0</v>
      </c>
      <c r="AT67" s="113">
        <v>0</v>
      </c>
      <c r="AU67" s="111">
        <v>22172.199999999979</v>
      </c>
      <c r="AV67" s="112">
        <v>17105.14</v>
      </c>
      <c r="AW67" s="112">
        <v>11889.7</v>
      </c>
      <c r="AX67" s="112">
        <v>19120.279999999901</v>
      </c>
      <c r="AY67" s="113">
        <v>24282.559999999801</v>
      </c>
      <c r="AZ67" s="113">
        <v>7016.9799999999896</v>
      </c>
    </row>
    <row r="68" spans="1:52" x14ac:dyDescent="0.25">
      <c r="A68" s="101" t="s">
        <v>335</v>
      </c>
      <c r="B68" s="102" t="s">
        <v>336</v>
      </c>
      <c r="C68" s="102" t="s">
        <v>1063</v>
      </c>
      <c r="D68" s="102" t="s">
        <v>1048</v>
      </c>
      <c r="E68" s="103">
        <v>9.5500000000000043</v>
      </c>
      <c r="F68" s="104">
        <v>8000</v>
      </c>
      <c r="G68" s="105">
        <f t="shared" si="24"/>
        <v>4000</v>
      </c>
      <c r="H68" s="105">
        <v>11469</v>
      </c>
      <c r="I68" s="106">
        <f t="shared" si="25"/>
        <v>0.34876623942802337</v>
      </c>
      <c r="J68" s="86">
        <v>4752</v>
      </c>
      <c r="K68" s="87">
        <v>3929.3333333333335</v>
      </c>
      <c r="L68" s="87">
        <v>1810</v>
      </c>
      <c r="M68" s="87">
        <v>2188.666666666667</v>
      </c>
      <c r="N68" s="90">
        <v>1991.666666666667</v>
      </c>
      <c r="O68" s="90">
        <v>5225</v>
      </c>
      <c r="P68" s="86">
        <f t="shared" si="19"/>
        <v>45381.60000000002</v>
      </c>
      <c r="Q68" s="87">
        <f t="shared" si="20"/>
        <v>37525.133333333353</v>
      </c>
      <c r="R68" s="87">
        <f t="shared" si="21"/>
        <v>17285.500000000007</v>
      </c>
      <c r="S68" s="88">
        <f t="shared" si="22"/>
        <v>20901.766666666677</v>
      </c>
      <c r="T68" s="89">
        <f t="shared" si="23"/>
        <v>19020.416666666679</v>
      </c>
      <c r="U68" s="89">
        <f t="shared" si="26"/>
        <v>49898.750000000022</v>
      </c>
      <c r="V68" s="86">
        <v>3278</v>
      </c>
      <c r="W68" s="87">
        <v>3971</v>
      </c>
      <c r="X68" s="87">
        <v>4841</v>
      </c>
      <c r="Y68" s="87">
        <v>3803</v>
      </c>
      <c r="Z68" s="90">
        <v>4738</v>
      </c>
      <c r="AA68" s="90">
        <v>2167</v>
      </c>
      <c r="AB68" s="91">
        <f t="shared" si="27"/>
        <v>0.28581393321126514</v>
      </c>
      <c r="AC68" s="91">
        <f t="shared" si="28"/>
        <v>0.34623768419217021</v>
      </c>
      <c r="AD68" s="91">
        <f t="shared" si="29"/>
        <v>0.42209434126776529</v>
      </c>
      <c r="AE68" s="91">
        <f t="shared" si="30"/>
        <v>0.3315895021361932</v>
      </c>
      <c r="AF68" s="91">
        <f t="shared" si="31"/>
        <v>0.41311361060249369</v>
      </c>
      <c r="AG68" s="91">
        <f t="shared" si="32"/>
        <v>0.18894411021013166</v>
      </c>
      <c r="AH68" s="92">
        <v>14254.780000000021</v>
      </c>
      <c r="AI68" s="93">
        <v>20459.72999999997</v>
      </c>
      <c r="AJ68" s="93">
        <v>20459.729999999974</v>
      </c>
      <c r="AK68" s="93">
        <v>20469.459999999977</v>
      </c>
      <c r="AL68" s="94">
        <v>20059.82</v>
      </c>
      <c r="AM68" s="94">
        <v>12138.559999999899</v>
      </c>
      <c r="AN68" s="94" t="s">
        <v>779</v>
      </c>
      <c r="AO68" s="111">
        <v>225834.16</v>
      </c>
      <c r="AP68" s="112">
        <v>188556.34000000003</v>
      </c>
      <c r="AQ68" s="112">
        <v>85269.16</v>
      </c>
      <c r="AR68" s="112">
        <v>97971.14</v>
      </c>
      <c r="AS68" s="113">
        <v>87916.15</v>
      </c>
      <c r="AT68" s="113">
        <v>374562.95</v>
      </c>
      <c r="AU68" s="111">
        <v>168911.94999999899</v>
      </c>
      <c r="AV68" s="112">
        <v>207400.24999999919</v>
      </c>
      <c r="AW68" s="112">
        <v>249975.06999999844</v>
      </c>
      <c r="AX68" s="112">
        <v>200394.68999999599</v>
      </c>
      <c r="AY68" s="113">
        <v>241817.200000004</v>
      </c>
      <c r="AZ68" s="113">
        <v>108605.379999999</v>
      </c>
    </row>
    <row r="69" spans="1:52" x14ac:dyDescent="0.25">
      <c r="A69" s="101" t="s">
        <v>903</v>
      </c>
      <c r="B69" s="102" t="s">
        <v>384</v>
      </c>
      <c r="C69" s="102"/>
      <c r="D69" s="102" t="s">
        <v>1048</v>
      </c>
      <c r="E69" s="103">
        <v>9.2800000000000011</v>
      </c>
      <c r="F69" s="104">
        <v>6000</v>
      </c>
      <c r="G69" s="105">
        <f t="shared" si="24"/>
        <v>3000</v>
      </c>
      <c r="H69" s="105">
        <v>14695</v>
      </c>
      <c r="I69" s="106">
        <f t="shared" si="25"/>
        <v>0.20415107179312691</v>
      </c>
      <c r="J69" s="86">
        <v>363.5</v>
      </c>
      <c r="K69" s="87">
        <v>1319.6666666666667</v>
      </c>
      <c r="L69" s="87">
        <v>2668.166666666667</v>
      </c>
      <c r="M69" s="87">
        <v>1760.5</v>
      </c>
      <c r="N69" s="90">
        <v>564.16666666666674</v>
      </c>
      <c r="O69" s="90">
        <v>796</v>
      </c>
      <c r="P69" s="86">
        <f t="shared" si="19"/>
        <v>3373.28</v>
      </c>
      <c r="Q69" s="87">
        <f t="shared" si="20"/>
        <v>12246.506666666668</v>
      </c>
      <c r="R69" s="87">
        <f t="shared" si="21"/>
        <v>24760.586666666673</v>
      </c>
      <c r="S69" s="88">
        <f t="shared" si="22"/>
        <v>16337.440000000002</v>
      </c>
      <c r="T69" s="89">
        <f t="shared" si="23"/>
        <v>5235.4666666666681</v>
      </c>
      <c r="U69" s="89">
        <f t="shared" si="26"/>
        <v>7386.880000000001</v>
      </c>
      <c r="V69" s="86">
        <v>292</v>
      </c>
      <c r="W69" s="87">
        <v>496</v>
      </c>
      <c r="X69" s="87">
        <v>1338</v>
      </c>
      <c r="Y69" s="87">
        <v>1990</v>
      </c>
      <c r="Z69" s="90">
        <v>1996</v>
      </c>
      <c r="AA69" s="90">
        <v>918</v>
      </c>
      <c r="AB69" s="91">
        <f t="shared" si="27"/>
        <v>1.9870704321197686E-2</v>
      </c>
      <c r="AC69" s="91">
        <f t="shared" si="28"/>
        <v>3.3752977203130315E-2</v>
      </c>
      <c r="AD69" s="91">
        <f t="shared" si="29"/>
        <v>9.1051378019734605E-2</v>
      </c>
      <c r="AE69" s="91">
        <f t="shared" si="30"/>
        <v>0.13542021095610751</v>
      </c>
      <c r="AF69" s="91">
        <f t="shared" si="31"/>
        <v>0.13582851309969377</v>
      </c>
      <c r="AG69" s="91">
        <f t="shared" si="32"/>
        <v>6.2470227968696834E-2</v>
      </c>
      <c r="AH69" s="92">
        <v>3198.04</v>
      </c>
      <c r="AI69" s="93">
        <v>4259.4799999999932</v>
      </c>
      <c r="AJ69" s="93">
        <v>4259.479999999995</v>
      </c>
      <c r="AK69" s="93">
        <v>8919.9999999999836</v>
      </c>
      <c r="AL69" s="94">
        <v>11165.92</v>
      </c>
      <c r="AM69" s="94">
        <v>5532.0999999999904</v>
      </c>
      <c r="AN69" s="94" t="s">
        <v>779</v>
      </c>
      <c r="AO69" s="111">
        <v>21439.009999999995</v>
      </c>
      <c r="AP69" s="112">
        <v>80436.379999999976</v>
      </c>
      <c r="AQ69" s="112">
        <v>165871.6</v>
      </c>
      <c r="AR69" s="112">
        <v>105600.83999999997</v>
      </c>
      <c r="AS69" s="113">
        <v>34411.81</v>
      </c>
      <c r="AT69" s="113">
        <v>12905.240000000002</v>
      </c>
      <c r="AU69" s="111">
        <v>0</v>
      </c>
      <c r="AV69" s="112">
        <v>0</v>
      </c>
      <c r="AW69" s="112">
        <v>0</v>
      </c>
      <c r="AX69" s="112">
        <v>0</v>
      </c>
      <c r="AY69" s="113">
        <v>0</v>
      </c>
      <c r="AZ69" s="113">
        <v>0</v>
      </c>
    </row>
    <row r="70" spans="1:52" x14ac:dyDescent="0.25">
      <c r="A70" s="101" t="s">
        <v>799</v>
      </c>
      <c r="B70" s="102" t="s">
        <v>842</v>
      </c>
      <c r="C70" s="102"/>
      <c r="D70" s="102" t="s">
        <v>1048</v>
      </c>
      <c r="E70" s="103">
        <v>9.2777948880216563</v>
      </c>
      <c r="F70" s="104">
        <v>600</v>
      </c>
      <c r="G70" s="105">
        <f t="shared" si="24"/>
        <v>300</v>
      </c>
      <c r="H70" s="105">
        <v>933</v>
      </c>
      <c r="I70" s="106">
        <f t="shared" si="25"/>
        <v>0.32154340836012862</v>
      </c>
      <c r="J70" s="86">
        <v>0</v>
      </c>
      <c r="K70" s="86">
        <v>0</v>
      </c>
      <c r="L70" s="86">
        <v>0</v>
      </c>
      <c r="M70" s="86">
        <v>0</v>
      </c>
      <c r="N70" s="86">
        <v>0</v>
      </c>
      <c r="O70" s="90">
        <v>0</v>
      </c>
      <c r="P70" s="86"/>
      <c r="Q70" s="87"/>
      <c r="R70" s="87"/>
      <c r="S70" s="88"/>
      <c r="T70" s="89"/>
      <c r="U70" s="89">
        <f t="shared" si="26"/>
        <v>0</v>
      </c>
      <c r="V70" s="86"/>
      <c r="W70" s="87"/>
      <c r="X70" s="87"/>
      <c r="Y70" s="87"/>
      <c r="Z70" s="90"/>
      <c r="AA70" s="90"/>
      <c r="AB70" s="91">
        <f t="shared" si="27"/>
        <v>0</v>
      </c>
      <c r="AC70" s="91">
        <f t="shared" si="28"/>
        <v>0</v>
      </c>
      <c r="AD70" s="91">
        <f t="shared" si="29"/>
        <v>0</v>
      </c>
      <c r="AE70" s="91">
        <f t="shared" si="30"/>
        <v>0</v>
      </c>
      <c r="AF70" s="91">
        <f t="shared" si="31"/>
        <v>0</v>
      </c>
      <c r="AG70" s="91">
        <f t="shared" si="32"/>
        <v>0</v>
      </c>
      <c r="AH70" s="92"/>
      <c r="AI70" s="93"/>
      <c r="AJ70" s="93"/>
      <c r="AK70" s="93"/>
      <c r="AL70" s="94"/>
      <c r="AM70" s="94"/>
      <c r="AN70" s="94" t="s">
        <v>780</v>
      </c>
      <c r="AO70" s="111">
        <v>0</v>
      </c>
      <c r="AP70" s="112">
        <v>0</v>
      </c>
      <c r="AQ70" s="112">
        <v>0</v>
      </c>
      <c r="AR70" s="112">
        <v>0</v>
      </c>
      <c r="AS70" s="113">
        <v>0</v>
      </c>
      <c r="AT70" s="113">
        <v>0</v>
      </c>
      <c r="AU70" s="111">
        <v>1221.42</v>
      </c>
      <c r="AV70" s="112">
        <v>0</v>
      </c>
      <c r="AW70" s="112">
        <v>0</v>
      </c>
      <c r="AX70" s="112">
        <v>520.5</v>
      </c>
      <c r="AY70" s="113">
        <v>4702.4399999999996</v>
      </c>
      <c r="AZ70" s="113">
        <v>6538.1599999999899</v>
      </c>
    </row>
    <row r="71" spans="1:52" x14ac:dyDescent="0.25">
      <c r="A71" s="101" t="s">
        <v>904</v>
      </c>
      <c r="B71" s="102" t="s">
        <v>102</v>
      </c>
      <c r="C71" s="102"/>
      <c r="D71" s="102" t="s">
        <v>1048</v>
      </c>
      <c r="E71" s="103">
        <v>9.1599999999999984</v>
      </c>
      <c r="F71" s="104">
        <v>500</v>
      </c>
      <c r="G71" s="105">
        <f t="shared" si="24"/>
        <v>250</v>
      </c>
      <c r="H71" s="105">
        <v>508</v>
      </c>
      <c r="I71" s="106">
        <f t="shared" si="25"/>
        <v>0.49212598425196852</v>
      </c>
      <c r="J71" s="86">
        <v>0</v>
      </c>
      <c r="K71" s="87">
        <v>0</v>
      </c>
      <c r="L71" s="87">
        <v>0</v>
      </c>
      <c r="M71" s="87">
        <v>0</v>
      </c>
      <c r="N71" s="90">
        <v>31</v>
      </c>
      <c r="O71" s="90">
        <v>120</v>
      </c>
      <c r="P71" s="86">
        <f t="shared" ref="P71:P91" si="33">+J71*E71</f>
        <v>0</v>
      </c>
      <c r="Q71" s="87">
        <f t="shared" ref="Q71:Q91" si="34">+K71*E71</f>
        <v>0</v>
      </c>
      <c r="R71" s="87">
        <f t="shared" ref="R71:R91" si="35">+L71*E71</f>
        <v>0</v>
      </c>
      <c r="S71" s="88">
        <f t="shared" ref="S71:S91" si="36">+M71*E71</f>
        <v>0</v>
      </c>
      <c r="T71" s="89">
        <f t="shared" ref="T71:T91" si="37">+N71*E71</f>
        <v>283.95999999999992</v>
      </c>
      <c r="U71" s="89">
        <f t="shared" si="26"/>
        <v>1099.1999999999998</v>
      </c>
      <c r="V71" s="86">
        <v>0</v>
      </c>
      <c r="W71" s="87">
        <v>0</v>
      </c>
      <c r="X71" s="87">
        <v>0</v>
      </c>
      <c r="Y71" s="87">
        <v>0</v>
      </c>
      <c r="Z71" s="90">
        <v>0</v>
      </c>
      <c r="AA71" s="90">
        <v>30</v>
      </c>
      <c r="AB71" s="91">
        <f t="shared" si="27"/>
        <v>0</v>
      </c>
      <c r="AC71" s="91">
        <f t="shared" si="28"/>
        <v>0</v>
      </c>
      <c r="AD71" s="91">
        <f t="shared" si="29"/>
        <v>0</v>
      </c>
      <c r="AE71" s="91">
        <f t="shared" si="30"/>
        <v>0</v>
      </c>
      <c r="AF71" s="91">
        <f t="shared" si="31"/>
        <v>0</v>
      </c>
      <c r="AG71" s="91">
        <f t="shared" si="32"/>
        <v>5.905511811023622E-2</v>
      </c>
      <c r="AH71" s="92">
        <v>0</v>
      </c>
      <c r="AI71" s="93">
        <v>0</v>
      </c>
      <c r="AJ71" s="93">
        <v>0</v>
      </c>
      <c r="AK71" s="93">
        <v>0</v>
      </c>
      <c r="AL71" s="94">
        <v>0</v>
      </c>
      <c r="AM71" s="94">
        <v>281</v>
      </c>
      <c r="AN71" s="94" t="s">
        <v>779</v>
      </c>
      <c r="AO71" s="111">
        <v>0</v>
      </c>
      <c r="AP71" s="112">
        <v>0</v>
      </c>
      <c r="AQ71" s="112">
        <v>0</v>
      </c>
      <c r="AR71" s="112">
        <v>0</v>
      </c>
      <c r="AS71" s="113">
        <v>382.23</v>
      </c>
      <c r="AT71" s="113">
        <v>1402.8</v>
      </c>
      <c r="AU71" s="111">
        <v>0</v>
      </c>
      <c r="AV71" s="112">
        <v>0</v>
      </c>
      <c r="AW71" s="112">
        <v>0</v>
      </c>
      <c r="AX71" s="112">
        <v>0</v>
      </c>
      <c r="AY71" s="113">
        <v>0</v>
      </c>
      <c r="AZ71" s="113">
        <v>0</v>
      </c>
    </row>
    <row r="72" spans="1:52" x14ac:dyDescent="0.25">
      <c r="A72" s="101" t="s">
        <v>905</v>
      </c>
      <c r="B72" s="102" t="s">
        <v>51</v>
      </c>
      <c r="C72" s="102"/>
      <c r="D72" s="102" t="s">
        <v>1048</v>
      </c>
      <c r="E72" s="103">
        <v>9.11</v>
      </c>
      <c r="F72" s="104">
        <v>500</v>
      </c>
      <c r="G72" s="105">
        <f t="shared" si="24"/>
        <v>250</v>
      </c>
      <c r="H72" s="105">
        <v>6203</v>
      </c>
      <c r="I72" s="106">
        <f t="shared" si="25"/>
        <v>4.0303079155247459E-2</v>
      </c>
      <c r="J72" s="86">
        <v>1700</v>
      </c>
      <c r="K72" s="87">
        <v>0</v>
      </c>
      <c r="L72" s="87">
        <v>0</v>
      </c>
      <c r="M72" s="87">
        <v>0</v>
      </c>
      <c r="N72" s="90"/>
      <c r="O72" s="90">
        <v>0</v>
      </c>
      <c r="P72" s="86">
        <f t="shared" si="33"/>
        <v>15486.999999999998</v>
      </c>
      <c r="Q72" s="87">
        <f t="shared" si="34"/>
        <v>0</v>
      </c>
      <c r="R72" s="87">
        <f t="shared" si="35"/>
        <v>0</v>
      </c>
      <c r="S72" s="88">
        <f t="shared" si="36"/>
        <v>0</v>
      </c>
      <c r="T72" s="89">
        <f t="shared" si="37"/>
        <v>0</v>
      </c>
      <c r="U72" s="89">
        <f t="shared" si="26"/>
        <v>0</v>
      </c>
      <c r="V72" s="86">
        <v>0</v>
      </c>
      <c r="W72" s="87">
        <v>99</v>
      </c>
      <c r="X72" s="87">
        <v>158</v>
      </c>
      <c r="Y72" s="87">
        <v>311</v>
      </c>
      <c r="Z72" s="90">
        <v>591</v>
      </c>
      <c r="AA72" s="90">
        <v>455</v>
      </c>
      <c r="AB72" s="91">
        <f t="shared" si="27"/>
        <v>0</v>
      </c>
      <c r="AC72" s="91">
        <f t="shared" si="28"/>
        <v>1.5960019345477996E-2</v>
      </c>
      <c r="AD72" s="91">
        <f t="shared" si="29"/>
        <v>2.5471546026116395E-2</v>
      </c>
      <c r="AE72" s="91">
        <f t="shared" si="30"/>
        <v>5.013703046912784E-2</v>
      </c>
      <c r="AF72" s="91">
        <f t="shared" si="31"/>
        <v>9.5276479123004992E-2</v>
      </c>
      <c r="AG72" s="91">
        <f t="shared" si="32"/>
        <v>7.3351604062550382E-2</v>
      </c>
      <c r="AH72" s="92">
        <v>0</v>
      </c>
      <c r="AI72" s="93">
        <v>914.22999999999695</v>
      </c>
      <c r="AJ72" s="93">
        <v>914.22999999999695</v>
      </c>
      <c r="AK72" s="93">
        <v>1304.7199999999978</v>
      </c>
      <c r="AL72" s="94">
        <v>1934.0999999999899</v>
      </c>
      <c r="AM72" s="94">
        <v>2656.88</v>
      </c>
      <c r="AN72" s="94" t="s">
        <v>779</v>
      </c>
      <c r="AO72" s="111">
        <v>0</v>
      </c>
      <c r="AP72" s="112">
        <v>0</v>
      </c>
      <c r="AQ72" s="112">
        <v>0</v>
      </c>
      <c r="AR72" s="112">
        <v>0</v>
      </c>
      <c r="AS72" s="113">
        <v>0</v>
      </c>
      <c r="AT72" s="113">
        <v>0</v>
      </c>
      <c r="AU72" s="111">
        <v>0</v>
      </c>
      <c r="AV72" s="112">
        <v>0</v>
      </c>
      <c r="AW72" s="112">
        <v>0</v>
      </c>
      <c r="AX72" s="112">
        <v>0</v>
      </c>
      <c r="AY72" s="113">
        <v>0</v>
      </c>
      <c r="AZ72" s="113">
        <v>0</v>
      </c>
    </row>
    <row r="73" spans="1:52" x14ac:dyDescent="0.25">
      <c r="A73" s="101" t="s">
        <v>202</v>
      </c>
      <c r="B73" s="102" t="s">
        <v>203</v>
      </c>
      <c r="C73" s="102"/>
      <c r="D73" s="102" t="s">
        <v>1048</v>
      </c>
      <c r="E73" s="103">
        <v>8.9499999999999993</v>
      </c>
      <c r="F73" s="104">
        <v>300</v>
      </c>
      <c r="G73" s="105">
        <f t="shared" si="24"/>
        <v>150</v>
      </c>
      <c r="H73" s="105">
        <v>452</v>
      </c>
      <c r="I73" s="106">
        <f t="shared" si="25"/>
        <v>0.33185840707964603</v>
      </c>
      <c r="J73" s="86">
        <v>84</v>
      </c>
      <c r="K73" s="87">
        <v>0</v>
      </c>
      <c r="L73" s="87">
        <v>40</v>
      </c>
      <c r="M73" s="87">
        <v>0</v>
      </c>
      <c r="N73" s="90">
        <v>50</v>
      </c>
      <c r="O73" s="90">
        <v>340</v>
      </c>
      <c r="P73" s="86">
        <f t="shared" si="33"/>
        <v>751.8</v>
      </c>
      <c r="Q73" s="87">
        <f t="shared" si="34"/>
        <v>0</v>
      </c>
      <c r="R73" s="87">
        <f t="shared" si="35"/>
        <v>358</v>
      </c>
      <c r="S73" s="88">
        <f t="shared" si="36"/>
        <v>0</v>
      </c>
      <c r="T73" s="89">
        <f t="shared" si="37"/>
        <v>447.49999999999994</v>
      </c>
      <c r="U73" s="89">
        <f t="shared" si="26"/>
        <v>3042.9999999999995</v>
      </c>
      <c r="V73" s="86">
        <v>212</v>
      </c>
      <c r="W73" s="87">
        <v>52</v>
      </c>
      <c r="X73" s="87">
        <v>101</v>
      </c>
      <c r="Y73" s="87">
        <v>190</v>
      </c>
      <c r="Z73" s="90">
        <v>0</v>
      </c>
      <c r="AA73" s="90">
        <v>49</v>
      </c>
      <c r="AB73" s="91">
        <f t="shared" si="27"/>
        <v>0.46902654867256638</v>
      </c>
      <c r="AC73" s="91">
        <f t="shared" si="28"/>
        <v>0.11504424778761062</v>
      </c>
      <c r="AD73" s="91">
        <f t="shared" si="29"/>
        <v>0.22345132743362831</v>
      </c>
      <c r="AE73" s="91">
        <f t="shared" si="30"/>
        <v>0.42035398230088494</v>
      </c>
      <c r="AF73" s="91">
        <f t="shared" si="31"/>
        <v>0</v>
      </c>
      <c r="AG73" s="91">
        <f t="shared" si="32"/>
        <v>0.1084070796460177</v>
      </c>
      <c r="AH73" s="92">
        <v>1103.56</v>
      </c>
      <c r="AI73" s="93">
        <v>322.40999999999985</v>
      </c>
      <c r="AJ73" s="93">
        <v>322.40999999999991</v>
      </c>
      <c r="AK73" s="93">
        <v>436.99999999999989</v>
      </c>
      <c r="AL73" s="94">
        <v>789.83999999999901</v>
      </c>
      <c r="AM73" s="94">
        <v>358.7</v>
      </c>
      <c r="AN73" s="94" t="s">
        <v>779</v>
      </c>
      <c r="AO73" s="111">
        <v>1789.96</v>
      </c>
      <c r="AP73" s="112">
        <v>0</v>
      </c>
      <c r="AQ73" s="112">
        <v>890.8</v>
      </c>
      <c r="AR73" s="112">
        <v>0</v>
      </c>
      <c r="AS73" s="113">
        <v>1145.5</v>
      </c>
      <c r="AT73" s="113">
        <v>13973.679999999998</v>
      </c>
      <c r="AU73" s="111">
        <v>5625.66</v>
      </c>
      <c r="AV73" s="112">
        <v>1418.0499999999993</v>
      </c>
      <c r="AW73" s="112">
        <v>2985.5</v>
      </c>
      <c r="AX73" s="112">
        <v>5663</v>
      </c>
      <c r="AY73" s="113">
        <v>0</v>
      </c>
      <c r="AZ73" s="113">
        <v>1461.2</v>
      </c>
    </row>
    <row r="74" spans="1:52" x14ac:dyDescent="0.25">
      <c r="A74" s="101" t="s">
        <v>229</v>
      </c>
      <c r="B74" s="102" t="s">
        <v>230</v>
      </c>
      <c r="C74" s="102"/>
      <c r="D74" s="102" t="s">
        <v>1048</v>
      </c>
      <c r="E74" s="103">
        <v>8.759999999999998</v>
      </c>
      <c r="F74" s="104">
        <v>41.6</v>
      </c>
      <c r="G74" s="105">
        <f t="shared" si="24"/>
        <v>20.8</v>
      </c>
      <c r="H74" s="105">
        <v>1097</v>
      </c>
      <c r="I74" s="106">
        <f t="shared" si="25"/>
        <v>1.896080218778487E-2</v>
      </c>
      <c r="J74" s="86">
        <v>0</v>
      </c>
      <c r="K74" s="87">
        <v>0</v>
      </c>
      <c r="L74" s="87">
        <v>0</v>
      </c>
      <c r="M74" s="87">
        <v>0</v>
      </c>
      <c r="N74" s="90"/>
      <c r="O74" s="90">
        <v>0</v>
      </c>
      <c r="P74" s="86">
        <f t="shared" si="33"/>
        <v>0</v>
      </c>
      <c r="Q74" s="87">
        <f t="shared" si="34"/>
        <v>0</v>
      </c>
      <c r="R74" s="87">
        <f t="shared" si="35"/>
        <v>0</v>
      </c>
      <c r="S74" s="88">
        <f t="shared" si="36"/>
        <v>0</v>
      </c>
      <c r="T74" s="89">
        <f t="shared" si="37"/>
        <v>0</v>
      </c>
      <c r="U74" s="89">
        <f t="shared" si="26"/>
        <v>0</v>
      </c>
      <c r="V74" s="86">
        <v>30</v>
      </c>
      <c r="W74" s="87">
        <v>28</v>
      </c>
      <c r="X74" s="87">
        <v>33</v>
      </c>
      <c r="Y74" s="87">
        <v>11</v>
      </c>
      <c r="Z74" s="90">
        <v>2</v>
      </c>
      <c r="AA74" s="90">
        <v>11</v>
      </c>
      <c r="AB74" s="91">
        <f t="shared" si="27"/>
        <v>2.7347310847766638E-2</v>
      </c>
      <c r="AC74" s="91">
        <f t="shared" si="28"/>
        <v>2.5524156791248861E-2</v>
      </c>
      <c r="AD74" s="91">
        <f t="shared" si="29"/>
        <v>3.00820419325433E-2</v>
      </c>
      <c r="AE74" s="91">
        <f t="shared" si="30"/>
        <v>1.0027347310847767E-2</v>
      </c>
      <c r="AF74" s="91">
        <f t="shared" si="31"/>
        <v>1.8231540565177757E-3</v>
      </c>
      <c r="AG74" s="91">
        <f t="shared" si="32"/>
        <v>1.0027347310847767E-2</v>
      </c>
      <c r="AH74" s="92">
        <v>193.14</v>
      </c>
      <c r="AI74" s="93">
        <v>136.06</v>
      </c>
      <c r="AJ74" s="93">
        <v>136.06</v>
      </c>
      <c r="AK74" s="93">
        <v>78.34999999999998</v>
      </c>
      <c r="AL74" s="94">
        <v>13.58</v>
      </c>
      <c r="AM74" s="94">
        <v>-15.87</v>
      </c>
      <c r="AN74" s="94" t="s">
        <v>780</v>
      </c>
      <c r="AO74" s="111">
        <v>0</v>
      </c>
      <c r="AP74" s="112">
        <v>0</v>
      </c>
      <c r="AQ74" s="112">
        <v>0</v>
      </c>
      <c r="AR74" s="112">
        <v>0</v>
      </c>
      <c r="AS74" s="113">
        <v>0</v>
      </c>
      <c r="AT74" s="113">
        <v>0</v>
      </c>
      <c r="AU74" s="111">
        <v>1298.48</v>
      </c>
      <c r="AV74" s="112">
        <v>1111.1999999999989</v>
      </c>
      <c r="AW74" s="112">
        <v>1211.57</v>
      </c>
      <c r="AX74" s="112">
        <v>391.32</v>
      </c>
      <c r="AY74" s="113">
        <v>68.42</v>
      </c>
      <c r="AZ74" s="113">
        <v>361.87</v>
      </c>
    </row>
    <row r="75" spans="1:52" x14ac:dyDescent="0.25">
      <c r="A75" s="101" t="s">
        <v>257</v>
      </c>
      <c r="B75" s="102" t="s">
        <v>258</v>
      </c>
      <c r="C75" s="102"/>
      <c r="D75" s="102" t="s">
        <v>1048</v>
      </c>
      <c r="E75" s="103">
        <v>8.6500000000000021</v>
      </c>
      <c r="F75" s="104">
        <v>800</v>
      </c>
      <c r="G75" s="105">
        <f t="shared" si="24"/>
        <v>400</v>
      </c>
      <c r="H75" s="105">
        <v>813</v>
      </c>
      <c r="I75" s="106">
        <f t="shared" si="25"/>
        <v>0.49200492004920049</v>
      </c>
      <c r="J75" s="86">
        <v>148</v>
      </c>
      <c r="K75" s="87">
        <v>408</v>
      </c>
      <c r="L75" s="87">
        <v>339</v>
      </c>
      <c r="M75" s="87">
        <v>920</v>
      </c>
      <c r="N75" s="90"/>
      <c r="O75" s="90">
        <v>0</v>
      </c>
      <c r="P75" s="86">
        <f t="shared" si="33"/>
        <v>1280.2000000000003</v>
      </c>
      <c r="Q75" s="87">
        <f t="shared" si="34"/>
        <v>3529.2000000000007</v>
      </c>
      <c r="R75" s="87">
        <f t="shared" si="35"/>
        <v>2932.3500000000008</v>
      </c>
      <c r="S75" s="88">
        <f t="shared" si="36"/>
        <v>7958.0000000000018</v>
      </c>
      <c r="T75" s="89">
        <f t="shared" si="37"/>
        <v>0</v>
      </c>
      <c r="U75" s="89">
        <f t="shared" si="26"/>
        <v>0</v>
      </c>
      <c r="V75" s="86">
        <v>654</v>
      </c>
      <c r="W75" s="87">
        <v>273</v>
      </c>
      <c r="X75" s="87">
        <v>126</v>
      </c>
      <c r="Y75" s="87">
        <v>159</v>
      </c>
      <c r="Z75" s="90">
        <v>445</v>
      </c>
      <c r="AA75" s="90">
        <v>265</v>
      </c>
      <c r="AB75" s="91">
        <f t="shared" si="27"/>
        <v>0.80442804428044279</v>
      </c>
      <c r="AC75" s="91">
        <f t="shared" si="28"/>
        <v>0.33579335793357934</v>
      </c>
      <c r="AD75" s="91">
        <f t="shared" si="29"/>
        <v>0.15498154981549817</v>
      </c>
      <c r="AE75" s="91">
        <f t="shared" si="30"/>
        <v>0.19557195571955718</v>
      </c>
      <c r="AF75" s="91">
        <f t="shared" si="31"/>
        <v>0.54735547355473557</v>
      </c>
      <c r="AG75" s="91">
        <f t="shared" si="32"/>
        <v>0.32595325953259535</v>
      </c>
      <c r="AH75" s="92">
        <v>1521.309999999999</v>
      </c>
      <c r="AI75" s="93">
        <v>1911.2899999999959</v>
      </c>
      <c r="AJ75" s="93">
        <v>1911.2899999999954</v>
      </c>
      <c r="AK75" s="93">
        <v>1275.7199999999998</v>
      </c>
      <c r="AL75" s="94">
        <v>1294.3999999999901</v>
      </c>
      <c r="AM75" s="94">
        <v>1646.09</v>
      </c>
      <c r="AN75" s="94" t="s">
        <v>779</v>
      </c>
      <c r="AO75" s="111">
        <v>4042.88</v>
      </c>
      <c r="AP75" s="112">
        <v>11206.95</v>
      </c>
      <c r="AQ75" s="112">
        <v>9255.5400000000009</v>
      </c>
      <c r="AR75" s="112">
        <v>25245.21</v>
      </c>
      <c r="AS75" s="113">
        <v>0</v>
      </c>
      <c r="AT75" s="113">
        <v>0</v>
      </c>
      <c r="AU75" s="111">
        <v>19251.249999999989</v>
      </c>
      <c r="AV75" s="112">
        <v>9312.3199999999924</v>
      </c>
      <c r="AW75" s="112">
        <v>4723.9099999999953</v>
      </c>
      <c r="AX75" s="112">
        <v>5641.49999999999</v>
      </c>
      <c r="AY75" s="113">
        <v>15569.9</v>
      </c>
      <c r="AZ75" s="113">
        <v>8880.59</v>
      </c>
    </row>
    <row r="76" spans="1:52" x14ac:dyDescent="0.25">
      <c r="A76" s="101" t="s">
        <v>138</v>
      </c>
      <c r="B76" s="102" t="s">
        <v>139</v>
      </c>
      <c r="C76" s="102"/>
      <c r="D76" s="102" t="s">
        <v>1048</v>
      </c>
      <c r="E76" s="103">
        <v>8.61</v>
      </c>
      <c r="F76" s="104">
        <v>2000</v>
      </c>
      <c r="G76" s="105">
        <f t="shared" si="24"/>
        <v>1000</v>
      </c>
      <c r="H76" s="105">
        <v>10120</v>
      </c>
      <c r="I76" s="106">
        <f t="shared" si="25"/>
        <v>9.8814229249011856E-2</v>
      </c>
      <c r="J76" s="86">
        <v>400</v>
      </c>
      <c r="K76" s="87">
        <v>0</v>
      </c>
      <c r="L76" s="87">
        <v>275</v>
      </c>
      <c r="M76" s="87">
        <v>0</v>
      </c>
      <c r="N76" s="90">
        <v>980</v>
      </c>
      <c r="O76" s="90">
        <v>0</v>
      </c>
      <c r="P76" s="86">
        <f t="shared" si="33"/>
        <v>3444</v>
      </c>
      <c r="Q76" s="87">
        <f t="shared" si="34"/>
        <v>0</v>
      </c>
      <c r="R76" s="87">
        <f t="shared" si="35"/>
        <v>2367.75</v>
      </c>
      <c r="S76" s="88">
        <f t="shared" si="36"/>
        <v>0</v>
      </c>
      <c r="T76" s="89">
        <f t="shared" si="37"/>
        <v>8437.7999999999993</v>
      </c>
      <c r="U76" s="89">
        <f t="shared" si="26"/>
        <v>0</v>
      </c>
      <c r="V76" s="86">
        <v>0</v>
      </c>
      <c r="W76" s="87">
        <v>149</v>
      </c>
      <c r="X76" s="87">
        <v>580</v>
      </c>
      <c r="Y76" s="87">
        <v>219</v>
      </c>
      <c r="Z76" s="90">
        <v>272</v>
      </c>
      <c r="AA76" s="90">
        <v>977</v>
      </c>
      <c r="AB76" s="91">
        <f t="shared" si="27"/>
        <v>0</v>
      </c>
      <c r="AC76" s="91">
        <f t="shared" si="28"/>
        <v>1.4723320158102767E-2</v>
      </c>
      <c r="AD76" s="91">
        <f t="shared" si="29"/>
        <v>5.731225296442688E-2</v>
      </c>
      <c r="AE76" s="91">
        <f t="shared" si="30"/>
        <v>2.1640316205533597E-2</v>
      </c>
      <c r="AF76" s="91">
        <f t="shared" si="31"/>
        <v>2.6877470355731226E-2</v>
      </c>
      <c r="AG76" s="91">
        <f t="shared" si="32"/>
        <v>9.6541501976284583E-2</v>
      </c>
      <c r="AH76" s="92">
        <v>0</v>
      </c>
      <c r="AI76" s="93">
        <v>131.66000000000011</v>
      </c>
      <c r="AJ76" s="93">
        <v>131.66000000000011</v>
      </c>
      <c r="AK76" s="93">
        <v>2972.1899999999891</v>
      </c>
      <c r="AL76" s="94">
        <v>689.530000000001</v>
      </c>
      <c r="AM76" s="94">
        <v>7861.0799999999299</v>
      </c>
      <c r="AN76" s="94" t="s">
        <v>779</v>
      </c>
      <c r="AO76" s="111">
        <v>6372</v>
      </c>
      <c r="AP76" s="112">
        <v>0</v>
      </c>
      <c r="AQ76" s="112">
        <v>3894</v>
      </c>
      <c r="AR76" s="112">
        <v>0</v>
      </c>
      <c r="AS76" s="113">
        <v>14680.4</v>
      </c>
      <c r="AT76" s="113">
        <v>0</v>
      </c>
      <c r="AU76" s="111">
        <v>0</v>
      </c>
      <c r="AV76" s="112">
        <v>3558.66</v>
      </c>
      <c r="AW76" s="112">
        <v>13776.34999999996</v>
      </c>
      <c r="AX76" s="112">
        <v>5203.1199999999899</v>
      </c>
      <c r="AY76" s="113">
        <v>6402.6999999999798</v>
      </c>
      <c r="AZ76" s="113">
        <v>22555.16</v>
      </c>
    </row>
    <row r="77" spans="1:52" x14ac:dyDescent="0.25">
      <c r="A77" s="101" t="s">
        <v>28</v>
      </c>
      <c r="B77" s="102" t="s">
        <v>29</v>
      </c>
      <c r="C77" s="102"/>
      <c r="D77" s="102" t="s">
        <v>1048</v>
      </c>
      <c r="E77" s="103">
        <v>8.370000000000001</v>
      </c>
      <c r="F77" s="104">
        <v>220</v>
      </c>
      <c r="G77" s="105">
        <f t="shared" si="24"/>
        <v>110</v>
      </c>
      <c r="H77" s="105">
        <v>454</v>
      </c>
      <c r="I77" s="106">
        <f t="shared" si="25"/>
        <v>0.24229074889867841</v>
      </c>
      <c r="J77" s="86">
        <v>556</v>
      </c>
      <c r="K77" s="87">
        <v>100</v>
      </c>
      <c r="L77" s="87">
        <v>200</v>
      </c>
      <c r="M77" s="87">
        <v>276</v>
      </c>
      <c r="N77" s="90">
        <v>254</v>
      </c>
      <c r="O77" s="90">
        <v>100</v>
      </c>
      <c r="P77" s="86">
        <f t="shared" si="33"/>
        <v>4653.72</v>
      </c>
      <c r="Q77" s="87">
        <f t="shared" si="34"/>
        <v>837.00000000000011</v>
      </c>
      <c r="R77" s="87">
        <f t="shared" si="35"/>
        <v>1674.0000000000002</v>
      </c>
      <c r="S77" s="88">
        <f t="shared" si="36"/>
        <v>2310.1200000000003</v>
      </c>
      <c r="T77" s="89">
        <f t="shared" si="37"/>
        <v>2125.9800000000005</v>
      </c>
      <c r="U77" s="89">
        <f t="shared" si="26"/>
        <v>837.00000000000011</v>
      </c>
      <c r="V77" s="86">
        <v>0</v>
      </c>
      <c r="W77" s="87">
        <v>0</v>
      </c>
      <c r="X77" s="87">
        <v>206</v>
      </c>
      <c r="Y77" s="87">
        <v>275</v>
      </c>
      <c r="Z77" s="90">
        <v>229</v>
      </c>
      <c r="AA77" s="90">
        <v>146</v>
      </c>
      <c r="AB77" s="91">
        <f t="shared" si="27"/>
        <v>0</v>
      </c>
      <c r="AC77" s="91">
        <f t="shared" si="28"/>
        <v>0</v>
      </c>
      <c r="AD77" s="91">
        <f t="shared" si="29"/>
        <v>0.45374449339207046</v>
      </c>
      <c r="AE77" s="91">
        <f t="shared" si="30"/>
        <v>0.60572687224669608</v>
      </c>
      <c r="AF77" s="91">
        <f t="shared" si="31"/>
        <v>0.50440528634361237</v>
      </c>
      <c r="AG77" s="91">
        <f t="shared" si="32"/>
        <v>0.32158590308370044</v>
      </c>
      <c r="AH77" s="92">
        <v>0</v>
      </c>
      <c r="AI77" s="93">
        <v>0</v>
      </c>
      <c r="AJ77" s="93">
        <v>1724.2200000000003</v>
      </c>
      <c r="AK77" s="93">
        <v>1534.49</v>
      </c>
      <c r="AL77" s="94">
        <v>1813.22999999999</v>
      </c>
      <c r="AM77" s="94">
        <v>1165.8399999999899</v>
      </c>
      <c r="AN77" s="94" t="s">
        <v>779</v>
      </c>
      <c r="AO77" s="111">
        <v>2807.2799999999997</v>
      </c>
      <c r="AP77" s="112">
        <v>491</v>
      </c>
      <c r="AQ77" s="112">
        <v>1032.5</v>
      </c>
      <c r="AR77" s="112">
        <v>1536.44</v>
      </c>
      <c r="AS77" s="113">
        <v>1300.06</v>
      </c>
      <c r="AT77" s="113">
        <v>516.5</v>
      </c>
      <c r="AU77" s="111">
        <v>0</v>
      </c>
      <c r="AV77" s="112">
        <v>0</v>
      </c>
      <c r="AW77" s="112">
        <v>2576.849999999994</v>
      </c>
      <c r="AX77" s="112">
        <v>3131.45</v>
      </c>
      <c r="AY77" s="113">
        <v>2690.38</v>
      </c>
      <c r="AZ77" s="113">
        <v>1911.52</v>
      </c>
    </row>
    <row r="78" spans="1:52" x14ac:dyDescent="0.25">
      <c r="A78" s="101" t="s">
        <v>82</v>
      </c>
      <c r="B78" s="102" t="s">
        <v>83</v>
      </c>
      <c r="C78" s="102"/>
      <c r="D78" s="102" t="s">
        <v>1048</v>
      </c>
      <c r="E78" s="103">
        <v>7.759999999999998</v>
      </c>
      <c r="F78" s="104">
        <v>300</v>
      </c>
      <c r="G78" s="105">
        <f t="shared" si="24"/>
        <v>150</v>
      </c>
      <c r="H78" s="105">
        <v>263</v>
      </c>
      <c r="I78" s="106">
        <f t="shared" si="25"/>
        <v>0.57034220532319391</v>
      </c>
      <c r="J78" s="86">
        <v>50</v>
      </c>
      <c r="K78" s="87">
        <v>50</v>
      </c>
      <c r="L78" s="87">
        <v>100</v>
      </c>
      <c r="M78" s="87">
        <v>49</v>
      </c>
      <c r="N78" s="90"/>
      <c r="O78" s="90">
        <v>50</v>
      </c>
      <c r="P78" s="86">
        <f t="shared" si="33"/>
        <v>387.99999999999989</v>
      </c>
      <c r="Q78" s="87">
        <f t="shared" si="34"/>
        <v>387.99999999999989</v>
      </c>
      <c r="R78" s="87">
        <f t="shared" si="35"/>
        <v>775.99999999999977</v>
      </c>
      <c r="S78" s="88">
        <f t="shared" si="36"/>
        <v>380.2399999999999</v>
      </c>
      <c r="T78" s="89">
        <f t="shared" si="37"/>
        <v>0</v>
      </c>
      <c r="U78" s="89">
        <f t="shared" si="26"/>
        <v>387.99999999999989</v>
      </c>
      <c r="V78" s="86">
        <v>36</v>
      </c>
      <c r="W78" s="87">
        <v>117</v>
      </c>
      <c r="X78" s="87">
        <v>98</v>
      </c>
      <c r="Y78" s="87">
        <v>72</v>
      </c>
      <c r="Z78" s="90">
        <v>65</v>
      </c>
      <c r="AA78" s="90">
        <v>35</v>
      </c>
      <c r="AB78" s="91">
        <f t="shared" si="27"/>
        <v>0.13688212927756654</v>
      </c>
      <c r="AC78" s="91">
        <f t="shared" si="28"/>
        <v>0.44486692015209123</v>
      </c>
      <c r="AD78" s="91">
        <f t="shared" si="29"/>
        <v>0.37262357414448671</v>
      </c>
      <c r="AE78" s="91">
        <f t="shared" si="30"/>
        <v>0.27376425855513309</v>
      </c>
      <c r="AF78" s="91">
        <f t="shared" si="31"/>
        <v>0.24714828897338403</v>
      </c>
      <c r="AG78" s="91">
        <f t="shared" si="32"/>
        <v>0.13307984790874525</v>
      </c>
      <c r="AH78" s="92">
        <v>99.109999999999985</v>
      </c>
      <c r="AI78" s="93">
        <v>177.33999999999995</v>
      </c>
      <c r="AJ78" s="93">
        <v>177.33999999999989</v>
      </c>
      <c r="AK78" s="93">
        <v>155.04999999999978</v>
      </c>
      <c r="AL78" s="94">
        <v>100.909999999999</v>
      </c>
      <c r="AM78" s="94">
        <v>283.77999999999997</v>
      </c>
      <c r="AN78" s="94" t="s">
        <v>779</v>
      </c>
      <c r="AO78" s="111">
        <v>417.5</v>
      </c>
      <c r="AP78" s="112">
        <v>417.5</v>
      </c>
      <c r="AQ78" s="112">
        <v>827</v>
      </c>
      <c r="AR78" s="112">
        <v>408.17</v>
      </c>
      <c r="AS78" s="113">
        <v>0</v>
      </c>
      <c r="AT78" s="113">
        <v>413.5</v>
      </c>
      <c r="AU78" s="111">
        <v>527.86999999999989</v>
      </c>
      <c r="AV78" s="112">
        <v>1570.8099999999959</v>
      </c>
      <c r="AW78" s="112">
        <v>1206.4299999999973</v>
      </c>
      <c r="AX78" s="112">
        <v>801.61</v>
      </c>
      <c r="AY78" s="113">
        <v>1132.6199999999899</v>
      </c>
      <c r="AZ78" s="113">
        <v>595.04999999999905</v>
      </c>
    </row>
    <row r="79" spans="1:52" x14ac:dyDescent="0.25">
      <c r="A79" s="101" t="s">
        <v>906</v>
      </c>
      <c r="B79" s="102" t="s">
        <v>285</v>
      </c>
      <c r="C79" s="102"/>
      <c r="D79" s="102" t="s">
        <v>1048</v>
      </c>
      <c r="E79" s="103">
        <v>7.6900000000000013</v>
      </c>
      <c r="F79" s="104">
        <v>800</v>
      </c>
      <c r="G79" s="105">
        <f t="shared" si="24"/>
        <v>400</v>
      </c>
      <c r="H79" s="105">
        <v>489</v>
      </c>
      <c r="I79" s="106">
        <f t="shared" si="25"/>
        <v>0.81799591002044991</v>
      </c>
      <c r="J79" s="86">
        <v>473</v>
      </c>
      <c r="K79" s="87">
        <v>0</v>
      </c>
      <c r="L79" s="87">
        <v>0</v>
      </c>
      <c r="M79" s="87">
        <v>354</v>
      </c>
      <c r="N79" s="90">
        <v>483</v>
      </c>
      <c r="O79" s="90">
        <v>516</v>
      </c>
      <c r="P79" s="86">
        <f t="shared" si="33"/>
        <v>3637.3700000000008</v>
      </c>
      <c r="Q79" s="87">
        <f t="shared" si="34"/>
        <v>0</v>
      </c>
      <c r="R79" s="87">
        <f t="shared" si="35"/>
        <v>0</v>
      </c>
      <c r="S79" s="88">
        <f t="shared" si="36"/>
        <v>2722.2600000000007</v>
      </c>
      <c r="T79" s="89">
        <f t="shared" si="37"/>
        <v>3714.2700000000004</v>
      </c>
      <c r="U79" s="89">
        <f t="shared" si="26"/>
        <v>3968.0400000000009</v>
      </c>
      <c r="V79" s="86">
        <v>180</v>
      </c>
      <c r="W79" s="87">
        <v>381</v>
      </c>
      <c r="X79" s="87">
        <v>310</v>
      </c>
      <c r="Y79" s="87">
        <v>0</v>
      </c>
      <c r="Z79" s="90">
        <v>119</v>
      </c>
      <c r="AA79" s="90">
        <v>152</v>
      </c>
      <c r="AB79" s="91">
        <f t="shared" si="27"/>
        <v>0.36809815950920244</v>
      </c>
      <c r="AC79" s="91">
        <f t="shared" si="28"/>
        <v>0.77914110429447858</v>
      </c>
      <c r="AD79" s="91">
        <f t="shared" si="29"/>
        <v>0.63394683026584864</v>
      </c>
      <c r="AE79" s="91">
        <f t="shared" si="30"/>
        <v>0</v>
      </c>
      <c r="AF79" s="91">
        <f t="shared" si="31"/>
        <v>0.24335378323108384</v>
      </c>
      <c r="AG79" s="91">
        <f t="shared" si="32"/>
        <v>0.31083844580777098</v>
      </c>
      <c r="AH79" s="92">
        <v>1521.28</v>
      </c>
      <c r="AI79" s="93">
        <v>2993.4299999999944</v>
      </c>
      <c r="AJ79" s="93">
        <v>2993.4299999999944</v>
      </c>
      <c r="AK79" s="93">
        <v>3209.7899999999959</v>
      </c>
      <c r="AL79" s="94">
        <v>915.11000000000013</v>
      </c>
      <c r="AM79" s="94">
        <v>1055.1600000000001</v>
      </c>
      <c r="AN79" s="94" t="s">
        <v>779</v>
      </c>
      <c r="AO79" s="111">
        <v>13646.96</v>
      </c>
      <c r="AP79" s="112">
        <v>0</v>
      </c>
      <c r="AQ79" s="112">
        <v>0</v>
      </c>
      <c r="AR79" s="112">
        <v>10991.33</v>
      </c>
      <c r="AS79" s="113">
        <v>14300.34</v>
      </c>
      <c r="AT79" s="113">
        <v>15174.64</v>
      </c>
      <c r="AU79" s="111">
        <v>0</v>
      </c>
      <c r="AV79" s="112">
        <v>0</v>
      </c>
      <c r="AW79" s="112">
        <v>0</v>
      </c>
      <c r="AX79" s="112">
        <v>0</v>
      </c>
      <c r="AY79" s="113">
        <v>0</v>
      </c>
      <c r="AZ79" s="113">
        <v>0</v>
      </c>
    </row>
    <row r="80" spans="1:52" x14ac:dyDescent="0.25">
      <c r="A80" s="101" t="s">
        <v>907</v>
      </c>
      <c r="B80" s="102" t="s">
        <v>56</v>
      </c>
      <c r="C80" s="102"/>
      <c r="D80" s="102" t="s">
        <v>1048</v>
      </c>
      <c r="E80" s="103">
        <v>7.6499999999999995</v>
      </c>
      <c r="F80" s="104">
        <v>149.19999999999999</v>
      </c>
      <c r="G80" s="105">
        <f t="shared" si="24"/>
        <v>74.599999999999994</v>
      </c>
      <c r="H80" s="105">
        <v>57</v>
      </c>
      <c r="I80" s="106">
        <f t="shared" si="25"/>
        <v>1.3087719298245613</v>
      </c>
      <c r="J80" s="86">
        <v>512</v>
      </c>
      <c r="K80" s="87">
        <v>290</v>
      </c>
      <c r="L80" s="87">
        <v>0</v>
      </c>
      <c r="M80" s="87">
        <v>0</v>
      </c>
      <c r="N80" s="90"/>
      <c r="O80" s="90">
        <v>0</v>
      </c>
      <c r="P80" s="86">
        <f t="shared" si="33"/>
        <v>3916.7999999999997</v>
      </c>
      <c r="Q80" s="87">
        <f t="shared" si="34"/>
        <v>2218.5</v>
      </c>
      <c r="R80" s="87">
        <f t="shared" si="35"/>
        <v>0</v>
      </c>
      <c r="S80" s="88">
        <f t="shared" si="36"/>
        <v>0</v>
      </c>
      <c r="T80" s="89">
        <f t="shared" si="37"/>
        <v>0</v>
      </c>
      <c r="U80" s="89">
        <f t="shared" si="26"/>
        <v>0</v>
      </c>
      <c r="V80" s="86">
        <v>10</v>
      </c>
      <c r="W80" s="87">
        <v>35</v>
      </c>
      <c r="X80" s="87">
        <v>60</v>
      </c>
      <c r="Y80" s="87">
        <v>124</v>
      </c>
      <c r="Z80" s="90">
        <v>144</v>
      </c>
      <c r="AA80" s="90">
        <v>181</v>
      </c>
      <c r="AB80" s="91">
        <f t="shared" si="27"/>
        <v>0.17543859649122806</v>
      </c>
      <c r="AC80" s="91">
        <f t="shared" si="28"/>
        <v>0.61403508771929827</v>
      </c>
      <c r="AD80" s="91">
        <f t="shared" si="29"/>
        <v>1.0526315789473684</v>
      </c>
      <c r="AE80" s="91">
        <f t="shared" si="30"/>
        <v>2.1754385964912282</v>
      </c>
      <c r="AF80" s="91">
        <f t="shared" si="31"/>
        <v>2.5263157894736841</v>
      </c>
      <c r="AG80" s="91">
        <f t="shared" si="32"/>
        <v>3.1754385964912282</v>
      </c>
      <c r="AH80" s="92">
        <v>1214.2</v>
      </c>
      <c r="AI80" s="93">
        <v>3888.4</v>
      </c>
      <c r="AJ80" s="93">
        <v>3888.4</v>
      </c>
      <c r="AK80" s="93">
        <v>942</v>
      </c>
      <c r="AL80" s="94">
        <v>3681.67</v>
      </c>
      <c r="AM80" s="94">
        <v>5184.68</v>
      </c>
      <c r="AN80" s="94" t="s">
        <v>779</v>
      </c>
      <c r="AO80" s="111">
        <v>3233.4900000000002</v>
      </c>
      <c r="AP80" s="112">
        <v>1871.7</v>
      </c>
      <c r="AQ80" s="112">
        <v>0</v>
      </c>
      <c r="AR80" s="112">
        <v>0</v>
      </c>
      <c r="AS80" s="113">
        <v>0</v>
      </c>
      <c r="AT80" s="113">
        <v>0</v>
      </c>
      <c r="AU80" s="111">
        <v>0</v>
      </c>
      <c r="AV80" s="112">
        <v>0</v>
      </c>
      <c r="AW80" s="112">
        <v>0</v>
      </c>
      <c r="AX80" s="112">
        <v>0</v>
      </c>
      <c r="AY80" s="113">
        <v>0</v>
      </c>
      <c r="AZ80" s="113">
        <v>0</v>
      </c>
    </row>
    <row r="81" spans="1:52" x14ac:dyDescent="0.25">
      <c r="A81" s="101" t="s">
        <v>214</v>
      </c>
      <c r="B81" s="102" t="s">
        <v>215</v>
      </c>
      <c r="C81" s="102"/>
      <c r="D81" s="102" t="s">
        <v>1048</v>
      </c>
      <c r="E81" s="103">
        <v>7.59</v>
      </c>
      <c r="F81" s="104">
        <v>1000</v>
      </c>
      <c r="G81" s="105">
        <f t="shared" si="24"/>
        <v>500</v>
      </c>
      <c r="H81" s="105">
        <v>1209</v>
      </c>
      <c r="I81" s="106">
        <f t="shared" si="25"/>
        <v>0.41356492969396197</v>
      </c>
      <c r="J81" s="86">
        <v>0</v>
      </c>
      <c r="K81" s="87">
        <v>0</v>
      </c>
      <c r="L81" s="87">
        <v>0</v>
      </c>
      <c r="M81" s="87">
        <v>300</v>
      </c>
      <c r="N81" s="90">
        <v>670</v>
      </c>
      <c r="O81" s="90">
        <v>700</v>
      </c>
      <c r="P81" s="86">
        <f t="shared" si="33"/>
        <v>0</v>
      </c>
      <c r="Q81" s="87">
        <f t="shared" si="34"/>
        <v>0</v>
      </c>
      <c r="R81" s="87">
        <f t="shared" si="35"/>
        <v>0</v>
      </c>
      <c r="S81" s="88">
        <f t="shared" si="36"/>
        <v>2277</v>
      </c>
      <c r="T81" s="89">
        <f t="shared" si="37"/>
        <v>5085.3</v>
      </c>
      <c r="U81" s="89">
        <f t="shared" si="26"/>
        <v>5313</v>
      </c>
      <c r="V81" s="86">
        <v>204</v>
      </c>
      <c r="W81" s="87">
        <v>280</v>
      </c>
      <c r="X81" s="87">
        <v>0</v>
      </c>
      <c r="Y81" s="87">
        <v>0</v>
      </c>
      <c r="Z81" s="90">
        <v>205</v>
      </c>
      <c r="AA81" s="90">
        <v>439</v>
      </c>
      <c r="AB81" s="91">
        <f t="shared" si="27"/>
        <v>0.16873449131513649</v>
      </c>
      <c r="AC81" s="91">
        <f t="shared" si="28"/>
        <v>0.23159636062861869</v>
      </c>
      <c r="AD81" s="91">
        <f t="shared" si="29"/>
        <v>0</v>
      </c>
      <c r="AE81" s="91">
        <f t="shared" si="30"/>
        <v>0</v>
      </c>
      <c r="AF81" s="91">
        <f t="shared" si="31"/>
        <v>0.16956162117452439</v>
      </c>
      <c r="AG81" s="91">
        <f t="shared" si="32"/>
        <v>0.36311000827129858</v>
      </c>
      <c r="AH81" s="92">
        <v>0</v>
      </c>
      <c r="AI81" s="93">
        <v>3989.0399999999986</v>
      </c>
      <c r="AJ81" s="93">
        <v>3989.0399999999991</v>
      </c>
      <c r="AK81" s="93">
        <v>0</v>
      </c>
      <c r="AL81" s="94">
        <v>1555.95</v>
      </c>
      <c r="AM81" s="94">
        <v>2998.78999999999</v>
      </c>
      <c r="AN81" s="94" t="s">
        <v>779</v>
      </c>
      <c r="AO81" s="111">
        <v>0</v>
      </c>
      <c r="AP81" s="112">
        <v>0</v>
      </c>
      <c r="AQ81" s="112">
        <v>0</v>
      </c>
      <c r="AR81" s="112">
        <v>5833</v>
      </c>
      <c r="AS81" s="113">
        <v>12984.6</v>
      </c>
      <c r="AT81" s="113">
        <v>13483</v>
      </c>
      <c r="AU81" s="111">
        <v>1654.06</v>
      </c>
      <c r="AV81" s="112">
        <v>6263.0299999999988</v>
      </c>
      <c r="AW81" s="112">
        <v>0</v>
      </c>
      <c r="AX81" s="112">
        <v>0</v>
      </c>
      <c r="AY81" s="113">
        <v>5406.7199999999903</v>
      </c>
      <c r="AZ81" s="113">
        <v>11520.61</v>
      </c>
    </row>
    <row r="82" spans="1:52" x14ac:dyDescent="0.25">
      <c r="A82" s="101" t="s">
        <v>45</v>
      </c>
      <c r="B82" s="102" t="s">
        <v>46</v>
      </c>
      <c r="C82" s="102"/>
      <c r="D82" s="102" t="s">
        <v>1048</v>
      </c>
      <c r="E82" s="103">
        <v>7.5299999999999994</v>
      </c>
      <c r="F82" s="104">
        <v>80</v>
      </c>
      <c r="G82" s="105">
        <f t="shared" si="24"/>
        <v>40</v>
      </c>
      <c r="H82" s="105">
        <v>37</v>
      </c>
      <c r="I82" s="106">
        <f t="shared" si="25"/>
        <v>1.0810810810810811</v>
      </c>
      <c r="J82" s="86">
        <v>100</v>
      </c>
      <c r="K82" s="87">
        <v>250</v>
      </c>
      <c r="L82" s="87">
        <v>0</v>
      </c>
      <c r="M82" s="87">
        <v>0</v>
      </c>
      <c r="N82" s="90"/>
      <c r="O82" s="90">
        <v>0</v>
      </c>
      <c r="P82" s="86">
        <f t="shared" si="33"/>
        <v>752.99999999999989</v>
      </c>
      <c r="Q82" s="87">
        <f t="shared" si="34"/>
        <v>1882.4999999999998</v>
      </c>
      <c r="R82" s="87">
        <f t="shared" si="35"/>
        <v>0</v>
      </c>
      <c r="S82" s="88">
        <f t="shared" si="36"/>
        <v>0</v>
      </c>
      <c r="T82" s="89">
        <f t="shared" si="37"/>
        <v>0</v>
      </c>
      <c r="U82" s="89">
        <f t="shared" si="26"/>
        <v>0</v>
      </c>
      <c r="V82" s="86">
        <v>7</v>
      </c>
      <c r="W82" s="87">
        <v>22</v>
      </c>
      <c r="X82" s="87">
        <v>20</v>
      </c>
      <c r="Y82" s="87">
        <v>12</v>
      </c>
      <c r="Z82" s="90">
        <v>67</v>
      </c>
      <c r="AA82" s="90">
        <v>31</v>
      </c>
      <c r="AB82" s="91">
        <f t="shared" si="27"/>
        <v>0.1891891891891892</v>
      </c>
      <c r="AC82" s="91">
        <f t="shared" si="28"/>
        <v>0.59459459459459463</v>
      </c>
      <c r="AD82" s="91">
        <f t="shared" si="29"/>
        <v>0.54054054054054057</v>
      </c>
      <c r="AE82" s="91">
        <f t="shared" si="30"/>
        <v>0.32432432432432434</v>
      </c>
      <c r="AF82" s="91">
        <f t="shared" si="31"/>
        <v>1.8108108108108107</v>
      </c>
      <c r="AG82" s="91">
        <f t="shared" si="32"/>
        <v>0.83783783783783783</v>
      </c>
      <c r="AH82" s="92">
        <v>30.11</v>
      </c>
      <c r="AI82" s="93">
        <v>147.78999999999991</v>
      </c>
      <c r="AJ82" s="93">
        <v>147.78999999999988</v>
      </c>
      <c r="AK82" s="93">
        <v>177.3</v>
      </c>
      <c r="AL82" s="94">
        <v>98.49</v>
      </c>
      <c r="AM82" s="94">
        <v>124.72</v>
      </c>
      <c r="AN82" s="94" t="s">
        <v>779</v>
      </c>
      <c r="AO82" s="111">
        <v>551.5</v>
      </c>
      <c r="AP82" s="112">
        <v>1383</v>
      </c>
      <c r="AQ82" s="112">
        <v>0</v>
      </c>
      <c r="AR82" s="112">
        <v>0</v>
      </c>
      <c r="AS82" s="113">
        <v>0</v>
      </c>
      <c r="AT82" s="113">
        <v>0</v>
      </c>
      <c r="AU82" s="111">
        <v>67</v>
      </c>
      <c r="AV82" s="112">
        <v>265.81</v>
      </c>
      <c r="AW82" s="112">
        <v>287.03999999999996</v>
      </c>
      <c r="AX82" s="112">
        <v>164.49</v>
      </c>
      <c r="AY82" s="113">
        <v>597.38</v>
      </c>
      <c r="AZ82" s="113">
        <v>295.219999999999</v>
      </c>
    </row>
    <row r="83" spans="1:52" x14ac:dyDescent="0.25">
      <c r="A83" s="101" t="s">
        <v>94</v>
      </c>
      <c r="B83" s="102" t="s">
        <v>95</v>
      </c>
      <c r="C83" s="102"/>
      <c r="D83" s="102" t="s">
        <v>1048</v>
      </c>
      <c r="E83" s="103">
        <v>7.5299999999999976</v>
      </c>
      <c r="F83" s="104">
        <v>600</v>
      </c>
      <c r="G83" s="105">
        <f t="shared" si="24"/>
        <v>300</v>
      </c>
      <c r="H83" s="105">
        <v>386</v>
      </c>
      <c r="I83" s="106">
        <f t="shared" si="25"/>
        <v>0.77720207253886009</v>
      </c>
      <c r="J83" s="86">
        <v>70</v>
      </c>
      <c r="K83" s="87">
        <v>320</v>
      </c>
      <c r="L83" s="87">
        <v>208</v>
      </c>
      <c r="M83" s="87">
        <v>245</v>
      </c>
      <c r="N83" s="90">
        <v>261</v>
      </c>
      <c r="O83" s="90">
        <v>257</v>
      </c>
      <c r="P83" s="86">
        <f t="shared" si="33"/>
        <v>527.0999999999998</v>
      </c>
      <c r="Q83" s="87">
        <f t="shared" si="34"/>
        <v>2409.5999999999995</v>
      </c>
      <c r="R83" s="87">
        <f t="shared" si="35"/>
        <v>1566.2399999999996</v>
      </c>
      <c r="S83" s="88">
        <f t="shared" si="36"/>
        <v>1844.8499999999995</v>
      </c>
      <c r="T83" s="89">
        <f t="shared" si="37"/>
        <v>1965.3299999999995</v>
      </c>
      <c r="U83" s="89">
        <f t="shared" si="26"/>
        <v>1935.2099999999994</v>
      </c>
      <c r="V83" s="86">
        <v>289</v>
      </c>
      <c r="W83" s="87">
        <v>97</v>
      </c>
      <c r="X83" s="87">
        <v>109</v>
      </c>
      <c r="Y83" s="87">
        <v>412</v>
      </c>
      <c r="Z83" s="90">
        <v>264</v>
      </c>
      <c r="AA83" s="90">
        <v>337</v>
      </c>
      <c r="AB83" s="91">
        <f t="shared" si="27"/>
        <v>0.74870466321243523</v>
      </c>
      <c r="AC83" s="91">
        <f t="shared" si="28"/>
        <v>0.25129533678756477</v>
      </c>
      <c r="AD83" s="91">
        <f t="shared" si="29"/>
        <v>0.28238341968911918</v>
      </c>
      <c r="AE83" s="91">
        <f t="shared" si="30"/>
        <v>1.0673575129533679</v>
      </c>
      <c r="AF83" s="91">
        <f t="shared" si="31"/>
        <v>0.68393782383419688</v>
      </c>
      <c r="AG83" s="91">
        <f t="shared" si="32"/>
        <v>0.87305699481865284</v>
      </c>
      <c r="AH83" s="92">
        <v>1889.9399999999989</v>
      </c>
      <c r="AI83" s="93">
        <v>657.86999999999887</v>
      </c>
      <c r="AJ83" s="93">
        <v>657.86999999999898</v>
      </c>
      <c r="AK83" s="93">
        <v>555.3099999999979</v>
      </c>
      <c r="AL83" s="94">
        <v>1956</v>
      </c>
      <c r="AM83" s="94">
        <v>2635.12</v>
      </c>
      <c r="AN83" s="94" t="s">
        <v>779</v>
      </c>
      <c r="AO83" s="111">
        <v>650.29999999999995</v>
      </c>
      <c r="AP83" s="112">
        <v>2992.34</v>
      </c>
      <c r="AQ83" s="112">
        <v>2029.1200000000001</v>
      </c>
      <c r="AR83" s="112">
        <v>2345.4700000000003</v>
      </c>
      <c r="AS83" s="113">
        <v>2420.8100000000004</v>
      </c>
      <c r="AT83" s="113">
        <v>2398.25</v>
      </c>
      <c r="AU83" s="111">
        <v>4950.4100000000026</v>
      </c>
      <c r="AV83" s="112">
        <v>1565.5</v>
      </c>
      <c r="AW83" s="112">
        <v>1939.3999999999992</v>
      </c>
      <c r="AX83" s="112">
        <v>5859.98</v>
      </c>
      <c r="AY83" s="113">
        <v>4419.7</v>
      </c>
      <c r="AZ83" s="113">
        <v>5813.42</v>
      </c>
    </row>
    <row r="84" spans="1:52" x14ac:dyDescent="0.25">
      <c r="A84" s="101" t="s">
        <v>908</v>
      </c>
      <c r="B84" s="102" t="s">
        <v>52</v>
      </c>
      <c r="C84" s="102"/>
      <c r="D84" s="102" t="s">
        <v>1048</v>
      </c>
      <c r="E84" s="103">
        <v>7.3699999999999992</v>
      </c>
      <c r="F84" s="104">
        <v>110</v>
      </c>
      <c r="G84" s="105">
        <f t="shared" si="24"/>
        <v>55</v>
      </c>
      <c r="H84" s="105">
        <v>364</v>
      </c>
      <c r="I84" s="106">
        <f t="shared" si="25"/>
        <v>0.15109890109890109</v>
      </c>
      <c r="J84" s="86">
        <v>0</v>
      </c>
      <c r="K84" s="87">
        <v>0</v>
      </c>
      <c r="L84" s="87">
        <v>79</v>
      </c>
      <c r="M84" s="87">
        <v>0</v>
      </c>
      <c r="N84" s="90">
        <v>213</v>
      </c>
      <c r="O84" s="90">
        <v>0</v>
      </c>
      <c r="P84" s="86">
        <f t="shared" si="33"/>
        <v>0</v>
      </c>
      <c r="Q84" s="87">
        <f t="shared" si="34"/>
        <v>0</v>
      </c>
      <c r="R84" s="87">
        <f t="shared" si="35"/>
        <v>582.2299999999999</v>
      </c>
      <c r="S84" s="88">
        <f t="shared" si="36"/>
        <v>0</v>
      </c>
      <c r="T84" s="89">
        <f t="shared" si="37"/>
        <v>1569.81</v>
      </c>
      <c r="U84" s="89">
        <f t="shared" si="26"/>
        <v>0</v>
      </c>
      <c r="V84" s="86">
        <v>126</v>
      </c>
      <c r="W84" s="87">
        <v>109</v>
      </c>
      <c r="X84" s="87">
        <v>36</v>
      </c>
      <c r="Y84" s="87">
        <v>0</v>
      </c>
      <c r="Z84" s="90">
        <v>4</v>
      </c>
      <c r="AA84" s="90">
        <v>27</v>
      </c>
      <c r="AB84" s="91">
        <f t="shared" si="27"/>
        <v>0.34615384615384615</v>
      </c>
      <c r="AC84" s="91">
        <f t="shared" si="28"/>
        <v>0.29945054945054944</v>
      </c>
      <c r="AD84" s="91">
        <f t="shared" si="29"/>
        <v>9.8901098901098897E-2</v>
      </c>
      <c r="AE84" s="91">
        <f t="shared" si="30"/>
        <v>0</v>
      </c>
      <c r="AF84" s="91">
        <f t="shared" si="31"/>
        <v>1.098901098901099E-2</v>
      </c>
      <c r="AG84" s="91">
        <f t="shared" si="32"/>
        <v>7.4175824175824176E-2</v>
      </c>
      <c r="AH84" s="92">
        <v>127.48</v>
      </c>
      <c r="AI84" s="93">
        <v>130.30999999999992</v>
      </c>
      <c r="AJ84" s="93">
        <v>130.30999999999992</v>
      </c>
      <c r="AK84" s="93">
        <v>94.02000000000001</v>
      </c>
      <c r="AL84" s="94">
        <v>29.479999999999997</v>
      </c>
      <c r="AM84" s="94">
        <v>184.02</v>
      </c>
      <c r="AN84" s="94" t="s">
        <v>779</v>
      </c>
      <c r="AO84" s="111">
        <v>0</v>
      </c>
      <c r="AP84" s="112">
        <v>0</v>
      </c>
      <c r="AQ84" s="112">
        <v>97.96</v>
      </c>
      <c r="AR84" s="112">
        <v>0</v>
      </c>
      <c r="AS84" s="113">
        <v>261.99</v>
      </c>
      <c r="AT84" s="113">
        <v>0</v>
      </c>
      <c r="AU84" s="111">
        <v>0</v>
      </c>
      <c r="AV84" s="112">
        <v>0</v>
      </c>
      <c r="AW84" s="112">
        <v>0</v>
      </c>
      <c r="AX84" s="112">
        <v>0</v>
      </c>
      <c r="AY84" s="113">
        <v>0</v>
      </c>
      <c r="AZ84" s="113">
        <v>0</v>
      </c>
    </row>
    <row r="85" spans="1:52" x14ac:dyDescent="0.25">
      <c r="A85" s="101" t="s">
        <v>210</v>
      </c>
      <c r="B85" s="102" t="s">
        <v>211</v>
      </c>
      <c r="C85" s="102"/>
      <c r="D85" s="102" t="s">
        <v>1048</v>
      </c>
      <c r="E85" s="103">
        <v>7.3599999999999994</v>
      </c>
      <c r="F85" s="104">
        <v>200</v>
      </c>
      <c r="G85" s="105">
        <f t="shared" si="24"/>
        <v>100</v>
      </c>
      <c r="H85" s="105">
        <v>205</v>
      </c>
      <c r="I85" s="106">
        <f t="shared" si="25"/>
        <v>0.48780487804878048</v>
      </c>
      <c r="J85" s="86">
        <v>100</v>
      </c>
      <c r="K85" s="87">
        <v>400</v>
      </c>
      <c r="L85" s="87">
        <v>150</v>
      </c>
      <c r="M85" s="87">
        <v>50</v>
      </c>
      <c r="N85" s="90">
        <v>50</v>
      </c>
      <c r="O85" s="90">
        <v>100</v>
      </c>
      <c r="P85" s="86">
        <f t="shared" si="33"/>
        <v>736</v>
      </c>
      <c r="Q85" s="87">
        <f t="shared" si="34"/>
        <v>2944</v>
      </c>
      <c r="R85" s="87">
        <f t="shared" si="35"/>
        <v>1104</v>
      </c>
      <c r="S85" s="88">
        <f t="shared" si="36"/>
        <v>368</v>
      </c>
      <c r="T85" s="89">
        <f t="shared" si="37"/>
        <v>368</v>
      </c>
      <c r="U85" s="89">
        <f t="shared" si="26"/>
        <v>736</v>
      </c>
      <c r="V85" s="86">
        <v>7</v>
      </c>
      <c r="W85" s="87">
        <v>0</v>
      </c>
      <c r="X85" s="87">
        <v>71</v>
      </c>
      <c r="Y85" s="87">
        <v>382</v>
      </c>
      <c r="Z85" s="90">
        <v>97</v>
      </c>
      <c r="AA85" s="90">
        <v>100</v>
      </c>
      <c r="AB85" s="91">
        <f t="shared" si="27"/>
        <v>3.4146341463414637E-2</v>
      </c>
      <c r="AC85" s="91">
        <f t="shared" si="28"/>
        <v>0</v>
      </c>
      <c r="AD85" s="91">
        <f t="shared" si="29"/>
        <v>0.34634146341463412</v>
      </c>
      <c r="AE85" s="91">
        <f t="shared" si="30"/>
        <v>1.8634146341463416</v>
      </c>
      <c r="AF85" s="91">
        <f t="shared" si="31"/>
        <v>0.47317073170731705</v>
      </c>
      <c r="AG85" s="91">
        <f t="shared" si="32"/>
        <v>0.48780487804878048</v>
      </c>
      <c r="AH85" s="92">
        <v>129.5</v>
      </c>
      <c r="AI85" s="93">
        <v>0</v>
      </c>
      <c r="AJ85" s="93">
        <v>522.55999999999995</v>
      </c>
      <c r="AK85" s="93">
        <v>999.68999999999789</v>
      </c>
      <c r="AL85" s="94">
        <v>3778.74</v>
      </c>
      <c r="AM85" s="94">
        <v>838.18</v>
      </c>
      <c r="AN85" s="94" t="s">
        <v>779</v>
      </c>
      <c r="AO85" s="111">
        <v>1810</v>
      </c>
      <c r="AP85" s="112">
        <v>7458</v>
      </c>
      <c r="AQ85" s="112">
        <v>2791.5</v>
      </c>
      <c r="AR85" s="112">
        <v>935.5</v>
      </c>
      <c r="AS85" s="113">
        <v>925</v>
      </c>
      <c r="AT85" s="113">
        <v>1826</v>
      </c>
      <c r="AU85" s="111">
        <v>280</v>
      </c>
      <c r="AV85" s="112">
        <v>0</v>
      </c>
      <c r="AW85" s="112">
        <v>2311.64</v>
      </c>
      <c r="AX85" s="112">
        <v>10861.0199999999</v>
      </c>
      <c r="AY85" s="113">
        <v>2679.8099999999899</v>
      </c>
      <c r="AZ85" s="113">
        <v>2695.24</v>
      </c>
    </row>
    <row r="86" spans="1:52" x14ac:dyDescent="0.25">
      <c r="A86" s="101" t="s">
        <v>496</v>
      </c>
      <c r="B86" s="102" t="s">
        <v>497</v>
      </c>
      <c r="C86" s="102"/>
      <c r="D86" s="102" t="s">
        <v>1049</v>
      </c>
      <c r="E86" s="103">
        <v>7.269999999999996</v>
      </c>
      <c r="F86" s="104">
        <v>1000</v>
      </c>
      <c r="G86" s="105">
        <f t="shared" si="24"/>
        <v>500</v>
      </c>
      <c r="H86" s="105">
        <v>2938</v>
      </c>
      <c r="I86" s="106">
        <f t="shared" si="25"/>
        <v>0.17018379850238258</v>
      </c>
      <c r="J86" s="86">
        <v>0</v>
      </c>
      <c r="K86" s="87">
        <v>0</v>
      </c>
      <c r="L86" s="87">
        <v>0</v>
      </c>
      <c r="M86" s="87">
        <v>92</v>
      </c>
      <c r="N86" s="90"/>
      <c r="O86" s="90">
        <v>0</v>
      </c>
      <c r="P86" s="86">
        <f t="shared" si="33"/>
        <v>0</v>
      </c>
      <c r="Q86" s="87">
        <f t="shared" si="34"/>
        <v>0</v>
      </c>
      <c r="R86" s="87">
        <f t="shared" si="35"/>
        <v>0</v>
      </c>
      <c r="S86" s="88">
        <f t="shared" si="36"/>
        <v>668.83999999999969</v>
      </c>
      <c r="T86" s="89">
        <f t="shared" si="37"/>
        <v>0</v>
      </c>
      <c r="U86" s="89">
        <f t="shared" si="26"/>
        <v>0</v>
      </c>
      <c r="V86" s="86">
        <v>499</v>
      </c>
      <c r="W86" s="87">
        <v>300</v>
      </c>
      <c r="X86" s="87">
        <v>300</v>
      </c>
      <c r="Y86" s="87">
        <v>19</v>
      </c>
      <c r="Z86" s="90">
        <v>281</v>
      </c>
      <c r="AA86" s="90">
        <v>390</v>
      </c>
      <c r="AB86" s="91">
        <f t="shared" si="27"/>
        <v>0.16984343090537782</v>
      </c>
      <c r="AC86" s="91">
        <f t="shared" si="28"/>
        <v>0.10211027910142954</v>
      </c>
      <c r="AD86" s="91">
        <f t="shared" si="29"/>
        <v>0.10211027910142954</v>
      </c>
      <c r="AE86" s="91">
        <f t="shared" si="30"/>
        <v>6.466984343090538E-3</v>
      </c>
      <c r="AF86" s="91">
        <f t="shared" si="31"/>
        <v>9.5643294758339006E-2</v>
      </c>
      <c r="AG86" s="91">
        <f t="shared" si="32"/>
        <v>0.13274336283185842</v>
      </c>
      <c r="AH86" s="92">
        <v>2355.6699999999992</v>
      </c>
      <c r="AI86" s="93">
        <v>2577.87</v>
      </c>
      <c r="AJ86" s="93">
        <v>2577.8700000000003</v>
      </c>
      <c r="AK86" s="93">
        <v>1924.23</v>
      </c>
      <c r="AL86" s="94">
        <v>109.899999999999</v>
      </c>
      <c r="AM86" s="94">
        <v>2560.3399999999901</v>
      </c>
      <c r="AN86" s="94" t="s">
        <v>780</v>
      </c>
      <c r="AO86" s="111">
        <v>0</v>
      </c>
      <c r="AP86" s="112">
        <v>0</v>
      </c>
      <c r="AQ86" s="112">
        <v>0</v>
      </c>
      <c r="AR86" s="112">
        <v>7327.8</v>
      </c>
      <c r="AS86" s="113">
        <v>0</v>
      </c>
      <c r="AT86" s="113">
        <v>0</v>
      </c>
      <c r="AU86" s="111">
        <v>44391.429999999949</v>
      </c>
      <c r="AV86" s="112">
        <v>27177.869999999963</v>
      </c>
      <c r="AW86" s="112">
        <v>26524.23</v>
      </c>
      <c r="AX86" s="112">
        <v>1730</v>
      </c>
      <c r="AY86" s="113">
        <v>25505.88</v>
      </c>
      <c r="AZ86" s="113">
        <v>35218.28</v>
      </c>
    </row>
    <row r="87" spans="1:52" x14ac:dyDescent="0.25">
      <c r="A87" s="101" t="s">
        <v>463</v>
      </c>
      <c r="B87" s="102" t="s">
        <v>464</v>
      </c>
      <c r="C87" s="102"/>
      <c r="D87" s="102" t="s">
        <v>1048</v>
      </c>
      <c r="E87" s="103">
        <v>7.0999999999999943</v>
      </c>
      <c r="F87" s="104">
        <v>500</v>
      </c>
      <c r="G87" s="105">
        <f t="shared" si="24"/>
        <v>250</v>
      </c>
      <c r="H87" s="105">
        <v>1160</v>
      </c>
      <c r="I87" s="106">
        <f t="shared" si="25"/>
        <v>0.21551724137931033</v>
      </c>
      <c r="J87" s="86">
        <v>0</v>
      </c>
      <c r="K87" s="87">
        <v>0</v>
      </c>
      <c r="L87" s="87">
        <v>154</v>
      </c>
      <c r="M87" s="87">
        <v>322</v>
      </c>
      <c r="N87" s="90">
        <v>422</v>
      </c>
      <c r="O87" s="90">
        <v>62</v>
      </c>
      <c r="P87" s="86">
        <f t="shared" si="33"/>
        <v>0</v>
      </c>
      <c r="Q87" s="87">
        <f t="shared" si="34"/>
        <v>0</v>
      </c>
      <c r="R87" s="87">
        <f t="shared" si="35"/>
        <v>1093.3999999999992</v>
      </c>
      <c r="S87" s="88">
        <f t="shared" si="36"/>
        <v>2286.199999999998</v>
      </c>
      <c r="T87" s="89">
        <f t="shared" si="37"/>
        <v>2996.1999999999975</v>
      </c>
      <c r="U87" s="89">
        <f t="shared" si="26"/>
        <v>440.19999999999965</v>
      </c>
      <c r="V87" s="86">
        <v>241</v>
      </c>
      <c r="W87" s="87">
        <v>238</v>
      </c>
      <c r="X87" s="87">
        <v>283</v>
      </c>
      <c r="Y87" s="87">
        <v>146</v>
      </c>
      <c r="Z87" s="90">
        <v>254</v>
      </c>
      <c r="AA87" s="90">
        <v>251</v>
      </c>
      <c r="AB87" s="91">
        <f t="shared" si="27"/>
        <v>0.20775862068965517</v>
      </c>
      <c r="AC87" s="91">
        <f t="shared" si="28"/>
        <v>0.20517241379310344</v>
      </c>
      <c r="AD87" s="91">
        <f t="shared" si="29"/>
        <v>0.2439655172413793</v>
      </c>
      <c r="AE87" s="91">
        <f t="shared" si="30"/>
        <v>0.12586206896551724</v>
      </c>
      <c r="AF87" s="91">
        <f t="shared" si="31"/>
        <v>0.2189655172413793</v>
      </c>
      <c r="AG87" s="91">
        <f t="shared" si="32"/>
        <v>0.21637931034482757</v>
      </c>
      <c r="AH87" s="92">
        <v>0</v>
      </c>
      <c r="AI87" s="93">
        <v>16.239999999999952</v>
      </c>
      <c r="AJ87" s="93">
        <v>16.239999999999952</v>
      </c>
      <c r="AK87" s="93">
        <v>324.80999999999972</v>
      </c>
      <c r="AL87" s="94">
        <v>480.82</v>
      </c>
      <c r="AM87" s="94">
        <v>883.61000000000104</v>
      </c>
      <c r="AN87" s="94" t="s">
        <v>780</v>
      </c>
      <c r="AO87" s="111">
        <v>0</v>
      </c>
      <c r="AP87" s="112">
        <v>0</v>
      </c>
      <c r="AQ87" s="112">
        <v>10724.56</v>
      </c>
      <c r="AR87" s="112">
        <v>22158.350000000002</v>
      </c>
      <c r="AS87" s="113">
        <v>28516.51</v>
      </c>
      <c r="AT87" s="113">
        <v>4279.8599999999997</v>
      </c>
      <c r="AU87" s="111">
        <v>17374.36</v>
      </c>
      <c r="AV87" s="112">
        <v>17464.019999999993</v>
      </c>
      <c r="AW87" s="112">
        <v>20563.999999999978</v>
      </c>
      <c r="AX87" s="112">
        <v>10686.04</v>
      </c>
      <c r="AY87" s="113">
        <v>18549.6699999999</v>
      </c>
      <c r="AZ87" s="113">
        <v>17878.059999999899</v>
      </c>
    </row>
    <row r="88" spans="1:52" x14ac:dyDescent="0.25">
      <c r="A88" s="101" t="s">
        <v>316</v>
      </c>
      <c r="B88" s="102" t="s">
        <v>317</v>
      </c>
      <c r="C88" s="102"/>
      <c r="D88" s="102" t="s">
        <v>1048</v>
      </c>
      <c r="E88" s="103">
        <v>7.0700000000000038</v>
      </c>
      <c r="F88" s="104">
        <v>80</v>
      </c>
      <c r="G88" s="105">
        <f t="shared" si="24"/>
        <v>40</v>
      </c>
      <c r="H88" s="105">
        <v>251</v>
      </c>
      <c r="I88" s="106">
        <f t="shared" si="25"/>
        <v>0.15936254980079681</v>
      </c>
      <c r="J88" s="86">
        <v>100</v>
      </c>
      <c r="K88" s="87">
        <v>532</v>
      </c>
      <c r="L88" s="87">
        <v>23</v>
      </c>
      <c r="M88" s="87">
        <v>0</v>
      </c>
      <c r="N88" s="90"/>
      <c r="O88" s="90">
        <v>36</v>
      </c>
      <c r="P88" s="86">
        <f t="shared" si="33"/>
        <v>707.00000000000034</v>
      </c>
      <c r="Q88" s="87">
        <f t="shared" si="34"/>
        <v>3761.2400000000021</v>
      </c>
      <c r="R88" s="87">
        <f t="shared" si="35"/>
        <v>162.6100000000001</v>
      </c>
      <c r="S88" s="88">
        <f t="shared" si="36"/>
        <v>0</v>
      </c>
      <c r="T88" s="89">
        <f t="shared" si="37"/>
        <v>0</v>
      </c>
      <c r="U88" s="89">
        <f t="shared" si="26"/>
        <v>254.52000000000015</v>
      </c>
      <c r="V88" s="86">
        <v>0</v>
      </c>
      <c r="W88" s="87">
        <v>0</v>
      </c>
      <c r="X88" s="87">
        <v>0</v>
      </c>
      <c r="Y88" s="87">
        <v>0</v>
      </c>
      <c r="Z88" s="90">
        <v>0</v>
      </c>
      <c r="AA88" s="90">
        <v>0</v>
      </c>
      <c r="AB88" s="91">
        <f t="shared" si="27"/>
        <v>0</v>
      </c>
      <c r="AC88" s="91">
        <f t="shared" si="28"/>
        <v>0</v>
      </c>
      <c r="AD88" s="91">
        <f t="shared" si="29"/>
        <v>0</v>
      </c>
      <c r="AE88" s="91">
        <f t="shared" si="30"/>
        <v>0</v>
      </c>
      <c r="AF88" s="91">
        <f t="shared" si="31"/>
        <v>0</v>
      </c>
      <c r="AG88" s="91">
        <f t="shared" si="32"/>
        <v>0</v>
      </c>
      <c r="AH88" s="92">
        <v>0</v>
      </c>
      <c r="AI88" s="93">
        <v>0</v>
      </c>
      <c r="AJ88" s="93">
        <v>0</v>
      </c>
      <c r="AK88" s="93">
        <v>0</v>
      </c>
      <c r="AL88" s="94">
        <v>0</v>
      </c>
      <c r="AM88" s="94">
        <v>0</v>
      </c>
      <c r="AN88" s="94" t="s">
        <v>779</v>
      </c>
      <c r="AO88" s="111">
        <v>1681</v>
      </c>
      <c r="AP88" s="112">
        <v>8997.74</v>
      </c>
      <c r="AQ88" s="112">
        <v>385.02</v>
      </c>
      <c r="AR88" s="112">
        <v>0</v>
      </c>
      <c r="AS88" s="113">
        <v>0</v>
      </c>
      <c r="AT88" s="113">
        <v>600.12</v>
      </c>
      <c r="AU88" s="111">
        <v>0</v>
      </c>
      <c r="AV88" s="112">
        <v>0</v>
      </c>
      <c r="AW88" s="112">
        <v>0</v>
      </c>
      <c r="AX88" s="112">
        <v>0</v>
      </c>
      <c r="AY88" s="113">
        <v>0</v>
      </c>
      <c r="AZ88" s="113">
        <v>0</v>
      </c>
    </row>
    <row r="89" spans="1:52" x14ac:dyDescent="0.25">
      <c r="A89" s="101" t="s">
        <v>364</v>
      </c>
      <c r="B89" s="102" t="s">
        <v>365</v>
      </c>
      <c r="C89" s="102" t="s">
        <v>1063</v>
      </c>
      <c r="D89" s="102" t="s">
        <v>1048</v>
      </c>
      <c r="E89" s="103">
        <v>7.0300000000000011</v>
      </c>
      <c r="F89" s="104">
        <v>15000</v>
      </c>
      <c r="G89" s="105">
        <f t="shared" si="24"/>
        <v>7500</v>
      </c>
      <c r="H89" s="105">
        <v>49628</v>
      </c>
      <c r="I89" s="106">
        <f t="shared" si="25"/>
        <v>0.15112436527766585</v>
      </c>
      <c r="J89" s="86">
        <v>7482</v>
      </c>
      <c r="K89" s="87">
        <v>3776</v>
      </c>
      <c r="L89" s="87">
        <v>4934</v>
      </c>
      <c r="M89" s="87">
        <v>2438</v>
      </c>
      <c r="N89" s="90">
        <v>1939</v>
      </c>
      <c r="O89" s="90">
        <v>3739</v>
      </c>
      <c r="P89" s="86">
        <f t="shared" si="33"/>
        <v>52598.460000000006</v>
      </c>
      <c r="Q89" s="87">
        <f t="shared" si="34"/>
        <v>26545.280000000006</v>
      </c>
      <c r="R89" s="87">
        <f t="shared" si="35"/>
        <v>34686.020000000004</v>
      </c>
      <c r="S89" s="88">
        <f t="shared" si="36"/>
        <v>17139.140000000003</v>
      </c>
      <c r="T89" s="89">
        <f t="shared" si="37"/>
        <v>13631.170000000002</v>
      </c>
      <c r="U89" s="89">
        <f t="shared" si="26"/>
        <v>26285.170000000006</v>
      </c>
      <c r="V89" s="86">
        <v>5255</v>
      </c>
      <c r="W89" s="87">
        <v>8435</v>
      </c>
      <c r="X89" s="87">
        <v>2711</v>
      </c>
      <c r="Y89" s="87">
        <v>5857</v>
      </c>
      <c r="Z89" s="90">
        <v>3786</v>
      </c>
      <c r="AA89" s="90">
        <v>3507</v>
      </c>
      <c r="AB89" s="91">
        <f t="shared" si="27"/>
        <v>0.10588780527121786</v>
      </c>
      <c r="AC89" s="91">
        <f t="shared" si="28"/>
        <v>0.16996453614894819</v>
      </c>
      <c r="AD89" s="91">
        <f t="shared" si="29"/>
        <v>5.4626420569033607E-2</v>
      </c>
      <c r="AE89" s="91">
        <f t="shared" si="30"/>
        <v>0.11801805432417184</v>
      </c>
      <c r="AF89" s="91">
        <f t="shared" si="31"/>
        <v>7.6287579592165713E-2</v>
      </c>
      <c r="AG89" s="91">
        <f t="shared" si="32"/>
        <v>7.0665753203836543E-2</v>
      </c>
      <c r="AH89" s="92">
        <v>18069.54999999993</v>
      </c>
      <c r="AI89" s="93">
        <v>27584.599999999951</v>
      </c>
      <c r="AJ89" s="93">
        <v>27584.599999999955</v>
      </c>
      <c r="AK89" s="93">
        <v>11509.300000000059</v>
      </c>
      <c r="AL89" s="94">
        <v>19970.979999999301</v>
      </c>
      <c r="AM89" s="94">
        <v>11669.31</v>
      </c>
      <c r="AN89" s="94" t="s">
        <v>779</v>
      </c>
      <c r="AO89" s="111">
        <v>323180.30000000005</v>
      </c>
      <c r="AP89" s="112">
        <v>160320.24000000002</v>
      </c>
      <c r="AQ89" s="112">
        <v>209768.61000000002</v>
      </c>
      <c r="AR89" s="112">
        <v>101266.36</v>
      </c>
      <c r="AS89" s="113">
        <v>80707.839999999997</v>
      </c>
      <c r="AT89" s="113">
        <v>350441.88</v>
      </c>
      <c r="AU89" s="111">
        <v>243491.70000000199</v>
      </c>
      <c r="AV89" s="112">
        <v>390805.84999999881</v>
      </c>
      <c r="AW89" s="112">
        <v>125503.15999999992</v>
      </c>
      <c r="AX89" s="112">
        <v>270068.85999999399</v>
      </c>
      <c r="AY89" s="113">
        <v>174612.45999999801</v>
      </c>
      <c r="AZ89" s="113">
        <v>161639.919999998</v>
      </c>
    </row>
    <row r="90" spans="1:52" x14ac:dyDescent="0.25">
      <c r="A90" s="101" t="s">
        <v>450</v>
      </c>
      <c r="B90" s="102" t="s">
        <v>451</v>
      </c>
      <c r="C90" s="102"/>
      <c r="D90" s="102" t="s">
        <v>1048</v>
      </c>
      <c r="E90" s="103">
        <v>6.93</v>
      </c>
      <c r="F90" s="104">
        <v>1500</v>
      </c>
      <c r="G90" s="105">
        <f t="shared" si="24"/>
        <v>750</v>
      </c>
      <c r="H90" s="105">
        <v>986</v>
      </c>
      <c r="I90" s="106">
        <f t="shared" si="25"/>
        <v>0.76064908722109537</v>
      </c>
      <c r="J90" s="86">
        <v>450</v>
      </c>
      <c r="K90" s="87">
        <v>63</v>
      </c>
      <c r="L90" s="87">
        <v>345</v>
      </c>
      <c r="M90" s="87">
        <v>366</v>
      </c>
      <c r="N90" s="90">
        <v>241</v>
      </c>
      <c r="O90" s="90">
        <v>426</v>
      </c>
      <c r="P90" s="86">
        <f t="shared" si="33"/>
        <v>3118.5</v>
      </c>
      <c r="Q90" s="87">
        <f t="shared" si="34"/>
        <v>436.59</v>
      </c>
      <c r="R90" s="87">
        <f t="shared" si="35"/>
        <v>2390.85</v>
      </c>
      <c r="S90" s="88">
        <f t="shared" si="36"/>
        <v>2536.38</v>
      </c>
      <c r="T90" s="89">
        <f t="shared" si="37"/>
        <v>1670.1299999999999</v>
      </c>
      <c r="U90" s="89">
        <f t="shared" si="26"/>
        <v>2952.18</v>
      </c>
      <c r="V90" s="86">
        <v>147</v>
      </c>
      <c r="W90" s="87">
        <v>167</v>
      </c>
      <c r="X90" s="87">
        <v>339</v>
      </c>
      <c r="Y90" s="87">
        <v>440</v>
      </c>
      <c r="Z90" s="90">
        <v>94</v>
      </c>
      <c r="AA90" s="90">
        <v>499</v>
      </c>
      <c r="AB90" s="91">
        <f t="shared" si="27"/>
        <v>0.14908722109533468</v>
      </c>
      <c r="AC90" s="91">
        <f t="shared" si="28"/>
        <v>0.16937119675456389</v>
      </c>
      <c r="AD90" s="91">
        <f t="shared" si="29"/>
        <v>0.34381338742393508</v>
      </c>
      <c r="AE90" s="91">
        <f t="shared" si="30"/>
        <v>0.44624746450304259</v>
      </c>
      <c r="AF90" s="91">
        <f t="shared" si="31"/>
        <v>9.5334685598377281E-2</v>
      </c>
      <c r="AG90" s="91">
        <f t="shared" si="32"/>
        <v>0.50608519269776875</v>
      </c>
      <c r="AH90" s="92">
        <v>484.41000000000008</v>
      </c>
      <c r="AI90" s="93">
        <v>730.69999999999914</v>
      </c>
      <c r="AJ90" s="93">
        <v>730.69999999999914</v>
      </c>
      <c r="AK90" s="93">
        <v>2193.0799999999927</v>
      </c>
      <c r="AL90" s="94">
        <v>2024.1099999999899</v>
      </c>
      <c r="AM90" s="94">
        <v>2644.1599999999899</v>
      </c>
      <c r="AN90" s="94" t="s">
        <v>780</v>
      </c>
      <c r="AO90" s="111">
        <v>27895.46</v>
      </c>
      <c r="AP90" s="112">
        <v>3957.9700000000003</v>
      </c>
      <c r="AQ90" s="112">
        <v>21582.600000000002</v>
      </c>
      <c r="AR90" s="112">
        <v>22921.79</v>
      </c>
      <c r="AS90" s="113">
        <v>15360.019999999999</v>
      </c>
      <c r="AT90" s="113">
        <v>27073.86</v>
      </c>
      <c r="AU90" s="111">
        <v>9648.2899999999972</v>
      </c>
      <c r="AV90" s="112">
        <v>11151.499999999989</v>
      </c>
      <c r="AW90" s="112">
        <v>23348.48</v>
      </c>
      <c r="AX90" s="112">
        <v>29515.859999999899</v>
      </c>
      <c r="AY90" s="113">
        <v>6268.8399999999901</v>
      </c>
      <c r="AZ90" s="113">
        <v>34097.909999999902</v>
      </c>
    </row>
    <row r="91" spans="1:52" x14ac:dyDescent="0.25">
      <c r="A91" s="101" t="s">
        <v>105</v>
      </c>
      <c r="B91" s="102" t="s">
        <v>106</v>
      </c>
      <c r="C91" s="102"/>
      <c r="D91" s="102" t="s">
        <v>1048</v>
      </c>
      <c r="E91" s="103">
        <v>6.9199999999999982</v>
      </c>
      <c r="F91" s="104">
        <v>2000</v>
      </c>
      <c r="G91" s="105">
        <f t="shared" si="24"/>
        <v>1000</v>
      </c>
      <c r="H91" s="105">
        <v>2529</v>
      </c>
      <c r="I91" s="106">
        <f t="shared" si="25"/>
        <v>0.39541320680110714</v>
      </c>
      <c r="J91" s="86">
        <v>144</v>
      </c>
      <c r="K91" s="87">
        <v>1385</v>
      </c>
      <c r="L91" s="87">
        <v>2221</v>
      </c>
      <c r="M91" s="87">
        <v>400</v>
      </c>
      <c r="N91" s="90">
        <v>820</v>
      </c>
      <c r="O91" s="90">
        <v>1807</v>
      </c>
      <c r="P91" s="86">
        <f t="shared" si="33"/>
        <v>996.47999999999979</v>
      </c>
      <c r="Q91" s="87">
        <f t="shared" si="34"/>
        <v>9584.1999999999971</v>
      </c>
      <c r="R91" s="87">
        <f t="shared" si="35"/>
        <v>15369.319999999996</v>
      </c>
      <c r="S91" s="88">
        <f t="shared" si="36"/>
        <v>2767.9999999999991</v>
      </c>
      <c r="T91" s="89">
        <f t="shared" si="37"/>
        <v>5674.3999999999987</v>
      </c>
      <c r="U91" s="89">
        <f t="shared" si="26"/>
        <v>12504.439999999997</v>
      </c>
      <c r="V91" s="86">
        <v>1442</v>
      </c>
      <c r="W91" s="87">
        <v>727</v>
      </c>
      <c r="X91" s="87">
        <v>1761</v>
      </c>
      <c r="Y91" s="87">
        <v>1468</v>
      </c>
      <c r="Z91" s="90">
        <v>1586</v>
      </c>
      <c r="AA91" s="90">
        <v>1308</v>
      </c>
      <c r="AB91" s="91">
        <f t="shared" si="27"/>
        <v>0.57018584420719653</v>
      </c>
      <c r="AC91" s="91">
        <f t="shared" si="28"/>
        <v>0.2874654013444049</v>
      </c>
      <c r="AD91" s="91">
        <f t="shared" si="29"/>
        <v>0.69632265717674968</v>
      </c>
      <c r="AE91" s="91">
        <f t="shared" si="30"/>
        <v>0.58046658758402536</v>
      </c>
      <c r="AF91" s="91">
        <f t="shared" si="31"/>
        <v>0.627125345986556</v>
      </c>
      <c r="AG91" s="91">
        <f t="shared" si="32"/>
        <v>0.51720047449584816</v>
      </c>
      <c r="AH91" s="92">
        <v>4351.5999999999958</v>
      </c>
      <c r="AI91" s="93">
        <v>2665.6099999999919</v>
      </c>
      <c r="AJ91" s="93">
        <v>2665.6099999999924</v>
      </c>
      <c r="AK91" s="93">
        <v>5299.2499999999891</v>
      </c>
      <c r="AL91" s="94">
        <v>4966.45999999996</v>
      </c>
      <c r="AM91" s="94">
        <v>5733.7600000000202</v>
      </c>
      <c r="AN91" s="94" t="s">
        <v>779</v>
      </c>
      <c r="AO91" s="111">
        <v>1491.84</v>
      </c>
      <c r="AP91" s="112">
        <v>14357.25</v>
      </c>
      <c r="AQ91" s="112">
        <v>22885.03</v>
      </c>
      <c r="AR91" s="112">
        <v>4126</v>
      </c>
      <c r="AS91" s="113">
        <v>7162.5999999999995</v>
      </c>
      <c r="AT91" s="113">
        <v>17955.03</v>
      </c>
      <c r="AU91" s="111">
        <v>20992.279999999992</v>
      </c>
      <c r="AV91" s="112">
        <v>10489.389999999994</v>
      </c>
      <c r="AW91" s="112">
        <v>23621.259999999947</v>
      </c>
      <c r="AX91" s="112">
        <v>20118.039999999699</v>
      </c>
      <c r="AY91" s="113">
        <v>22328.209999999901</v>
      </c>
      <c r="AZ91" s="113">
        <v>18629.979999999901</v>
      </c>
    </row>
    <row r="92" spans="1:52" x14ac:dyDescent="0.25">
      <c r="A92" s="101" t="s">
        <v>797</v>
      </c>
      <c r="B92" s="102" t="s">
        <v>840</v>
      </c>
      <c r="C92" s="102"/>
      <c r="D92" s="102" t="s">
        <v>1048</v>
      </c>
      <c r="E92" s="103">
        <v>6.84</v>
      </c>
      <c r="F92" s="104">
        <v>300</v>
      </c>
      <c r="G92" s="105">
        <f t="shared" si="24"/>
        <v>150</v>
      </c>
      <c r="H92" s="105">
        <v>442</v>
      </c>
      <c r="I92" s="106">
        <f t="shared" si="25"/>
        <v>0.33936651583710409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  <c r="O92" s="90">
        <v>572</v>
      </c>
      <c r="P92" s="86"/>
      <c r="Q92" s="87"/>
      <c r="R92" s="87"/>
      <c r="S92" s="88"/>
      <c r="T92" s="89"/>
      <c r="U92" s="89">
        <f t="shared" si="26"/>
        <v>3912.48</v>
      </c>
      <c r="V92" s="86"/>
      <c r="W92" s="87"/>
      <c r="X92" s="87"/>
      <c r="Y92" s="87"/>
      <c r="Z92" s="90"/>
      <c r="AA92" s="90"/>
      <c r="AB92" s="91">
        <f t="shared" si="27"/>
        <v>0</v>
      </c>
      <c r="AC92" s="91">
        <f t="shared" si="28"/>
        <v>0</v>
      </c>
      <c r="AD92" s="91">
        <f t="shared" si="29"/>
        <v>0</v>
      </c>
      <c r="AE92" s="91">
        <f t="shared" si="30"/>
        <v>0</v>
      </c>
      <c r="AF92" s="91">
        <f t="shared" si="31"/>
        <v>0</v>
      </c>
      <c r="AG92" s="91">
        <f t="shared" si="32"/>
        <v>0</v>
      </c>
      <c r="AH92" s="92"/>
      <c r="AI92" s="93"/>
      <c r="AJ92" s="93"/>
      <c r="AK92" s="93"/>
      <c r="AL92" s="94"/>
      <c r="AM92" s="94"/>
      <c r="AN92" s="94" t="s">
        <v>779</v>
      </c>
      <c r="AO92" s="111">
        <v>0</v>
      </c>
      <c r="AP92" s="112">
        <v>0</v>
      </c>
      <c r="AQ92" s="112">
        <v>0</v>
      </c>
      <c r="AR92" s="112">
        <v>0</v>
      </c>
      <c r="AS92" s="113">
        <v>0</v>
      </c>
      <c r="AT92" s="113">
        <v>4530.24</v>
      </c>
      <c r="AU92" s="111">
        <v>831.41000000000008</v>
      </c>
      <c r="AV92" s="112">
        <v>1127.4599999999998</v>
      </c>
      <c r="AW92" s="112">
        <v>1002.8999999999962</v>
      </c>
      <c r="AX92" s="112">
        <v>1339.66</v>
      </c>
      <c r="AY92" s="113">
        <v>1234.75</v>
      </c>
      <c r="AZ92" s="113">
        <v>902.849999999999</v>
      </c>
    </row>
    <row r="93" spans="1:52" x14ac:dyDescent="0.25">
      <c r="A93" s="101" t="s">
        <v>34</v>
      </c>
      <c r="B93" s="102" t="s">
        <v>35</v>
      </c>
      <c r="C93" s="102"/>
      <c r="D93" s="102" t="s">
        <v>1048</v>
      </c>
      <c r="E93" s="103">
        <v>6.82</v>
      </c>
      <c r="F93" s="104">
        <v>20</v>
      </c>
      <c r="G93" s="105">
        <f t="shared" si="24"/>
        <v>10</v>
      </c>
      <c r="H93" s="105">
        <v>0</v>
      </c>
      <c r="I93" s="106" t="e">
        <f t="shared" si="25"/>
        <v>#DIV/0!</v>
      </c>
      <c r="J93" s="86">
        <v>0</v>
      </c>
      <c r="K93" s="87">
        <v>0</v>
      </c>
      <c r="L93" s="87">
        <v>0</v>
      </c>
      <c r="M93" s="87">
        <v>0</v>
      </c>
      <c r="N93" s="90">
        <v>200</v>
      </c>
      <c r="O93" s="90">
        <v>225</v>
      </c>
      <c r="P93" s="86">
        <f t="shared" ref="P93:P105" si="38">+J93*E93</f>
        <v>0</v>
      </c>
      <c r="Q93" s="87">
        <f t="shared" ref="Q93:Q105" si="39">+K93*E93</f>
        <v>0</v>
      </c>
      <c r="R93" s="87">
        <f t="shared" ref="R93:R105" si="40">+L93*E93</f>
        <v>0</v>
      </c>
      <c r="S93" s="88">
        <f t="shared" ref="S93:S105" si="41">+M93*E93</f>
        <v>0</v>
      </c>
      <c r="T93" s="89">
        <f t="shared" ref="T93:T105" si="42">+N93*E93</f>
        <v>1364</v>
      </c>
      <c r="U93" s="89">
        <f t="shared" si="26"/>
        <v>1534.5</v>
      </c>
      <c r="V93" s="86">
        <v>0</v>
      </c>
      <c r="W93" s="87">
        <v>0</v>
      </c>
      <c r="X93" s="87">
        <v>4</v>
      </c>
      <c r="Y93" s="87">
        <v>0</v>
      </c>
      <c r="Z93" s="90">
        <v>0</v>
      </c>
      <c r="AA93" s="90">
        <v>0</v>
      </c>
      <c r="AB93" s="91" t="str">
        <f t="shared" si="27"/>
        <v/>
      </c>
      <c r="AC93" s="91" t="str">
        <f t="shared" si="28"/>
        <v/>
      </c>
      <c r="AD93" s="91" t="str">
        <f t="shared" si="29"/>
        <v/>
      </c>
      <c r="AE93" s="91" t="str">
        <f t="shared" si="30"/>
        <v/>
      </c>
      <c r="AF93" s="91" t="str">
        <f t="shared" si="31"/>
        <v/>
      </c>
      <c r="AG93" s="91" t="str">
        <f t="shared" si="32"/>
        <v/>
      </c>
      <c r="AH93" s="92">
        <v>0</v>
      </c>
      <c r="AI93" s="93">
        <v>0</v>
      </c>
      <c r="AJ93" s="93">
        <v>27.28</v>
      </c>
      <c r="AK93" s="93">
        <v>12.52</v>
      </c>
      <c r="AL93" s="94">
        <v>0</v>
      </c>
      <c r="AM93" s="94">
        <v>0</v>
      </c>
      <c r="AN93" s="94" t="s">
        <v>779</v>
      </c>
      <c r="AO93" s="111">
        <v>0</v>
      </c>
      <c r="AP93" s="112">
        <v>0</v>
      </c>
      <c r="AQ93" s="112">
        <v>0</v>
      </c>
      <c r="AR93" s="112">
        <v>0</v>
      </c>
      <c r="AS93" s="113">
        <v>951</v>
      </c>
      <c r="AT93" s="113">
        <v>1026.5</v>
      </c>
      <c r="AU93" s="111">
        <v>0</v>
      </c>
      <c r="AV93" s="112">
        <v>0</v>
      </c>
      <c r="AW93" s="112">
        <v>32</v>
      </c>
      <c r="AX93" s="112">
        <v>0</v>
      </c>
      <c r="AY93" s="113">
        <v>0</v>
      </c>
      <c r="AZ93" s="113">
        <v>0</v>
      </c>
    </row>
    <row r="94" spans="1:52" x14ac:dyDescent="0.25">
      <c r="A94" s="101" t="s">
        <v>459</v>
      </c>
      <c r="B94" s="102" t="s">
        <v>460</v>
      </c>
      <c r="C94" s="102"/>
      <c r="D94" s="102" t="s">
        <v>1048</v>
      </c>
      <c r="E94" s="103">
        <v>6.7900000000000063</v>
      </c>
      <c r="F94" s="104">
        <v>2000</v>
      </c>
      <c r="G94" s="105">
        <f t="shared" si="24"/>
        <v>1000</v>
      </c>
      <c r="H94" s="105">
        <v>4920</v>
      </c>
      <c r="I94" s="106">
        <f t="shared" si="25"/>
        <v>0.2032520325203252</v>
      </c>
      <c r="J94" s="86">
        <v>310</v>
      </c>
      <c r="K94" s="87">
        <v>381</v>
      </c>
      <c r="L94" s="87">
        <v>72</v>
      </c>
      <c r="M94" s="87">
        <v>461</v>
      </c>
      <c r="N94" s="90">
        <v>500</v>
      </c>
      <c r="O94" s="90">
        <v>372</v>
      </c>
      <c r="P94" s="86">
        <f t="shared" si="38"/>
        <v>2104.9000000000019</v>
      </c>
      <c r="Q94" s="87">
        <f t="shared" si="39"/>
        <v>2586.9900000000025</v>
      </c>
      <c r="R94" s="87">
        <f t="shared" si="40"/>
        <v>488.88000000000045</v>
      </c>
      <c r="S94" s="88">
        <f t="shared" si="41"/>
        <v>3130.1900000000028</v>
      </c>
      <c r="T94" s="89">
        <f t="shared" si="42"/>
        <v>3395.0000000000032</v>
      </c>
      <c r="U94" s="89">
        <f t="shared" si="26"/>
        <v>2525.8800000000024</v>
      </c>
      <c r="V94" s="86">
        <v>34</v>
      </c>
      <c r="W94" s="87">
        <v>262</v>
      </c>
      <c r="X94" s="87">
        <v>468</v>
      </c>
      <c r="Y94" s="87">
        <v>88</v>
      </c>
      <c r="Z94" s="90">
        <v>408</v>
      </c>
      <c r="AA94" s="90">
        <v>606</v>
      </c>
      <c r="AB94" s="91">
        <f t="shared" si="27"/>
        <v>6.9105691056910567E-3</v>
      </c>
      <c r="AC94" s="91">
        <f t="shared" si="28"/>
        <v>5.3252032520325204E-2</v>
      </c>
      <c r="AD94" s="91">
        <f t="shared" si="29"/>
        <v>9.5121951219512196E-2</v>
      </c>
      <c r="AE94" s="91">
        <f t="shared" si="30"/>
        <v>1.7886178861788619E-2</v>
      </c>
      <c r="AF94" s="91">
        <f t="shared" si="31"/>
        <v>8.2926829268292687E-2</v>
      </c>
      <c r="AG94" s="91">
        <f t="shared" si="32"/>
        <v>0.12317073170731707</v>
      </c>
      <c r="AH94" s="92">
        <v>144.91</v>
      </c>
      <c r="AI94" s="93">
        <v>1160.319999999997</v>
      </c>
      <c r="AJ94" s="93">
        <v>1160.319999999997</v>
      </c>
      <c r="AK94" s="93">
        <v>2018.6999999999969</v>
      </c>
      <c r="AL94" s="94">
        <v>401.479999999999</v>
      </c>
      <c r="AM94" s="94">
        <v>3711.9299999999898</v>
      </c>
      <c r="AN94" s="94" t="s">
        <v>780</v>
      </c>
      <c r="AO94" s="111">
        <v>20050.68</v>
      </c>
      <c r="AP94" s="112">
        <v>24610.710000000003</v>
      </c>
      <c r="AQ94" s="112">
        <v>4642.8600000000006</v>
      </c>
      <c r="AR94" s="112">
        <v>29720.359999999997</v>
      </c>
      <c r="AS94" s="113">
        <v>32101.579999999994</v>
      </c>
      <c r="AT94" s="113">
        <v>24109.77</v>
      </c>
      <c r="AU94" s="111">
        <v>2355.25</v>
      </c>
      <c r="AV94" s="112">
        <v>18148.879999999997</v>
      </c>
      <c r="AW94" s="112">
        <v>32283.739999999958</v>
      </c>
      <c r="AX94" s="112">
        <v>6032.54</v>
      </c>
      <c r="AY94" s="113">
        <v>28108.889999999901</v>
      </c>
      <c r="AZ94" s="113">
        <v>42617.229999999901</v>
      </c>
    </row>
    <row r="95" spans="1:52" x14ac:dyDescent="0.25">
      <c r="A95" s="101" t="s">
        <v>175</v>
      </c>
      <c r="B95" s="102" t="s">
        <v>176</v>
      </c>
      <c r="C95" s="102"/>
      <c r="D95" s="102" t="s">
        <v>1048</v>
      </c>
      <c r="E95" s="103">
        <v>6.7399999999999984</v>
      </c>
      <c r="F95" s="104">
        <v>200</v>
      </c>
      <c r="G95" s="105">
        <f t="shared" si="24"/>
        <v>100</v>
      </c>
      <c r="H95" s="105">
        <v>787</v>
      </c>
      <c r="I95" s="106">
        <f t="shared" si="25"/>
        <v>0.12706480304955528</v>
      </c>
      <c r="J95" s="86">
        <v>267</v>
      </c>
      <c r="K95" s="87">
        <v>60</v>
      </c>
      <c r="L95" s="87">
        <v>0</v>
      </c>
      <c r="M95" s="87">
        <v>0</v>
      </c>
      <c r="N95" s="90"/>
      <c r="O95" s="90">
        <v>0</v>
      </c>
      <c r="P95" s="86">
        <f t="shared" si="38"/>
        <v>1799.5799999999995</v>
      </c>
      <c r="Q95" s="87">
        <f t="shared" si="39"/>
        <v>404.39999999999992</v>
      </c>
      <c r="R95" s="87">
        <f t="shared" si="40"/>
        <v>0</v>
      </c>
      <c r="S95" s="88">
        <f t="shared" si="41"/>
        <v>0</v>
      </c>
      <c r="T95" s="89">
        <f t="shared" si="42"/>
        <v>0</v>
      </c>
      <c r="U95" s="89">
        <f t="shared" si="26"/>
        <v>0</v>
      </c>
      <c r="V95" s="86">
        <v>67</v>
      </c>
      <c r="W95" s="87">
        <v>103</v>
      </c>
      <c r="X95" s="87">
        <v>100</v>
      </c>
      <c r="Y95" s="87">
        <v>178</v>
      </c>
      <c r="Z95" s="90">
        <v>148</v>
      </c>
      <c r="AA95" s="90">
        <v>178</v>
      </c>
      <c r="AB95" s="91">
        <f t="shared" si="27"/>
        <v>8.5133418043202028E-2</v>
      </c>
      <c r="AC95" s="91">
        <f t="shared" si="28"/>
        <v>0.13087674714104194</v>
      </c>
      <c r="AD95" s="91">
        <f t="shared" si="29"/>
        <v>0.12706480304955528</v>
      </c>
      <c r="AE95" s="91">
        <f t="shared" si="30"/>
        <v>0.22617534942820838</v>
      </c>
      <c r="AF95" s="91">
        <f t="shared" si="31"/>
        <v>0.18805590851334181</v>
      </c>
      <c r="AG95" s="91">
        <f t="shared" si="32"/>
        <v>0.22617534942820838</v>
      </c>
      <c r="AH95" s="92">
        <v>236.7</v>
      </c>
      <c r="AI95" s="93">
        <v>293.74999999999977</v>
      </c>
      <c r="AJ95" s="93">
        <v>293.74999999999977</v>
      </c>
      <c r="AK95" s="93">
        <v>255.02999999999997</v>
      </c>
      <c r="AL95" s="94">
        <v>948.99</v>
      </c>
      <c r="AM95" s="94">
        <v>1092.9000000000001</v>
      </c>
      <c r="AN95" s="94" t="s">
        <v>779</v>
      </c>
      <c r="AO95" s="111">
        <v>3575.13</v>
      </c>
      <c r="AP95" s="112">
        <v>805.2</v>
      </c>
      <c r="AQ95" s="112">
        <v>0</v>
      </c>
      <c r="AR95" s="112">
        <v>0</v>
      </c>
      <c r="AS95" s="113">
        <v>0</v>
      </c>
      <c r="AT95" s="113">
        <v>0</v>
      </c>
      <c r="AU95" s="111">
        <v>1526.45</v>
      </c>
      <c r="AV95" s="112">
        <v>2276.4999999999995</v>
      </c>
      <c r="AW95" s="112">
        <v>2180.0299999999979</v>
      </c>
      <c r="AX95" s="112">
        <v>3701.32</v>
      </c>
      <c r="AY95" s="113">
        <v>3088.61</v>
      </c>
      <c r="AZ95" s="113">
        <v>3703.06</v>
      </c>
    </row>
    <row r="96" spans="1:52" x14ac:dyDescent="0.25">
      <c r="A96" s="101" t="s">
        <v>909</v>
      </c>
      <c r="B96" s="102" t="s">
        <v>329</v>
      </c>
      <c r="C96" s="102"/>
      <c r="D96" s="102" t="s">
        <v>1048</v>
      </c>
      <c r="E96" s="103">
        <v>6.6900000000000048</v>
      </c>
      <c r="F96" s="104">
        <v>50</v>
      </c>
      <c r="G96" s="105">
        <f t="shared" si="24"/>
        <v>25</v>
      </c>
      <c r="H96" s="105">
        <v>11</v>
      </c>
      <c r="I96" s="106">
        <f t="shared" si="25"/>
        <v>2.2727272727272729</v>
      </c>
      <c r="J96" s="86">
        <v>0</v>
      </c>
      <c r="K96" s="87">
        <v>80</v>
      </c>
      <c r="L96" s="87">
        <v>0</v>
      </c>
      <c r="M96" s="87">
        <v>0</v>
      </c>
      <c r="N96" s="90"/>
      <c r="O96" s="90">
        <v>0</v>
      </c>
      <c r="P96" s="86">
        <f t="shared" si="38"/>
        <v>0</v>
      </c>
      <c r="Q96" s="87">
        <f t="shared" si="39"/>
        <v>535.20000000000039</v>
      </c>
      <c r="R96" s="87">
        <f t="shared" si="40"/>
        <v>0</v>
      </c>
      <c r="S96" s="88">
        <f t="shared" si="41"/>
        <v>0</v>
      </c>
      <c r="T96" s="89">
        <f t="shared" si="42"/>
        <v>0</v>
      </c>
      <c r="U96" s="89">
        <f t="shared" si="26"/>
        <v>0</v>
      </c>
      <c r="V96" s="86">
        <v>4</v>
      </c>
      <c r="W96" s="87">
        <v>8</v>
      </c>
      <c r="X96" s="87">
        <v>6</v>
      </c>
      <c r="Y96" s="87">
        <v>5</v>
      </c>
      <c r="Z96" s="90">
        <v>9</v>
      </c>
      <c r="AA96" s="90">
        <v>22</v>
      </c>
      <c r="AB96" s="91">
        <f t="shared" si="27"/>
        <v>0.36363636363636365</v>
      </c>
      <c r="AC96" s="91">
        <f t="shared" si="28"/>
        <v>0.72727272727272729</v>
      </c>
      <c r="AD96" s="91">
        <f t="shared" si="29"/>
        <v>0.54545454545454541</v>
      </c>
      <c r="AE96" s="91">
        <f t="shared" si="30"/>
        <v>0.45454545454545453</v>
      </c>
      <c r="AF96" s="91">
        <f t="shared" si="31"/>
        <v>0.81818181818181823</v>
      </c>
      <c r="AG96" s="91">
        <f t="shared" si="32"/>
        <v>2</v>
      </c>
      <c r="AH96" s="92">
        <v>32.72</v>
      </c>
      <c r="AI96" s="93">
        <v>70.03</v>
      </c>
      <c r="AJ96" s="93">
        <v>70.03</v>
      </c>
      <c r="AK96" s="93">
        <v>51.320000000000007</v>
      </c>
      <c r="AL96" s="94">
        <v>37.4</v>
      </c>
      <c r="AM96" s="94">
        <v>105.19</v>
      </c>
      <c r="AN96" s="94" t="s">
        <v>779</v>
      </c>
      <c r="AO96" s="111">
        <v>0</v>
      </c>
      <c r="AP96" s="112">
        <v>2488.6999999999998</v>
      </c>
      <c r="AQ96" s="112">
        <v>0</v>
      </c>
      <c r="AR96" s="112">
        <v>0</v>
      </c>
      <c r="AS96" s="113">
        <v>0</v>
      </c>
      <c r="AT96" s="113">
        <v>0</v>
      </c>
      <c r="AU96" s="111">
        <v>0</v>
      </c>
      <c r="AV96" s="112">
        <v>0</v>
      </c>
      <c r="AW96" s="112">
        <v>0</v>
      </c>
      <c r="AX96" s="112">
        <v>0</v>
      </c>
      <c r="AY96" s="113">
        <v>0</v>
      </c>
      <c r="AZ96" s="113">
        <v>0</v>
      </c>
    </row>
    <row r="97" spans="1:52" x14ac:dyDescent="0.25">
      <c r="A97" s="101" t="s">
        <v>910</v>
      </c>
      <c r="B97" s="102" t="s">
        <v>15</v>
      </c>
      <c r="C97" s="102"/>
      <c r="D97" s="102" t="s">
        <v>1048</v>
      </c>
      <c r="E97" s="103">
        <v>6.6400000000000006</v>
      </c>
      <c r="F97" s="104">
        <v>300</v>
      </c>
      <c r="G97" s="105">
        <f t="shared" si="24"/>
        <v>150</v>
      </c>
      <c r="H97" s="105">
        <v>412</v>
      </c>
      <c r="I97" s="106">
        <f t="shared" si="25"/>
        <v>0.36407766990291263</v>
      </c>
      <c r="J97" s="86">
        <v>250</v>
      </c>
      <c r="K97" s="87">
        <v>0</v>
      </c>
      <c r="L97" s="87">
        <v>150</v>
      </c>
      <c r="M97" s="87">
        <v>599</v>
      </c>
      <c r="N97" s="90">
        <v>200</v>
      </c>
      <c r="O97" s="90">
        <v>150</v>
      </c>
      <c r="P97" s="86">
        <f t="shared" si="38"/>
        <v>1660.0000000000002</v>
      </c>
      <c r="Q97" s="87">
        <f t="shared" si="39"/>
        <v>0</v>
      </c>
      <c r="R97" s="87">
        <f t="shared" si="40"/>
        <v>996.00000000000011</v>
      </c>
      <c r="S97" s="88">
        <f t="shared" si="41"/>
        <v>3977.36</v>
      </c>
      <c r="T97" s="89">
        <f t="shared" si="42"/>
        <v>1328</v>
      </c>
      <c r="U97" s="89">
        <f t="shared" si="26"/>
        <v>996.00000000000011</v>
      </c>
      <c r="V97" s="86">
        <v>149</v>
      </c>
      <c r="W97" s="87">
        <v>245</v>
      </c>
      <c r="X97" s="87">
        <v>202</v>
      </c>
      <c r="Y97" s="87">
        <v>121</v>
      </c>
      <c r="Z97" s="90">
        <v>181</v>
      </c>
      <c r="AA97" s="90">
        <v>181</v>
      </c>
      <c r="AB97" s="91">
        <f t="shared" si="27"/>
        <v>0.36165048543689321</v>
      </c>
      <c r="AC97" s="91">
        <f t="shared" si="28"/>
        <v>0.59466019417475724</v>
      </c>
      <c r="AD97" s="91">
        <f t="shared" si="29"/>
        <v>0.49029126213592233</v>
      </c>
      <c r="AE97" s="91">
        <f t="shared" si="30"/>
        <v>0.2936893203883495</v>
      </c>
      <c r="AF97" s="91">
        <f t="shared" si="31"/>
        <v>0.43932038834951459</v>
      </c>
      <c r="AG97" s="91">
        <f t="shared" si="32"/>
        <v>0.43932038834951459</v>
      </c>
      <c r="AH97" s="92">
        <v>561.87999999999988</v>
      </c>
      <c r="AI97" s="93">
        <v>959.38999999999965</v>
      </c>
      <c r="AJ97" s="93">
        <v>959.38999999999942</v>
      </c>
      <c r="AK97" s="93">
        <v>666.62999999999954</v>
      </c>
      <c r="AL97" s="94">
        <v>339.30999999999898</v>
      </c>
      <c r="AM97" s="94">
        <v>863.50999999999897</v>
      </c>
      <c r="AN97" s="94" t="s">
        <v>779</v>
      </c>
      <c r="AO97" s="111">
        <v>640</v>
      </c>
      <c r="AP97" s="112">
        <v>0</v>
      </c>
      <c r="AQ97" s="112">
        <v>400.5</v>
      </c>
      <c r="AR97" s="112">
        <v>1658.88</v>
      </c>
      <c r="AS97" s="113">
        <v>516</v>
      </c>
      <c r="AT97" s="113">
        <v>394.5</v>
      </c>
      <c r="AU97" s="111">
        <v>0</v>
      </c>
      <c r="AV97" s="112">
        <v>0</v>
      </c>
      <c r="AW97" s="112">
        <v>0</v>
      </c>
      <c r="AX97" s="112">
        <v>0</v>
      </c>
      <c r="AY97" s="113">
        <v>0</v>
      </c>
      <c r="AZ97" s="113">
        <v>0</v>
      </c>
    </row>
    <row r="98" spans="1:52" x14ac:dyDescent="0.25">
      <c r="A98" s="101" t="s">
        <v>57</v>
      </c>
      <c r="B98" s="102" t="s">
        <v>58</v>
      </c>
      <c r="C98" s="102"/>
      <c r="D98" s="102" t="s">
        <v>1048</v>
      </c>
      <c r="E98" s="103">
        <v>6.3800000000000008</v>
      </c>
      <c r="F98" s="104">
        <v>800</v>
      </c>
      <c r="G98" s="105">
        <f t="shared" si="24"/>
        <v>400</v>
      </c>
      <c r="H98" s="105">
        <v>372</v>
      </c>
      <c r="I98" s="106">
        <f t="shared" si="25"/>
        <v>1.075268817204301</v>
      </c>
      <c r="J98" s="86">
        <v>50</v>
      </c>
      <c r="K98" s="87">
        <v>321</v>
      </c>
      <c r="L98" s="87">
        <v>340</v>
      </c>
      <c r="M98" s="87">
        <v>710</v>
      </c>
      <c r="N98" s="90">
        <v>626</v>
      </c>
      <c r="O98" s="90">
        <v>230</v>
      </c>
      <c r="P98" s="86">
        <f t="shared" si="38"/>
        <v>319.00000000000006</v>
      </c>
      <c r="Q98" s="87">
        <f t="shared" si="39"/>
        <v>2047.9800000000002</v>
      </c>
      <c r="R98" s="87">
        <f t="shared" si="40"/>
        <v>2169.2000000000003</v>
      </c>
      <c r="S98" s="88">
        <f t="shared" si="41"/>
        <v>4529.8</v>
      </c>
      <c r="T98" s="89">
        <f t="shared" si="42"/>
        <v>3993.8800000000006</v>
      </c>
      <c r="U98" s="89">
        <f t="shared" si="26"/>
        <v>1467.4</v>
      </c>
      <c r="V98" s="86">
        <v>288</v>
      </c>
      <c r="W98" s="87">
        <v>78</v>
      </c>
      <c r="X98" s="87">
        <v>41</v>
      </c>
      <c r="Y98" s="87">
        <v>161</v>
      </c>
      <c r="Z98" s="90">
        <v>236</v>
      </c>
      <c r="AA98" s="90">
        <v>219</v>
      </c>
      <c r="AB98" s="91">
        <f t="shared" si="27"/>
        <v>0.77419354838709675</v>
      </c>
      <c r="AC98" s="91">
        <f t="shared" si="28"/>
        <v>0.20967741935483872</v>
      </c>
      <c r="AD98" s="91">
        <f t="shared" si="29"/>
        <v>0.11021505376344086</v>
      </c>
      <c r="AE98" s="91">
        <f t="shared" si="30"/>
        <v>0.43279569892473119</v>
      </c>
      <c r="AF98" s="91">
        <f t="shared" si="31"/>
        <v>0.63440860215053763</v>
      </c>
      <c r="AG98" s="91">
        <f t="shared" si="32"/>
        <v>0.58870967741935487</v>
      </c>
      <c r="AH98" s="92">
        <v>935.90000000000009</v>
      </c>
      <c r="AI98" s="93">
        <v>200.4899999999999</v>
      </c>
      <c r="AJ98" s="93">
        <v>200.4899999999999</v>
      </c>
      <c r="AK98" s="93">
        <v>98.57</v>
      </c>
      <c r="AL98" s="94">
        <v>2159.9699999999998</v>
      </c>
      <c r="AM98" s="94">
        <v>1481.19</v>
      </c>
      <c r="AN98" s="94" t="s">
        <v>779</v>
      </c>
      <c r="AO98" s="111">
        <v>265.5</v>
      </c>
      <c r="AP98" s="112">
        <v>1714.06</v>
      </c>
      <c r="AQ98" s="112">
        <v>1812.9</v>
      </c>
      <c r="AR98" s="112">
        <v>3689.1000000000004</v>
      </c>
      <c r="AS98" s="113">
        <v>3318.0600000000004</v>
      </c>
      <c r="AT98" s="113">
        <v>1209.7</v>
      </c>
      <c r="AU98" s="111">
        <v>2458.9299999999998</v>
      </c>
      <c r="AV98" s="112">
        <v>618.56999999999789</v>
      </c>
      <c r="AW98" s="112">
        <v>318.32999999999794</v>
      </c>
      <c r="AX98" s="112">
        <v>3016.49</v>
      </c>
      <c r="AY98" s="113">
        <v>3579.12</v>
      </c>
      <c r="AZ98" s="113">
        <v>2630.44</v>
      </c>
    </row>
    <row r="99" spans="1:52" x14ac:dyDescent="0.25">
      <c r="A99" s="101" t="s">
        <v>554</v>
      </c>
      <c r="B99" s="102" t="s">
        <v>555</v>
      </c>
      <c r="C99" s="102"/>
      <c r="D99" s="102" t="s">
        <v>1048</v>
      </c>
      <c r="E99" s="103">
        <v>6.3700000000000045</v>
      </c>
      <c r="F99" s="104">
        <v>2000</v>
      </c>
      <c r="G99" s="105">
        <f t="shared" si="24"/>
        <v>1000</v>
      </c>
      <c r="H99" s="105">
        <v>203101</v>
      </c>
      <c r="I99" s="106">
        <f t="shared" si="25"/>
        <v>4.9236586722862024E-3</v>
      </c>
      <c r="J99" s="86">
        <v>205</v>
      </c>
      <c r="K99" s="87">
        <v>535</v>
      </c>
      <c r="L99" s="87">
        <v>660</v>
      </c>
      <c r="M99" s="87">
        <v>491</v>
      </c>
      <c r="N99" s="90">
        <v>270</v>
      </c>
      <c r="O99" s="90">
        <v>840</v>
      </c>
      <c r="P99" s="86">
        <f t="shared" si="38"/>
        <v>1305.8500000000008</v>
      </c>
      <c r="Q99" s="87">
        <f t="shared" si="39"/>
        <v>3407.9500000000025</v>
      </c>
      <c r="R99" s="87">
        <f t="shared" si="40"/>
        <v>4204.2000000000025</v>
      </c>
      <c r="S99" s="88">
        <f t="shared" si="41"/>
        <v>3127.6700000000023</v>
      </c>
      <c r="T99" s="89">
        <f t="shared" si="42"/>
        <v>1719.9000000000012</v>
      </c>
      <c r="U99" s="89">
        <f t="shared" si="26"/>
        <v>5350.8000000000038</v>
      </c>
      <c r="V99" s="86">
        <v>569</v>
      </c>
      <c r="W99" s="87">
        <v>807</v>
      </c>
      <c r="X99" s="87">
        <v>978</v>
      </c>
      <c r="Y99" s="87">
        <v>1027</v>
      </c>
      <c r="Z99" s="90">
        <v>1237</v>
      </c>
      <c r="AA99" s="90">
        <v>1116</v>
      </c>
      <c r="AB99" s="91">
        <f t="shared" si="27"/>
        <v>2.8015617845308493E-3</v>
      </c>
      <c r="AC99" s="91">
        <f t="shared" si="28"/>
        <v>3.9733925485349658E-3</v>
      </c>
      <c r="AD99" s="91">
        <f t="shared" si="29"/>
        <v>4.8153381814959057E-3</v>
      </c>
      <c r="AE99" s="91">
        <f t="shared" si="30"/>
        <v>5.0565974564379295E-3</v>
      </c>
      <c r="AF99" s="91">
        <f t="shared" si="31"/>
        <v>6.0905657776180325E-3</v>
      </c>
      <c r="AG99" s="91">
        <f t="shared" si="32"/>
        <v>5.4948030782714019E-3</v>
      </c>
      <c r="AH99" s="92">
        <v>812.62</v>
      </c>
      <c r="AI99" s="93">
        <v>2209.9199999999973</v>
      </c>
      <c r="AJ99" s="93">
        <v>2209.9199999999973</v>
      </c>
      <c r="AK99" s="93">
        <v>2514.3799999999928</v>
      </c>
      <c r="AL99" s="94">
        <v>1601.52999999999</v>
      </c>
      <c r="AM99" s="94">
        <v>4178.68</v>
      </c>
      <c r="AN99" s="94" t="s">
        <v>780</v>
      </c>
      <c r="AO99" s="111">
        <v>20317.55</v>
      </c>
      <c r="AP99" s="112">
        <v>52893.61</v>
      </c>
      <c r="AQ99" s="112">
        <v>64874.43</v>
      </c>
      <c r="AR99" s="112">
        <v>47530.9</v>
      </c>
      <c r="AS99" s="113">
        <v>25690.5</v>
      </c>
      <c r="AT99" s="113">
        <v>22939.65</v>
      </c>
      <c r="AU99" s="111">
        <v>56939.450000000012</v>
      </c>
      <c r="AV99" s="112">
        <v>80714.089999999793</v>
      </c>
      <c r="AW99" s="112">
        <v>97490.849999999904</v>
      </c>
      <c r="AX99" s="112">
        <v>102297.289999999</v>
      </c>
      <c r="AY99" s="113">
        <v>122943.41999999899</v>
      </c>
      <c r="AZ99" s="113">
        <v>110434.94999999899</v>
      </c>
    </row>
    <row r="100" spans="1:52" x14ac:dyDescent="0.25">
      <c r="A100" s="101" t="s">
        <v>66</v>
      </c>
      <c r="B100" s="102" t="s">
        <v>67</v>
      </c>
      <c r="C100" s="102"/>
      <c r="D100" s="102" t="s">
        <v>1048</v>
      </c>
      <c r="E100" s="103">
        <v>6.0699999999999994</v>
      </c>
      <c r="F100" s="104">
        <v>500</v>
      </c>
      <c r="G100" s="105">
        <f t="shared" si="24"/>
        <v>250</v>
      </c>
      <c r="H100" s="105">
        <v>259</v>
      </c>
      <c r="I100" s="106">
        <f t="shared" si="25"/>
        <v>0.96525096525096521</v>
      </c>
      <c r="J100" s="86">
        <v>349</v>
      </c>
      <c r="K100" s="87">
        <v>80</v>
      </c>
      <c r="L100" s="87">
        <v>0</v>
      </c>
      <c r="M100" s="87">
        <v>0</v>
      </c>
      <c r="N100" s="90"/>
      <c r="O100" s="90">
        <v>0</v>
      </c>
      <c r="P100" s="86">
        <f t="shared" si="38"/>
        <v>2118.4299999999998</v>
      </c>
      <c r="Q100" s="87">
        <f t="shared" si="39"/>
        <v>485.59999999999997</v>
      </c>
      <c r="R100" s="87">
        <f t="shared" si="40"/>
        <v>0</v>
      </c>
      <c r="S100" s="88">
        <f t="shared" si="41"/>
        <v>0</v>
      </c>
      <c r="T100" s="89">
        <f t="shared" si="42"/>
        <v>0</v>
      </c>
      <c r="U100" s="89">
        <f t="shared" si="26"/>
        <v>0</v>
      </c>
      <c r="V100" s="86">
        <v>108</v>
      </c>
      <c r="W100" s="87">
        <v>164</v>
      </c>
      <c r="X100" s="87">
        <v>129</v>
      </c>
      <c r="Y100" s="87">
        <v>122</v>
      </c>
      <c r="Z100" s="90">
        <v>231</v>
      </c>
      <c r="AA100" s="90">
        <v>106</v>
      </c>
      <c r="AB100" s="91">
        <f t="shared" si="27"/>
        <v>0.41698841698841699</v>
      </c>
      <c r="AC100" s="91">
        <f t="shared" si="28"/>
        <v>0.63320463320463316</v>
      </c>
      <c r="AD100" s="91">
        <f t="shared" si="29"/>
        <v>0.49806949806949807</v>
      </c>
      <c r="AE100" s="91">
        <f t="shared" si="30"/>
        <v>0.47104247104247104</v>
      </c>
      <c r="AF100" s="91">
        <f t="shared" si="31"/>
        <v>0.89189189189189189</v>
      </c>
      <c r="AG100" s="91">
        <f t="shared" si="32"/>
        <v>0.40926640926640928</v>
      </c>
      <c r="AH100" s="92">
        <v>451.21</v>
      </c>
      <c r="AI100" s="93">
        <v>1083.5999999999979</v>
      </c>
      <c r="AJ100" s="93">
        <v>1083.5999999999976</v>
      </c>
      <c r="AK100" s="93">
        <v>784.44999999999959</v>
      </c>
      <c r="AL100" s="94">
        <v>797.62</v>
      </c>
      <c r="AM100" s="94">
        <v>677.88</v>
      </c>
      <c r="AN100" s="94" t="s">
        <v>779</v>
      </c>
      <c r="AO100" s="111">
        <v>1959.5299999999997</v>
      </c>
      <c r="AP100" s="112">
        <v>428.8</v>
      </c>
      <c r="AQ100" s="112">
        <v>0</v>
      </c>
      <c r="AR100" s="112">
        <v>0</v>
      </c>
      <c r="AS100" s="113">
        <v>0</v>
      </c>
      <c r="AT100" s="113">
        <v>0</v>
      </c>
      <c r="AU100" s="111">
        <v>1417.79</v>
      </c>
      <c r="AV100" s="112">
        <v>2084.239999999998</v>
      </c>
      <c r="AW100" s="112">
        <v>1553.2899999999977</v>
      </c>
      <c r="AX100" s="112">
        <v>1521.21999999999</v>
      </c>
      <c r="AY100" s="113">
        <v>2688.88</v>
      </c>
      <c r="AZ100" s="113">
        <v>1301.1600000000001</v>
      </c>
    </row>
    <row r="101" spans="1:52" x14ac:dyDescent="0.25">
      <c r="A101" s="101" t="s">
        <v>243</v>
      </c>
      <c r="B101" s="102" t="s">
        <v>244</v>
      </c>
      <c r="C101" s="102"/>
      <c r="D101" s="102" t="s">
        <v>1048</v>
      </c>
      <c r="E101" s="103">
        <v>6.0200000000000031</v>
      </c>
      <c r="F101" s="104">
        <v>1500</v>
      </c>
      <c r="G101" s="105">
        <f t="shared" si="24"/>
        <v>750</v>
      </c>
      <c r="H101" s="105">
        <v>772</v>
      </c>
      <c r="I101" s="106">
        <f t="shared" si="25"/>
        <v>0.97150259067357514</v>
      </c>
      <c r="J101" s="86">
        <v>395</v>
      </c>
      <c r="K101" s="87">
        <v>313</v>
      </c>
      <c r="L101" s="87">
        <v>0</v>
      </c>
      <c r="M101" s="87">
        <v>1594</v>
      </c>
      <c r="N101" s="90">
        <v>1107</v>
      </c>
      <c r="O101" s="90">
        <v>2689</v>
      </c>
      <c r="P101" s="86">
        <f t="shared" si="38"/>
        <v>2377.9000000000015</v>
      </c>
      <c r="Q101" s="87">
        <f t="shared" si="39"/>
        <v>1884.2600000000009</v>
      </c>
      <c r="R101" s="87">
        <f t="shared" si="40"/>
        <v>0</v>
      </c>
      <c r="S101" s="88">
        <f t="shared" si="41"/>
        <v>9595.8800000000047</v>
      </c>
      <c r="T101" s="89">
        <f t="shared" si="42"/>
        <v>6664.1400000000031</v>
      </c>
      <c r="U101" s="89">
        <f t="shared" si="26"/>
        <v>16187.780000000008</v>
      </c>
      <c r="V101" s="86">
        <v>1516</v>
      </c>
      <c r="W101" s="87">
        <v>877</v>
      </c>
      <c r="X101" s="87">
        <v>1064</v>
      </c>
      <c r="Y101" s="87">
        <v>1040</v>
      </c>
      <c r="Z101" s="90">
        <v>1208</v>
      </c>
      <c r="AA101" s="90">
        <v>1720</v>
      </c>
      <c r="AB101" s="91">
        <f t="shared" si="27"/>
        <v>1.9637305699481866</v>
      </c>
      <c r="AC101" s="91">
        <f t="shared" si="28"/>
        <v>1.1360103626943006</v>
      </c>
      <c r="AD101" s="91">
        <f t="shared" si="29"/>
        <v>1.3782383419689119</v>
      </c>
      <c r="AE101" s="91">
        <f t="shared" si="30"/>
        <v>1.3471502590673574</v>
      </c>
      <c r="AF101" s="91">
        <f t="shared" si="31"/>
        <v>1.5647668393782384</v>
      </c>
      <c r="AG101" s="91">
        <f t="shared" si="32"/>
        <v>2.2279792746113989</v>
      </c>
      <c r="AH101" s="92">
        <v>3327.3200000000011</v>
      </c>
      <c r="AI101" s="93">
        <v>2050.1899999999964</v>
      </c>
      <c r="AJ101" s="93">
        <v>2050.1899999999964</v>
      </c>
      <c r="AK101" s="93">
        <v>1101.8599999999988</v>
      </c>
      <c r="AL101" s="94">
        <v>628.80999999999801</v>
      </c>
      <c r="AM101" s="94">
        <v>9028.5899999999892</v>
      </c>
      <c r="AN101" s="94" t="s">
        <v>779</v>
      </c>
      <c r="AO101" s="111">
        <v>8795.4</v>
      </c>
      <c r="AP101" s="112">
        <v>6993.66</v>
      </c>
      <c r="AQ101" s="112">
        <v>0</v>
      </c>
      <c r="AR101" s="112">
        <v>28915.159999999996</v>
      </c>
      <c r="AS101" s="113">
        <v>19964.98</v>
      </c>
      <c r="AT101" s="113">
        <v>48305.149999999994</v>
      </c>
      <c r="AU101" s="111">
        <v>37309.349999999991</v>
      </c>
      <c r="AV101" s="112">
        <v>21768.049999999963</v>
      </c>
      <c r="AW101" s="112">
        <v>25047.319999999949</v>
      </c>
      <c r="AX101" s="112">
        <v>23997.43</v>
      </c>
      <c r="AY101" s="113">
        <v>28415.199999999899</v>
      </c>
      <c r="AZ101" s="113">
        <v>40068.839999999902</v>
      </c>
    </row>
    <row r="102" spans="1:52" x14ac:dyDescent="0.25">
      <c r="A102" s="101" t="s">
        <v>152</v>
      </c>
      <c r="B102" s="102" t="s">
        <v>153</v>
      </c>
      <c r="C102" s="102"/>
      <c r="D102" s="102" t="s">
        <v>1048</v>
      </c>
      <c r="E102" s="103">
        <v>5.98</v>
      </c>
      <c r="F102" s="104">
        <v>43.6</v>
      </c>
      <c r="G102" s="105">
        <f t="shared" si="24"/>
        <v>21.8</v>
      </c>
      <c r="H102" s="105">
        <v>32</v>
      </c>
      <c r="I102" s="106">
        <f t="shared" si="25"/>
        <v>0.68125000000000002</v>
      </c>
      <c r="J102" s="86">
        <v>0</v>
      </c>
      <c r="K102" s="87">
        <v>50</v>
      </c>
      <c r="L102" s="87">
        <v>0</v>
      </c>
      <c r="M102" s="87">
        <v>0</v>
      </c>
      <c r="N102" s="90"/>
      <c r="O102" s="90">
        <v>100</v>
      </c>
      <c r="P102" s="86">
        <f t="shared" si="38"/>
        <v>0</v>
      </c>
      <c r="Q102" s="87">
        <f t="shared" si="39"/>
        <v>299</v>
      </c>
      <c r="R102" s="87">
        <f t="shared" si="40"/>
        <v>0</v>
      </c>
      <c r="S102" s="88">
        <f t="shared" si="41"/>
        <v>0</v>
      </c>
      <c r="T102" s="89">
        <f t="shared" si="42"/>
        <v>0</v>
      </c>
      <c r="U102" s="89">
        <f t="shared" si="26"/>
        <v>598</v>
      </c>
      <c r="V102" s="86">
        <v>60</v>
      </c>
      <c r="W102" s="87">
        <v>0</v>
      </c>
      <c r="X102" s="87">
        <v>0</v>
      </c>
      <c r="Y102" s="87">
        <v>22</v>
      </c>
      <c r="Z102" s="90">
        <v>27</v>
      </c>
      <c r="AA102" s="90">
        <v>0</v>
      </c>
      <c r="AB102" s="91">
        <f t="shared" si="27"/>
        <v>1.875</v>
      </c>
      <c r="AC102" s="91">
        <f t="shared" si="28"/>
        <v>0</v>
      </c>
      <c r="AD102" s="91">
        <f t="shared" si="29"/>
        <v>0</v>
      </c>
      <c r="AE102" s="91">
        <f t="shared" si="30"/>
        <v>0.6875</v>
      </c>
      <c r="AF102" s="91">
        <f t="shared" si="31"/>
        <v>0.84375</v>
      </c>
      <c r="AG102" s="91">
        <f t="shared" si="32"/>
        <v>0</v>
      </c>
      <c r="AH102" s="92">
        <v>229.88</v>
      </c>
      <c r="AI102" s="93">
        <v>0</v>
      </c>
      <c r="AJ102" s="93">
        <v>0</v>
      </c>
      <c r="AK102" s="93">
        <v>131.56</v>
      </c>
      <c r="AL102" s="94">
        <v>179.849999999999</v>
      </c>
      <c r="AM102" s="94">
        <v>0</v>
      </c>
      <c r="AN102" s="94" t="s">
        <v>779</v>
      </c>
      <c r="AO102" s="111">
        <v>0</v>
      </c>
      <c r="AP102" s="112">
        <v>572.5</v>
      </c>
      <c r="AQ102" s="112">
        <v>0</v>
      </c>
      <c r="AR102" s="112">
        <v>0</v>
      </c>
      <c r="AS102" s="113">
        <v>0</v>
      </c>
      <c r="AT102" s="113">
        <v>1130</v>
      </c>
      <c r="AU102" s="111">
        <v>915.68</v>
      </c>
      <c r="AV102" s="112">
        <v>-63.86999999999999</v>
      </c>
      <c r="AW102" s="112">
        <v>0</v>
      </c>
      <c r="AX102" s="112">
        <v>432.85</v>
      </c>
      <c r="AY102" s="113">
        <v>436.45</v>
      </c>
      <c r="AZ102" s="113">
        <v>0</v>
      </c>
    </row>
    <row r="103" spans="1:52" x14ac:dyDescent="0.25">
      <c r="A103" s="101" t="s">
        <v>300</v>
      </c>
      <c r="B103" s="102" t="s">
        <v>301</v>
      </c>
      <c r="C103" s="102"/>
      <c r="D103" s="102" t="s">
        <v>1048</v>
      </c>
      <c r="E103" s="103">
        <v>5.9400000000000013</v>
      </c>
      <c r="F103" s="104">
        <v>1000</v>
      </c>
      <c r="G103" s="105">
        <f t="shared" si="24"/>
        <v>500</v>
      </c>
      <c r="H103" s="105">
        <v>617</v>
      </c>
      <c r="I103" s="106">
        <f t="shared" si="25"/>
        <v>0.81037277147487841</v>
      </c>
      <c r="J103" s="86">
        <v>429</v>
      </c>
      <c r="K103" s="87">
        <v>78</v>
      </c>
      <c r="L103" s="87">
        <v>120</v>
      </c>
      <c r="M103" s="87">
        <v>383</v>
      </c>
      <c r="N103" s="90"/>
      <c r="O103" s="90">
        <v>221</v>
      </c>
      <c r="P103" s="86">
        <f t="shared" si="38"/>
        <v>2548.2600000000007</v>
      </c>
      <c r="Q103" s="87">
        <f t="shared" si="39"/>
        <v>463.32000000000011</v>
      </c>
      <c r="R103" s="87">
        <f t="shared" si="40"/>
        <v>712.80000000000018</v>
      </c>
      <c r="S103" s="88">
        <f t="shared" si="41"/>
        <v>2275.0200000000004</v>
      </c>
      <c r="T103" s="89">
        <f t="shared" si="42"/>
        <v>0</v>
      </c>
      <c r="U103" s="89">
        <f t="shared" si="26"/>
        <v>1312.7400000000002</v>
      </c>
      <c r="V103" s="86">
        <v>381</v>
      </c>
      <c r="W103" s="87">
        <v>661</v>
      </c>
      <c r="X103" s="87">
        <v>193</v>
      </c>
      <c r="Y103" s="87">
        <v>362</v>
      </c>
      <c r="Z103" s="90">
        <v>426</v>
      </c>
      <c r="AA103" s="90">
        <v>526</v>
      </c>
      <c r="AB103" s="91">
        <f t="shared" si="27"/>
        <v>0.61750405186385737</v>
      </c>
      <c r="AC103" s="91">
        <f t="shared" si="28"/>
        <v>1.0713128038897892</v>
      </c>
      <c r="AD103" s="91">
        <f t="shared" si="29"/>
        <v>0.31280388978930307</v>
      </c>
      <c r="AE103" s="91">
        <f t="shared" si="30"/>
        <v>0.58670988654781198</v>
      </c>
      <c r="AF103" s="91">
        <f t="shared" si="31"/>
        <v>0.69043760129659648</v>
      </c>
      <c r="AG103" s="91">
        <f t="shared" si="32"/>
        <v>0.85251215559157212</v>
      </c>
      <c r="AH103" s="92">
        <v>1011.56</v>
      </c>
      <c r="AI103" s="93">
        <v>1862.04</v>
      </c>
      <c r="AJ103" s="93">
        <v>1862.04</v>
      </c>
      <c r="AK103" s="93">
        <v>578.07999999999981</v>
      </c>
      <c r="AL103" s="94">
        <v>720.45999999999901</v>
      </c>
      <c r="AM103" s="94">
        <v>1657.96</v>
      </c>
      <c r="AN103" s="94" t="s">
        <v>779</v>
      </c>
      <c r="AO103" s="111">
        <v>10753.66</v>
      </c>
      <c r="AP103" s="112">
        <v>1880.58</v>
      </c>
      <c r="AQ103" s="112">
        <v>2854.8</v>
      </c>
      <c r="AR103" s="112">
        <v>9802.74</v>
      </c>
      <c r="AS103" s="113">
        <v>0</v>
      </c>
      <c r="AT103" s="113">
        <v>5233.28</v>
      </c>
      <c r="AU103" s="111">
        <v>12441.56</v>
      </c>
      <c r="AV103" s="112">
        <v>21692.04</v>
      </c>
      <c r="AW103" s="112">
        <v>6368.0799999999981</v>
      </c>
      <c r="AX103" s="112">
        <v>11580.46</v>
      </c>
      <c r="AY103" s="113">
        <v>13312.529999999901</v>
      </c>
      <c r="AZ103" s="113">
        <v>16276.029999999901</v>
      </c>
    </row>
    <row r="104" spans="1:52" x14ac:dyDescent="0.25">
      <c r="A104" s="101" t="s">
        <v>430</v>
      </c>
      <c r="B104" s="102" t="s">
        <v>431</v>
      </c>
      <c r="C104" s="102"/>
      <c r="D104" s="102" t="s">
        <v>1049</v>
      </c>
      <c r="E104" s="103">
        <v>5.8800000000000026</v>
      </c>
      <c r="F104" s="104">
        <v>8000</v>
      </c>
      <c r="G104" s="105">
        <f t="shared" si="24"/>
        <v>4000</v>
      </c>
      <c r="H104" s="105">
        <v>27292</v>
      </c>
      <c r="I104" s="106">
        <f t="shared" si="25"/>
        <v>0.14656309541257512</v>
      </c>
      <c r="J104" s="86">
        <v>0</v>
      </c>
      <c r="K104" s="87">
        <v>0</v>
      </c>
      <c r="L104" s="87">
        <v>0</v>
      </c>
      <c r="M104" s="87">
        <v>75</v>
      </c>
      <c r="N104" s="90">
        <v>140</v>
      </c>
      <c r="O104" s="90">
        <v>136</v>
      </c>
      <c r="P104" s="86">
        <f t="shared" si="38"/>
        <v>0</v>
      </c>
      <c r="Q104" s="87">
        <f t="shared" si="39"/>
        <v>0</v>
      </c>
      <c r="R104" s="87">
        <f t="shared" si="40"/>
        <v>0</v>
      </c>
      <c r="S104" s="88">
        <f t="shared" si="41"/>
        <v>441.00000000000017</v>
      </c>
      <c r="T104" s="89">
        <f t="shared" si="42"/>
        <v>823.20000000000039</v>
      </c>
      <c r="U104" s="89">
        <f t="shared" si="26"/>
        <v>799.68000000000029</v>
      </c>
      <c r="V104" s="86">
        <v>0</v>
      </c>
      <c r="W104" s="87">
        <v>371</v>
      </c>
      <c r="X104" s="87">
        <v>229</v>
      </c>
      <c r="Y104" s="87">
        <v>0</v>
      </c>
      <c r="Z104" s="90">
        <v>132</v>
      </c>
      <c r="AA104" s="90">
        <v>79</v>
      </c>
      <c r="AB104" s="91">
        <f t="shared" si="27"/>
        <v>0</v>
      </c>
      <c r="AC104" s="91">
        <f t="shared" si="28"/>
        <v>1.3593727099516341E-2</v>
      </c>
      <c r="AD104" s="91">
        <f t="shared" si="29"/>
        <v>8.390737212369926E-3</v>
      </c>
      <c r="AE104" s="91">
        <f t="shared" si="30"/>
        <v>0</v>
      </c>
      <c r="AF104" s="91">
        <f t="shared" si="31"/>
        <v>4.8365821486149787E-3</v>
      </c>
      <c r="AG104" s="91">
        <f t="shared" si="32"/>
        <v>2.8946211343983583E-3</v>
      </c>
      <c r="AH104" s="92">
        <v>0</v>
      </c>
      <c r="AI104" s="93">
        <v>801.88999999999987</v>
      </c>
      <c r="AJ104" s="93">
        <v>801.8900000000001</v>
      </c>
      <c r="AK104" s="93">
        <v>469</v>
      </c>
      <c r="AL104" s="94">
        <v>776.16000000000031</v>
      </c>
      <c r="AM104" s="94">
        <v>309.039999999999</v>
      </c>
      <c r="AN104" s="94" t="s">
        <v>779</v>
      </c>
      <c r="AO104" s="111">
        <v>0</v>
      </c>
      <c r="AP104" s="112">
        <v>0</v>
      </c>
      <c r="AQ104" s="112">
        <v>0</v>
      </c>
      <c r="AR104" s="112">
        <v>3677.25</v>
      </c>
      <c r="AS104" s="113">
        <v>6739.7999999999993</v>
      </c>
      <c r="AT104" s="113">
        <v>6642.94</v>
      </c>
      <c r="AU104" s="111">
        <v>0</v>
      </c>
      <c r="AV104" s="112">
        <v>19939.689999999991</v>
      </c>
      <c r="AW104" s="112">
        <v>12331.199999999979</v>
      </c>
      <c r="AX104" s="112">
        <v>0</v>
      </c>
      <c r="AY104" s="113">
        <v>7110.1799999999903</v>
      </c>
      <c r="AZ104" s="113">
        <v>4131.8499999999904</v>
      </c>
    </row>
    <row r="105" spans="1:52" x14ac:dyDescent="0.25">
      <c r="A105" s="101" t="s">
        <v>498</v>
      </c>
      <c r="B105" s="102" t="s">
        <v>499</v>
      </c>
      <c r="C105" s="102"/>
      <c r="D105" s="102" t="s">
        <v>1049</v>
      </c>
      <c r="E105" s="103">
        <v>5.75</v>
      </c>
      <c r="F105" s="104">
        <v>4000</v>
      </c>
      <c r="G105" s="105">
        <f t="shared" si="24"/>
        <v>2000</v>
      </c>
      <c r="H105" s="105">
        <v>3355</v>
      </c>
      <c r="I105" s="106">
        <f t="shared" si="25"/>
        <v>0.5961251862891207</v>
      </c>
      <c r="J105" s="86">
        <v>0</v>
      </c>
      <c r="K105" s="87">
        <v>0</v>
      </c>
      <c r="L105" s="87">
        <v>0</v>
      </c>
      <c r="M105" s="87">
        <v>0</v>
      </c>
      <c r="N105" s="90">
        <v>240</v>
      </c>
      <c r="O105" s="90">
        <v>2356</v>
      </c>
      <c r="P105" s="86">
        <f t="shared" si="38"/>
        <v>0</v>
      </c>
      <c r="Q105" s="87">
        <f t="shared" si="39"/>
        <v>0</v>
      </c>
      <c r="R105" s="87">
        <f t="shared" si="40"/>
        <v>0</v>
      </c>
      <c r="S105" s="88">
        <f t="shared" si="41"/>
        <v>0</v>
      </c>
      <c r="T105" s="89">
        <f t="shared" si="42"/>
        <v>1380</v>
      </c>
      <c r="U105" s="89">
        <f t="shared" si="26"/>
        <v>13547</v>
      </c>
      <c r="V105" s="86">
        <v>0</v>
      </c>
      <c r="W105" s="87">
        <v>0</v>
      </c>
      <c r="X105" s="87">
        <v>0</v>
      </c>
      <c r="Y105" s="87">
        <v>0</v>
      </c>
      <c r="Z105" s="90">
        <v>390</v>
      </c>
      <c r="AA105" s="90">
        <v>145</v>
      </c>
      <c r="AB105" s="91">
        <f t="shared" si="27"/>
        <v>0</v>
      </c>
      <c r="AC105" s="91">
        <f t="shared" si="28"/>
        <v>0</v>
      </c>
      <c r="AD105" s="91">
        <f t="shared" si="29"/>
        <v>0</v>
      </c>
      <c r="AE105" s="91">
        <f t="shared" si="30"/>
        <v>0</v>
      </c>
      <c r="AF105" s="91">
        <f t="shared" si="31"/>
        <v>0.11624441132637854</v>
      </c>
      <c r="AG105" s="91">
        <f t="shared" si="32"/>
        <v>4.3219076005961254E-2</v>
      </c>
      <c r="AH105" s="92">
        <v>0</v>
      </c>
      <c r="AI105" s="93">
        <v>0</v>
      </c>
      <c r="AJ105" s="93">
        <v>0</v>
      </c>
      <c r="AK105" s="93">
        <v>0</v>
      </c>
      <c r="AL105" s="94">
        <v>2242.5</v>
      </c>
      <c r="AM105" s="94">
        <v>807.36999999999796</v>
      </c>
      <c r="AN105" s="94" t="s">
        <v>780</v>
      </c>
      <c r="AO105" s="111">
        <v>0</v>
      </c>
      <c r="AP105" s="112">
        <v>0</v>
      </c>
      <c r="AQ105" s="112">
        <v>0</v>
      </c>
      <c r="AR105" s="112">
        <v>0</v>
      </c>
      <c r="AS105" s="113">
        <v>16281.6</v>
      </c>
      <c r="AT105" s="113">
        <v>79642.52</v>
      </c>
      <c r="AU105" s="111">
        <v>0</v>
      </c>
      <c r="AV105" s="112">
        <v>0</v>
      </c>
      <c r="AW105" s="112">
        <v>0</v>
      </c>
      <c r="AX105" s="112">
        <v>0</v>
      </c>
      <c r="AY105" s="113">
        <v>28223.559999999801</v>
      </c>
      <c r="AZ105" s="113">
        <v>10549.03</v>
      </c>
    </row>
    <row r="106" spans="1:52" x14ac:dyDescent="0.25">
      <c r="A106" s="101" t="s">
        <v>808</v>
      </c>
      <c r="B106" s="102" t="s">
        <v>851</v>
      </c>
      <c r="C106" s="102"/>
      <c r="D106" s="102" t="s">
        <v>1048</v>
      </c>
      <c r="E106" s="103">
        <v>5.7269047619047608</v>
      </c>
      <c r="F106" s="104">
        <v>600</v>
      </c>
      <c r="G106" s="105">
        <f t="shared" si="24"/>
        <v>300</v>
      </c>
      <c r="H106" s="105">
        <v>173</v>
      </c>
      <c r="I106" s="106">
        <f t="shared" si="25"/>
        <v>1.7341040462427746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90">
        <v>0</v>
      </c>
      <c r="P106" s="86"/>
      <c r="Q106" s="87"/>
      <c r="R106" s="87"/>
      <c r="S106" s="88"/>
      <c r="T106" s="89"/>
      <c r="U106" s="89">
        <f t="shared" si="26"/>
        <v>0</v>
      </c>
      <c r="V106" s="86"/>
      <c r="W106" s="87"/>
      <c r="X106" s="87"/>
      <c r="Y106" s="87"/>
      <c r="Z106" s="90"/>
      <c r="AA106" s="90"/>
      <c r="AB106" s="91">
        <f t="shared" si="27"/>
        <v>0</v>
      </c>
      <c r="AC106" s="91">
        <f t="shared" si="28"/>
        <v>0</v>
      </c>
      <c r="AD106" s="91">
        <f t="shared" si="29"/>
        <v>0</v>
      </c>
      <c r="AE106" s="91">
        <f t="shared" si="30"/>
        <v>0</v>
      </c>
      <c r="AF106" s="91">
        <f t="shared" si="31"/>
        <v>0</v>
      </c>
      <c r="AG106" s="91">
        <f t="shared" si="32"/>
        <v>0</v>
      </c>
      <c r="AH106" s="92"/>
      <c r="AI106" s="93"/>
      <c r="AJ106" s="93"/>
      <c r="AK106" s="93"/>
      <c r="AL106" s="94"/>
      <c r="AM106" s="94"/>
      <c r="AN106" s="94" t="s">
        <v>779</v>
      </c>
      <c r="AO106" s="111">
        <v>0</v>
      </c>
      <c r="AP106" s="112">
        <v>0</v>
      </c>
      <c r="AQ106" s="112">
        <v>0</v>
      </c>
      <c r="AR106" s="112">
        <v>0</v>
      </c>
      <c r="AS106" s="113">
        <v>0</v>
      </c>
      <c r="AT106" s="113">
        <v>0</v>
      </c>
      <c r="AU106" s="111">
        <v>-1215.8599999999999</v>
      </c>
      <c r="AV106" s="112">
        <v>2568.2200000000003</v>
      </c>
      <c r="AW106" s="112">
        <v>1743.9600000000003</v>
      </c>
      <c r="AX106" s="112">
        <v>1207.3999999999901</v>
      </c>
      <c r="AY106" s="113">
        <v>1764.44</v>
      </c>
      <c r="AZ106" s="113">
        <v>0</v>
      </c>
    </row>
    <row r="107" spans="1:52" x14ac:dyDescent="0.25">
      <c r="A107" s="101" t="s">
        <v>186</v>
      </c>
      <c r="B107" s="102" t="s">
        <v>187</v>
      </c>
      <c r="C107" s="102"/>
      <c r="D107" s="102" t="s">
        <v>1048</v>
      </c>
      <c r="E107" s="103">
        <v>5.6999999999999993</v>
      </c>
      <c r="F107" s="104">
        <v>600</v>
      </c>
      <c r="G107" s="105">
        <f t="shared" si="24"/>
        <v>300</v>
      </c>
      <c r="H107" s="105">
        <v>779</v>
      </c>
      <c r="I107" s="106">
        <f t="shared" si="25"/>
        <v>0.38510911424903721</v>
      </c>
      <c r="J107" s="86">
        <v>152</v>
      </c>
      <c r="K107" s="87">
        <v>556</v>
      </c>
      <c r="L107" s="87">
        <v>411</v>
      </c>
      <c r="M107" s="87">
        <v>0</v>
      </c>
      <c r="N107" s="90">
        <v>96</v>
      </c>
      <c r="O107" s="90">
        <v>314</v>
      </c>
      <c r="P107" s="86">
        <f>+J107*E107</f>
        <v>866.39999999999986</v>
      </c>
      <c r="Q107" s="87">
        <f>+K107*E107</f>
        <v>3169.2</v>
      </c>
      <c r="R107" s="87">
        <f>+L107*E107</f>
        <v>2342.6999999999998</v>
      </c>
      <c r="S107" s="88">
        <f>+M107*E107</f>
        <v>0</v>
      </c>
      <c r="T107" s="89">
        <f>+N107*E107</f>
        <v>547.19999999999993</v>
      </c>
      <c r="U107" s="89">
        <f t="shared" si="26"/>
        <v>1789.7999999999997</v>
      </c>
      <c r="V107" s="86">
        <v>133</v>
      </c>
      <c r="W107" s="87">
        <v>130</v>
      </c>
      <c r="X107" s="87">
        <v>316</v>
      </c>
      <c r="Y107" s="87">
        <v>294</v>
      </c>
      <c r="Z107" s="90">
        <v>389</v>
      </c>
      <c r="AA107" s="90">
        <v>21</v>
      </c>
      <c r="AB107" s="91">
        <f t="shared" si="27"/>
        <v>0.17073170731707318</v>
      </c>
      <c r="AC107" s="91">
        <f t="shared" si="28"/>
        <v>0.1668806161745828</v>
      </c>
      <c r="AD107" s="91">
        <f t="shared" si="29"/>
        <v>0.40564826700898587</v>
      </c>
      <c r="AE107" s="91">
        <f t="shared" si="30"/>
        <v>0.3774069319640565</v>
      </c>
      <c r="AF107" s="91">
        <f t="shared" si="31"/>
        <v>0.49935815147625162</v>
      </c>
      <c r="AG107" s="91">
        <f t="shared" si="32"/>
        <v>2.6957637997432605E-2</v>
      </c>
      <c r="AH107" s="92">
        <v>11.85</v>
      </c>
      <c r="AI107" s="93">
        <v>571.36999999999694</v>
      </c>
      <c r="AJ107" s="93">
        <v>571.36999999999705</v>
      </c>
      <c r="AK107" s="93">
        <v>1531.3099999999972</v>
      </c>
      <c r="AL107" s="94">
        <v>1387.1799999999901</v>
      </c>
      <c r="AM107" s="94">
        <v>117.82</v>
      </c>
      <c r="AN107" s="94" t="s">
        <v>779</v>
      </c>
      <c r="AO107" s="111">
        <v>2007.04</v>
      </c>
      <c r="AP107" s="112">
        <v>7404.7699999999995</v>
      </c>
      <c r="AQ107" s="112">
        <v>5392.6699999999992</v>
      </c>
      <c r="AR107" s="112">
        <v>0</v>
      </c>
      <c r="AS107" s="113">
        <v>1269.1199999999999</v>
      </c>
      <c r="AT107" s="113">
        <v>4154.6099999999997</v>
      </c>
      <c r="AU107" s="111">
        <v>1768.78</v>
      </c>
      <c r="AV107" s="112">
        <v>2302.2799999999979</v>
      </c>
      <c r="AW107" s="112">
        <v>5698.4199999999901</v>
      </c>
      <c r="AX107" s="112">
        <v>5264.96</v>
      </c>
      <c r="AY107" s="113">
        <v>6344.2999999999902</v>
      </c>
      <c r="AZ107" s="113">
        <v>392.70999999999901</v>
      </c>
    </row>
    <row r="108" spans="1:52" x14ac:dyDescent="0.25">
      <c r="A108" s="101" t="s">
        <v>235</v>
      </c>
      <c r="B108" s="102" t="s">
        <v>236</v>
      </c>
      <c r="C108" s="102"/>
      <c r="D108" s="102" t="s">
        <v>1048</v>
      </c>
      <c r="E108" s="103">
        <v>5.6700000000000017</v>
      </c>
      <c r="F108" s="104">
        <v>600</v>
      </c>
      <c r="G108" s="105">
        <f t="shared" si="24"/>
        <v>300</v>
      </c>
      <c r="H108" s="105">
        <v>627</v>
      </c>
      <c r="I108" s="106">
        <f t="shared" si="25"/>
        <v>0.4784688995215311</v>
      </c>
      <c r="J108" s="86">
        <v>160</v>
      </c>
      <c r="K108" s="87">
        <v>0</v>
      </c>
      <c r="L108" s="87">
        <v>151</v>
      </c>
      <c r="M108" s="87">
        <v>78</v>
      </c>
      <c r="N108" s="90">
        <v>221</v>
      </c>
      <c r="O108" s="90">
        <v>130</v>
      </c>
      <c r="P108" s="86">
        <f>+J108*E108</f>
        <v>907.20000000000027</v>
      </c>
      <c r="Q108" s="87">
        <f>+K108*E108</f>
        <v>0</v>
      </c>
      <c r="R108" s="87">
        <f>+L108*E108</f>
        <v>856.1700000000003</v>
      </c>
      <c r="S108" s="88">
        <f>+M108*E108</f>
        <v>442.2600000000001</v>
      </c>
      <c r="T108" s="89">
        <f>+N108*E108</f>
        <v>1253.0700000000004</v>
      </c>
      <c r="U108" s="89">
        <f t="shared" si="26"/>
        <v>737.10000000000025</v>
      </c>
      <c r="V108" s="86">
        <v>0</v>
      </c>
      <c r="W108" s="87">
        <v>84</v>
      </c>
      <c r="X108" s="87">
        <v>73</v>
      </c>
      <c r="Y108" s="87">
        <v>189</v>
      </c>
      <c r="Z108" s="90">
        <v>241</v>
      </c>
      <c r="AA108" s="90">
        <v>219</v>
      </c>
      <c r="AB108" s="91">
        <f t="shared" si="27"/>
        <v>0</v>
      </c>
      <c r="AC108" s="91">
        <f t="shared" si="28"/>
        <v>0.13397129186602871</v>
      </c>
      <c r="AD108" s="91">
        <f t="shared" si="29"/>
        <v>0.11642743221690591</v>
      </c>
      <c r="AE108" s="91">
        <f t="shared" si="30"/>
        <v>0.30143540669856461</v>
      </c>
      <c r="AF108" s="91">
        <f t="shared" si="31"/>
        <v>0.38437001594896331</v>
      </c>
      <c r="AG108" s="91">
        <f t="shared" si="32"/>
        <v>0.34928229665071769</v>
      </c>
      <c r="AH108" s="92">
        <v>0</v>
      </c>
      <c r="AI108" s="93">
        <v>499.39999999999986</v>
      </c>
      <c r="AJ108" s="93">
        <v>499.39999999999981</v>
      </c>
      <c r="AK108" s="93">
        <v>437.12</v>
      </c>
      <c r="AL108" s="94">
        <v>1091.9000000000001</v>
      </c>
      <c r="AM108" s="94">
        <v>1354.03</v>
      </c>
      <c r="AN108" s="94" t="s">
        <v>779</v>
      </c>
      <c r="AO108" s="111">
        <v>2555.7200000000003</v>
      </c>
      <c r="AP108" s="112">
        <v>0</v>
      </c>
      <c r="AQ108" s="112">
        <v>2409.6999999999998</v>
      </c>
      <c r="AR108" s="112">
        <v>1199.28</v>
      </c>
      <c r="AS108" s="113">
        <v>3505.0599999999995</v>
      </c>
      <c r="AT108" s="113">
        <v>2038.7</v>
      </c>
      <c r="AU108" s="111">
        <v>0</v>
      </c>
      <c r="AV108" s="112">
        <v>1845.9199999999989</v>
      </c>
      <c r="AW108" s="112">
        <v>1605.1200000000001</v>
      </c>
      <c r="AX108" s="112">
        <v>4465.3900000000003</v>
      </c>
      <c r="AY108" s="113">
        <v>6394.64</v>
      </c>
      <c r="AZ108" s="113">
        <v>4842.7</v>
      </c>
    </row>
    <row r="109" spans="1:52" x14ac:dyDescent="0.25">
      <c r="A109" s="101" t="s">
        <v>70</v>
      </c>
      <c r="B109" s="102" t="s">
        <v>71</v>
      </c>
      <c r="C109" s="102"/>
      <c r="D109" s="102" t="s">
        <v>1048</v>
      </c>
      <c r="E109" s="103">
        <v>5.6599999999999993</v>
      </c>
      <c r="F109" s="104">
        <v>2000</v>
      </c>
      <c r="G109" s="105">
        <f t="shared" si="24"/>
        <v>1000</v>
      </c>
      <c r="H109" s="105">
        <v>2641</v>
      </c>
      <c r="I109" s="106">
        <f t="shared" si="25"/>
        <v>0.37864445285876563</v>
      </c>
      <c r="J109" s="86">
        <v>28</v>
      </c>
      <c r="K109" s="87">
        <v>135</v>
      </c>
      <c r="L109" s="87">
        <v>0</v>
      </c>
      <c r="M109" s="87">
        <v>460</v>
      </c>
      <c r="N109" s="90">
        <v>356</v>
      </c>
      <c r="O109" s="90">
        <v>885</v>
      </c>
      <c r="P109" s="86">
        <f>+J109*E109</f>
        <v>158.47999999999999</v>
      </c>
      <c r="Q109" s="87">
        <f>+K109*E109</f>
        <v>764.09999999999991</v>
      </c>
      <c r="R109" s="87">
        <f>+L109*E109</f>
        <v>0</v>
      </c>
      <c r="S109" s="88">
        <f>+M109*E109</f>
        <v>2603.5999999999995</v>
      </c>
      <c r="T109" s="89">
        <f>+N109*E109</f>
        <v>2014.9599999999998</v>
      </c>
      <c r="U109" s="89">
        <f t="shared" si="26"/>
        <v>5009.0999999999995</v>
      </c>
      <c r="V109" s="86">
        <v>0</v>
      </c>
      <c r="W109" s="87">
        <v>533</v>
      </c>
      <c r="X109" s="87">
        <v>345</v>
      </c>
      <c r="Y109" s="87">
        <v>0</v>
      </c>
      <c r="Z109" s="90">
        <v>108</v>
      </c>
      <c r="AA109" s="90">
        <v>693</v>
      </c>
      <c r="AB109" s="91">
        <f t="shared" si="27"/>
        <v>0</v>
      </c>
      <c r="AC109" s="91">
        <f t="shared" si="28"/>
        <v>0.20181749337372207</v>
      </c>
      <c r="AD109" s="91">
        <f t="shared" si="29"/>
        <v>0.13063233623627413</v>
      </c>
      <c r="AE109" s="91">
        <f t="shared" si="30"/>
        <v>0</v>
      </c>
      <c r="AF109" s="91">
        <f t="shared" si="31"/>
        <v>4.0893600908746684E-2</v>
      </c>
      <c r="AG109" s="91">
        <f t="shared" si="32"/>
        <v>0.26240060583112457</v>
      </c>
      <c r="AH109" s="92">
        <v>0</v>
      </c>
      <c r="AI109" s="93">
        <v>79.969999999999956</v>
      </c>
      <c r="AJ109" s="93">
        <v>79.96999999999997</v>
      </c>
      <c r="AK109" s="93">
        <v>107.77999999999979</v>
      </c>
      <c r="AL109" s="94">
        <v>611.28</v>
      </c>
      <c r="AM109" s="94">
        <v>2272.36</v>
      </c>
      <c r="AN109" s="94" t="s">
        <v>779</v>
      </c>
      <c r="AO109" s="111">
        <v>155.12</v>
      </c>
      <c r="AP109" s="112">
        <v>748.25</v>
      </c>
      <c r="AQ109" s="112">
        <v>0</v>
      </c>
      <c r="AR109" s="112">
        <v>2563.0099999999998</v>
      </c>
      <c r="AS109" s="113">
        <v>2057.91</v>
      </c>
      <c r="AT109" s="113">
        <v>2525.6899999999996</v>
      </c>
      <c r="AU109" s="111">
        <v>0</v>
      </c>
      <c r="AV109" s="112">
        <v>3058.2999999999993</v>
      </c>
      <c r="AW109" s="112">
        <v>2026.8999999999969</v>
      </c>
      <c r="AX109" s="112">
        <v>0</v>
      </c>
      <c r="AY109" s="113">
        <v>917.42999999999904</v>
      </c>
      <c r="AZ109" s="113">
        <v>6200.02</v>
      </c>
    </row>
    <row r="110" spans="1:52" x14ac:dyDescent="0.25">
      <c r="A110" s="101" t="s">
        <v>911</v>
      </c>
      <c r="B110" s="102" t="s">
        <v>96</v>
      </c>
      <c r="C110" s="102"/>
      <c r="D110" s="102" t="s">
        <v>1048</v>
      </c>
      <c r="E110" s="103">
        <v>5.61</v>
      </c>
      <c r="F110" s="104">
        <v>4000</v>
      </c>
      <c r="G110" s="105">
        <f t="shared" si="24"/>
        <v>2000</v>
      </c>
      <c r="H110" s="105">
        <v>6203</v>
      </c>
      <c r="I110" s="106">
        <f t="shared" si="25"/>
        <v>0.32242463324197967</v>
      </c>
      <c r="J110" s="86">
        <v>0</v>
      </c>
      <c r="K110" s="87">
        <v>2949</v>
      </c>
      <c r="L110" s="87">
        <v>1277</v>
      </c>
      <c r="M110" s="87">
        <v>1330</v>
      </c>
      <c r="N110" s="90">
        <v>1935</v>
      </c>
      <c r="O110" s="90">
        <v>2448</v>
      </c>
      <c r="P110" s="86">
        <f>+J110*E110</f>
        <v>0</v>
      </c>
      <c r="Q110" s="87">
        <f>+K110*E110</f>
        <v>16543.89</v>
      </c>
      <c r="R110" s="87">
        <f>+L110*E110</f>
        <v>7163.97</v>
      </c>
      <c r="S110" s="88">
        <f>+M110*E110</f>
        <v>7461.3</v>
      </c>
      <c r="T110" s="89">
        <f>+N110*E110</f>
        <v>10855.35</v>
      </c>
      <c r="U110" s="89">
        <f t="shared" si="26"/>
        <v>13733.28</v>
      </c>
      <c r="V110" s="86">
        <v>158</v>
      </c>
      <c r="W110" s="87">
        <v>922</v>
      </c>
      <c r="X110" s="87">
        <v>1663</v>
      </c>
      <c r="Y110" s="87">
        <v>2019</v>
      </c>
      <c r="Z110" s="90">
        <v>1476</v>
      </c>
      <c r="AA110" s="90">
        <v>1477</v>
      </c>
      <c r="AB110" s="91">
        <f t="shared" si="27"/>
        <v>2.5471546026116395E-2</v>
      </c>
      <c r="AC110" s="91">
        <f t="shared" si="28"/>
        <v>0.14863775592455264</v>
      </c>
      <c r="AD110" s="91">
        <f t="shared" si="29"/>
        <v>0.2680960825407061</v>
      </c>
      <c r="AE110" s="91">
        <f t="shared" si="30"/>
        <v>0.3254876672577785</v>
      </c>
      <c r="AF110" s="91">
        <f t="shared" si="31"/>
        <v>0.23794937933258101</v>
      </c>
      <c r="AG110" s="91">
        <f t="shared" si="32"/>
        <v>0.23811059164920201</v>
      </c>
      <c r="AH110" s="92">
        <v>1392.88</v>
      </c>
      <c r="AI110" s="93">
        <v>8542.6699999999746</v>
      </c>
      <c r="AJ110" s="93">
        <v>8542.6699999999764</v>
      </c>
      <c r="AK110" s="93">
        <v>12463.629999999986</v>
      </c>
      <c r="AL110" s="94">
        <v>10151.780000000001</v>
      </c>
      <c r="AM110" s="94">
        <v>7597.82</v>
      </c>
      <c r="AN110" s="94" t="s">
        <v>779</v>
      </c>
      <c r="AO110" s="111">
        <v>11857</v>
      </c>
      <c r="AP110" s="112">
        <v>20686.809999999998</v>
      </c>
      <c r="AQ110" s="112">
        <v>8893.15</v>
      </c>
      <c r="AR110" s="112">
        <v>9229.5</v>
      </c>
      <c r="AS110" s="113">
        <v>13483.35</v>
      </c>
      <c r="AT110" s="113">
        <v>16866.72</v>
      </c>
      <c r="AU110" s="111">
        <v>0</v>
      </c>
      <c r="AV110" s="112">
        <v>0</v>
      </c>
      <c r="AW110" s="112">
        <v>0</v>
      </c>
      <c r="AX110" s="112">
        <v>0</v>
      </c>
      <c r="AY110" s="113">
        <v>0</v>
      </c>
      <c r="AZ110" s="113">
        <v>0</v>
      </c>
    </row>
    <row r="111" spans="1:52" x14ac:dyDescent="0.25">
      <c r="A111" s="101" t="s">
        <v>818</v>
      </c>
      <c r="B111" s="102" t="s">
        <v>861</v>
      </c>
      <c r="C111" s="102"/>
      <c r="D111" s="102" t="s">
        <v>1048</v>
      </c>
      <c r="E111" s="103">
        <v>5.5779768952032391</v>
      </c>
      <c r="F111" s="104">
        <v>6000</v>
      </c>
      <c r="G111" s="105">
        <f t="shared" si="24"/>
        <v>3000</v>
      </c>
      <c r="H111" s="105">
        <v>8821</v>
      </c>
      <c r="I111" s="106">
        <f t="shared" si="25"/>
        <v>0.34009749461512301</v>
      </c>
      <c r="J111" s="86">
        <v>0</v>
      </c>
      <c r="K111" s="86">
        <v>0</v>
      </c>
      <c r="L111" s="86">
        <v>0</v>
      </c>
      <c r="M111" s="86">
        <v>0</v>
      </c>
      <c r="N111" s="86">
        <v>0</v>
      </c>
      <c r="O111" s="90">
        <v>979</v>
      </c>
      <c r="P111" s="86"/>
      <c r="Q111" s="87"/>
      <c r="R111" s="87"/>
      <c r="S111" s="88"/>
      <c r="T111" s="89"/>
      <c r="U111" s="89">
        <f t="shared" si="26"/>
        <v>5460.8393804039715</v>
      </c>
      <c r="V111" s="86"/>
      <c r="W111" s="87"/>
      <c r="X111" s="87"/>
      <c r="Y111" s="87"/>
      <c r="Z111" s="90"/>
      <c r="AA111" s="90"/>
      <c r="AB111" s="91">
        <f t="shared" si="27"/>
        <v>0</v>
      </c>
      <c r="AC111" s="91">
        <f t="shared" si="28"/>
        <v>0</v>
      </c>
      <c r="AD111" s="91">
        <f t="shared" si="29"/>
        <v>0</v>
      </c>
      <c r="AE111" s="91">
        <f t="shared" si="30"/>
        <v>0</v>
      </c>
      <c r="AF111" s="91">
        <f t="shared" si="31"/>
        <v>0</v>
      </c>
      <c r="AG111" s="91">
        <f t="shared" si="32"/>
        <v>0</v>
      </c>
      <c r="AH111" s="92"/>
      <c r="AI111" s="93"/>
      <c r="AJ111" s="93"/>
      <c r="AK111" s="93"/>
      <c r="AL111" s="94"/>
      <c r="AM111" s="94"/>
      <c r="AN111" s="94" t="s">
        <v>780</v>
      </c>
      <c r="AO111" s="111">
        <v>10091.959999999999</v>
      </c>
      <c r="AP111" s="112">
        <v>0</v>
      </c>
      <c r="AQ111" s="112">
        <v>141062.32</v>
      </c>
      <c r="AR111" s="112">
        <v>64517.65</v>
      </c>
      <c r="AS111" s="113">
        <v>24310.36</v>
      </c>
      <c r="AT111" s="113">
        <v>30740.6</v>
      </c>
      <c r="AU111" s="111">
        <v>85770.309999999954</v>
      </c>
      <c r="AV111" s="112">
        <v>17050.119999999966</v>
      </c>
      <c r="AW111" s="112">
        <v>18273.31999999996</v>
      </c>
      <c r="AX111" s="112">
        <v>55376.509999999602</v>
      </c>
      <c r="AY111" s="113">
        <v>104982.43</v>
      </c>
      <c r="AZ111" s="113">
        <v>94959.549999999101</v>
      </c>
    </row>
    <row r="112" spans="1:52" x14ac:dyDescent="0.25">
      <c r="A112" s="101" t="s">
        <v>275</v>
      </c>
      <c r="B112" s="102" t="s">
        <v>276</v>
      </c>
      <c r="C112" s="102"/>
      <c r="D112" s="102" t="s">
        <v>1048</v>
      </c>
      <c r="E112" s="103">
        <v>5.4699999999999989</v>
      </c>
      <c r="F112" s="104">
        <v>3000</v>
      </c>
      <c r="G112" s="105">
        <f t="shared" si="24"/>
        <v>1500</v>
      </c>
      <c r="H112" s="105">
        <v>5573</v>
      </c>
      <c r="I112" s="106">
        <f t="shared" si="25"/>
        <v>0.26915485375919612</v>
      </c>
      <c r="J112" s="86">
        <v>1990</v>
      </c>
      <c r="K112" s="87">
        <v>1284</v>
      </c>
      <c r="L112" s="87">
        <v>3017</v>
      </c>
      <c r="M112" s="87">
        <v>1159</v>
      </c>
      <c r="N112" s="90">
        <v>180</v>
      </c>
      <c r="O112" s="90">
        <v>1370</v>
      </c>
      <c r="P112" s="86">
        <f>+J112*E112</f>
        <v>10885.299999999997</v>
      </c>
      <c r="Q112" s="87">
        <f>+K112*E112</f>
        <v>7023.4799999999987</v>
      </c>
      <c r="R112" s="87">
        <f>+L112*E112</f>
        <v>16502.989999999998</v>
      </c>
      <c r="S112" s="88">
        <f>+M112*E112</f>
        <v>6339.7299999999987</v>
      </c>
      <c r="T112" s="89">
        <f>+N112*E112</f>
        <v>984.5999999999998</v>
      </c>
      <c r="U112" s="89">
        <f t="shared" si="26"/>
        <v>7493.8999999999987</v>
      </c>
      <c r="V112" s="86">
        <v>669</v>
      </c>
      <c r="W112" s="87">
        <v>657</v>
      </c>
      <c r="X112" s="87">
        <v>1990</v>
      </c>
      <c r="Y112" s="87">
        <v>1782</v>
      </c>
      <c r="Z112" s="90">
        <v>2186</v>
      </c>
      <c r="AA112" s="90">
        <v>1452</v>
      </c>
      <c r="AB112" s="91">
        <f t="shared" si="27"/>
        <v>0.12004306477660147</v>
      </c>
      <c r="AC112" s="91">
        <f t="shared" si="28"/>
        <v>0.1178898259465279</v>
      </c>
      <c r="AD112" s="91">
        <f t="shared" si="29"/>
        <v>0.35707877265386684</v>
      </c>
      <c r="AE112" s="91">
        <f t="shared" si="30"/>
        <v>0.31975596626592501</v>
      </c>
      <c r="AF112" s="91">
        <f t="shared" si="31"/>
        <v>0.39224834021173516</v>
      </c>
      <c r="AG112" s="91">
        <f t="shared" si="32"/>
        <v>0.26054189843890185</v>
      </c>
      <c r="AH112" s="92">
        <v>4113.32</v>
      </c>
      <c r="AI112" s="93">
        <v>2950.6899999999964</v>
      </c>
      <c r="AJ112" s="93">
        <v>2950.6899999999969</v>
      </c>
      <c r="AK112" s="93">
        <v>11524.039999999981</v>
      </c>
      <c r="AL112" s="94">
        <v>11802.039999999801</v>
      </c>
      <c r="AM112" s="94">
        <v>7350.29</v>
      </c>
      <c r="AN112" s="94" t="s">
        <v>779</v>
      </c>
      <c r="AO112" s="111">
        <v>41750.199999999997</v>
      </c>
      <c r="AP112" s="112">
        <v>26938.32</v>
      </c>
      <c r="AQ112" s="112">
        <v>62699.5</v>
      </c>
      <c r="AR112" s="112">
        <v>23852.22</v>
      </c>
      <c r="AS112" s="113">
        <v>3726</v>
      </c>
      <c r="AT112" s="113">
        <v>28163.699999999997</v>
      </c>
      <c r="AU112" s="111">
        <v>18335.119999999981</v>
      </c>
      <c r="AV112" s="112">
        <v>16745.90999999996</v>
      </c>
      <c r="AW112" s="112">
        <v>53300.899999999951</v>
      </c>
      <c r="AX112" s="112">
        <v>49154.7399999997</v>
      </c>
      <c r="AY112" s="113">
        <v>56907.18</v>
      </c>
      <c r="AZ112" s="113">
        <v>37353.589999999902</v>
      </c>
    </row>
    <row r="113" spans="1:52" x14ac:dyDescent="0.25">
      <c r="A113" s="101" t="s">
        <v>912</v>
      </c>
      <c r="B113" s="102" t="s">
        <v>148</v>
      </c>
      <c r="C113" s="102"/>
      <c r="D113" s="102" t="s">
        <v>1048</v>
      </c>
      <c r="E113" s="103">
        <v>5.4599999999999991</v>
      </c>
      <c r="F113" s="104">
        <v>2000</v>
      </c>
      <c r="G113" s="105">
        <f t="shared" si="24"/>
        <v>1000</v>
      </c>
      <c r="H113" s="105">
        <v>2880</v>
      </c>
      <c r="I113" s="106">
        <f t="shared" si="25"/>
        <v>0.34722222222222221</v>
      </c>
      <c r="J113" s="86">
        <v>1492</v>
      </c>
      <c r="K113" s="87">
        <v>2458</v>
      </c>
      <c r="L113" s="87">
        <v>0</v>
      </c>
      <c r="M113" s="87">
        <v>0</v>
      </c>
      <c r="N113" s="90"/>
      <c r="O113" s="90">
        <v>389</v>
      </c>
      <c r="P113" s="86">
        <f>+J113*E113</f>
        <v>8146.3199999999988</v>
      </c>
      <c r="Q113" s="87">
        <f>+K113*E113</f>
        <v>13420.679999999998</v>
      </c>
      <c r="R113" s="87">
        <f>+L113*E113</f>
        <v>0</v>
      </c>
      <c r="S113" s="88">
        <f>+M113*E113</f>
        <v>0</v>
      </c>
      <c r="T113" s="89">
        <f>+N113*E113</f>
        <v>0</v>
      </c>
      <c r="U113" s="89">
        <f t="shared" si="26"/>
        <v>2123.9399999999996</v>
      </c>
      <c r="V113" s="86">
        <v>0</v>
      </c>
      <c r="W113" s="87">
        <v>386</v>
      </c>
      <c r="X113" s="87">
        <v>725</v>
      </c>
      <c r="Y113" s="87">
        <v>642</v>
      </c>
      <c r="Z113" s="90">
        <v>899</v>
      </c>
      <c r="AA113" s="90">
        <v>1172</v>
      </c>
      <c r="AB113" s="91">
        <f t="shared" si="27"/>
        <v>0</v>
      </c>
      <c r="AC113" s="91">
        <f t="shared" si="28"/>
        <v>0.13402777777777777</v>
      </c>
      <c r="AD113" s="91">
        <f t="shared" si="29"/>
        <v>0.2517361111111111</v>
      </c>
      <c r="AE113" s="91">
        <f t="shared" si="30"/>
        <v>0.22291666666666668</v>
      </c>
      <c r="AF113" s="91">
        <f t="shared" si="31"/>
        <v>0.31215277777777778</v>
      </c>
      <c r="AG113" s="91">
        <f t="shared" si="32"/>
        <v>0.40694444444444444</v>
      </c>
      <c r="AH113" s="92">
        <v>0</v>
      </c>
      <c r="AI113" s="93">
        <v>1998.5400000000002</v>
      </c>
      <c r="AJ113" s="93">
        <v>1998.5400000000002</v>
      </c>
      <c r="AK113" s="93">
        <v>3749.5199999999954</v>
      </c>
      <c r="AL113" s="94">
        <v>3209.8199999999902</v>
      </c>
      <c r="AM113" s="94">
        <v>3861.98</v>
      </c>
      <c r="AN113" s="94" t="s">
        <v>779</v>
      </c>
      <c r="AO113" s="111">
        <v>14571.32</v>
      </c>
      <c r="AP113" s="112">
        <v>23859.78</v>
      </c>
      <c r="AQ113" s="112">
        <v>0</v>
      </c>
      <c r="AR113" s="112">
        <v>0</v>
      </c>
      <c r="AS113" s="113">
        <v>0</v>
      </c>
      <c r="AT113" s="113">
        <v>3683.83</v>
      </c>
      <c r="AU113" s="111">
        <v>0</v>
      </c>
      <c r="AV113" s="112">
        <v>0</v>
      </c>
      <c r="AW113" s="112">
        <v>0</v>
      </c>
      <c r="AX113" s="112">
        <v>0</v>
      </c>
      <c r="AY113" s="113">
        <v>0</v>
      </c>
      <c r="AZ113" s="113">
        <v>0</v>
      </c>
    </row>
    <row r="114" spans="1:52" x14ac:dyDescent="0.25">
      <c r="A114" s="101" t="s">
        <v>807</v>
      </c>
      <c r="B114" s="102" t="s">
        <v>850</v>
      </c>
      <c r="C114" s="102"/>
      <c r="D114" s="102" t="s">
        <v>1049</v>
      </c>
      <c r="E114" s="103">
        <v>5.3427219564061659</v>
      </c>
      <c r="F114" s="104">
        <v>8000</v>
      </c>
      <c r="G114" s="105">
        <f t="shared" si="24"/>
        <v>4000</v>
      </c>
      <c r="H114" s="105">
        <v>17114</v>
      </c>
      <c r="I114" s="106">
        <f t="shared" si="25"/>
        <v>0.23372677340189318</v>
      </c>
      <c r="J114" s="86">
        <v>0</v>
      </c>
      <c r="K114" s="86">
        <v>0</v>
      </c>
      <c r="L114" s="86">
        <v>0</v>
      </c>
      <c r="M114" s="86">
        <v>0</v>
      </c>
      <c r="N114" s="86">
        <v>0</v>
      </c>
      <c r="O114" s="90">
        <v>7990</v>
      </c>
      <c r="P114" s="86"/>
      <c r="Q114" s="87"/>
      <c r="R114" s="87"/>
      <c r="S114" s="88"/>
      <c r="T114" s="89"/>
      <c r="U114" s="89">
        <f t="shared" si="26"/>
        <v>42688.348431685263</v>
      </c>
      <c r="V114" s="86"/>
      <c r="W114" s="87"/>
      <c r="X114" s="87"/>
      <c r="Y114" s="87"/>
      <c r="Z114" s="90"/>
      <c r="AA114" s="90"/>
      <c r="AB114" s="91">
        <f t="shared" si="27"/>
        <v>0</v>
      </c>
      <c r="AC114" s="91">
        <f t="shared" si="28"/>
        <v>0</v>
      </c>
      <c r="AD114" s="91">
        <f t="shared" si="29"/>
        <v>0</v>
      </c>
      <c r="AE114" s="91">
        <f t="shared" si="30"/>
        <v>0</v>
      </c>
      <c r="AF114" s="91">
        <f t="shared" si="31"/>
        <v>0</v>
      </c>
      <c r="AG114" s="91">
        <f t="shared" si="32"/>
        <v>0</v>
      </c>
      <c r="AH114" s="92"/>
      <c r="AI114" s="93"/>
      <c r="AJ114" s="93"/>
      <c r="AK114" s="93"/>
      <c r="AL114" s="94"/>
      <c r="AM114" s="94"/>
      <c r="AN114" s="94" t="s">
        <v>780</v>
      </c>
      <c r="AO114" s="111">
        <v>0</v>
      </c>
      <c r="AP114" s="112">
        <v>0</v>
      </c>
      <c r="AQ114" s="112">
        <v>0</v>
      </c>
      <c r="AR114" s="112">
        <v>0</v>
      </c>
      <c r="AS114" s="113">
        <v>0</v>
      </c>
      <c r="AT114" s="113">
        <v>302357.09999999998</v>
      </c>
      <c r="AU114" s="111">
        <v>0</v>
      </c>
      <c r="AV114" s="112">
        <v>0</v>
      </c>
      <c r="AW114" s="112">
        <v>0</v>
      </c>
      <c r="AX114" s="112">
        <v>21769.24</v>
      </c>
      <c r="AY114" s="113">
        <v>289017.949999984</v>
      </c>
      <c r="AZ114" s="113">
        <v>198531.729999993</v>
      </c>
    </row>
    <row r="115" spans="1:52" x14ac:dyDescent="0.25">
      <c r="A115" s="101" t="s">
        <v>84</v>
      </c>
      <c r="B115" s="102" t="s">
        <v>85</v>
      </c>
      <c r="C115" s="102"/>
      <c r="D115" s="102" t="s">
        <v>1048</v>
      </c>
      <c r="E115" s="103">
        <v>5.3000000000000007</v>
      </c>
      <c r="F115" s="104">
        <v>100</v>
      </c>
      <c r="G115" s="105">
        <f t="shared" si="24"/>
        <v>50</v>
      </c>
      <c r="H115" s="105">
        <v>73</v>
      </c>
      <c r="I115" s="106">
        <f t="shared" si="25"/>
        <v>0.68493150684931503</v>
      </c>
      <c r="J115" s="86">
        <v>674</v>
      </c>
      <c r="K115" s="87">
        <v>650</v>
      </c>
      <c r="L115" s="87">
        <v>0</v>
      </c>
      <c r="M115" s="87">
        <v>0</v>
      </c>
      <c r="N115" s="90"/>
      <c r="O115" s="90">
        <v>0</v>
      </c>
      <c r="P115" s="86">
        <f>+J115*E115</f>
        <v>3572.2000000000003</v>
      </c>
      <c r="Q115" s="87">
        <f>+K115*E115</f>
        <v>3445.0000000000005</v>
      </c>
      <c r="R115" s="87">
        <f>+L115*E115</f>
        <v>0</v>
      </c>
      <c r="S115" s="88">
        <f>+M115*E115</f>
        <v>0</v>
      </c>
      <c r="T115" s="89">
        <f>+N115*E115</f>
        <v>0</v>
      </c>
      <c r="U115" s="89">
        <f t="shared" si="26"/>
        <v>0</v>
      </c>
      <c r="V115" s="86">
        <v>9</v>
      </c>
      <c r="W115" s="87">
        <v>23</v>
      </c>
      <c r="X115" s="87">
        <v>30</v>
      </c>
      <c r="Y115" s="87">
        <v>39</v>
      </c>
      <c r="Z115" s="90">
        <v>36</v>
      </c>
      <c r="AA115" s="90">
        <v>46</v>
      </c>
      <c r="AB115" s="91">
        <f t="shared" si="27"/>
        <v>0.12328767123287671</v>
      </c>
      <c r="AC115" s="91">
        <f t="shared" si="28"/>
        <v>0.31506849315068491</v>
      </c>
      <c r="AD115" s="91">
        <f t="shared" si="29"/>
        <v>0.41095890410958902</v>
      </c>
      <c r="AE115" s="91">
        <f t="shared" si="30"/>
        <v>0.53424657534246578</v>
      </c>
      <c r="AF115" s="91">
        <f t="shared" si="31"/>
        <v>0.49315068493150682</v>
      </c>
      <c r="AG115" s="91">
        <f t="shared" si="32"/>
        <v>0.63013698630136983</v>
      </c>
      <c r="AH115" s="92">
        <v>51.91</v>
      </c>
      <c r="AI115" s="93">
        <v>148.27000000000001</v>
      </c>
      <c r="AJ115" s="93">
        <v>148.26999999999998</v>
      </c>
      <c r="AK115" s="93">
        <v>205.6399999999999</v>
      </c>
      <c r="AL115" s="94">
        <v>267.789999999999</v>
      </c>
      <c r="AM115" s="94">
        <v>245.07</v>
      </c>
      <c r="AN115" s="94" t="s">
        <v>779</v>
      </c>
      <c r="AO115" s="111">
        <v>4074.5</v>
      </c>
      <c r="AP115" s="112">
        <v>3947.5</v>
      </c>
      <c r="AQ115" s="112">
        <v>0</v>
      </c>
      <c r="AR115" s="112">
        <v>0</v>
      </c>
      <c r="AS115" s="113">
        <v>0</v>
      </c>
      <c r="AT115" s="113">
        <v>0</v>
      </c>
      <c r="AU115" s="111">
        <v>107.53</v>
      </c>
      <c r="AV115" s="112">
        <v>289.46999999999997</v>
      </c>
      <c r="AW115" s="112">
        <v>389.54000000000013</v>
      </c>
      <c r="AX115" s="112">
        <v>506.85999999999899</v>
      </c>
      <c r="AY115" s="113">
        <v>486.99999999999898</v>
      </c>
      <c r="AZ115" s="113">
        <v>525.66999999999996</v>
      </c>
    </row>
    <row r="116" spans="1:52" x14ac:dyDescent="0.25">
      <c r="A116" s="101" t="s">
        <v>196</v>
      </c>
      <c r="B116" s="102" t="s">
        <v>197</v>
      </c>
      <c r="C116" s="102"/>
      <c r="D116" s="102" t="s">
        <v>1048</v>
      </c>
      <c r="E116" s="103">
        <v>5.2799999999999994</v>
      </c>
      <c r="F116" s="104">
        <v>1500</v>
      </c>
      <c r="G116" s="105">
        <f t="shared" si="24"/>
        <v>750</v>
      </c>
      <c r="H116" s="105">
        <v>954</v>
      </c>
      <c r="I116" s="106">
        <f t="shared" si="25"/>
        <v>0.78616352201257866</v>
      </c>
      <c r="J116" s="86">
        <v>535.71428571428567</v>
      </c>
      <c r="K116" s="87">
        <v>1053.5714285714284</v>
      </c>
      <c r="L116" s="87">
        <v>749.99999999999989</v>
      </c>
      <c r="M116" s="87">
        <v>1100</v>
      </c>
      <c r="N116" s="90"/>
      <c r="O116" s="90">
        <v>300</v>
      </c>
      <c r="P116" s="86">
        <f>+J116*E116</f>
        <v>2828.571428571428</v>
      </c>
      <c r="Q116" s="87">
        <f>+K116*E116</f>
        <v>5562.8571428571413</v>
      </c>
      <c r="R116" s="87">
        <f>+L116*E116</f>
        <v>3959.9999999999991</v>
      </c>
      <c r="S116" s="88">
        <f>+M116*E116</f>
        <v>5807.9999999999991</v>
      </c>
      <c r="T116" s="89">
        <f>+N116*E116</f>
        <v>0</v>
      </c>
      <c r="U116" s="89">
        <f t="shared" si="26"/>
        <v>1583.9999999999998</v>
      </c>
      <c r="V116" s="86">
        <v>0</v>
      </c>
      <c r="W116" s="87">
        <v>82</v>
      </c>
      <c r="X116" s="87">
        <v>551</v>
      </c>
      <c r="Y116" s="87">
        <v>336</v>
      </c>
      <c r="Z116" s="90">
        <v>490</v>
      </c>
      <c r="AA116" s="90">
        <v>530</v>
      </c>
      <c r="AB116" s="91">
        <f t="shared" si="27"/>
        <v>0</v>
      </c>
      <c r="AC116" s="91">
        <f t="shared" si="28"/>
        <v>8.5953878406708595E-2</v>
      </c>
      <c r="AD116" s="91">
        <f t="shared" si="29"/>
        <v>0.57756813417190778</v>
      </c>
      <c r="AE116" s="91">
        <f t="shared" si="30"/>
        <v>0.3522012578616352</v>
      </c>
      <c r="AF116" s="91">
        <f t="shared" si="31"/>
        <v>0.51362683438155132</v>
      </c>
      <c r="AG116" s="91">
        <f t="shared" si="32"/>
        <v>0.55555555555555558</v>
      </c>
      <c r="AH116" s="92">
        <v>0</v>
      </c>
      <c r="AI116" s="93">
        <v>61.139999999999993</v>
      </c>
      <c r="AJ116" s="93">
        <v>61.14</v>
      </c>
      <c r="AK116" s="93">
        <v>2354.8399999999988</v>
      </c>
      <c r="AL116" s="94">
        <v>2796.74999999999</v>
      </c>
      <c r="AM116" s="94">
        <v>2583.1999999999998</v>
      </c>
      <c r="AN116" s="94" t="s">
        <v>779</v>
      </c>
      <c r="AO116" s="111">
        <v>6820.5</v>
      </c>
      <c r="AP116" s="112">
        <v>13033.75</v>
      </c>
      <c r="AQ116" s="112">
        <v>9328.9</v>
      </c>
      <c r="AR116" s="112">
        <v>13707.12</v>
      </c>
      <c r="AS116" s="113">
        <v>0</v>
      </c>
      <c r="AT116" s="113">
        <v>13932.62</v>
      </c>
      <c r="AU116" s="111">
        <v>0</v>
      </c>
      <c r="AV116" s="112">
        <v>1127.1399999999971</v>
      </c>
      <c r="AW116" s="112">
        <v>9463.0999999999749</v>
      </c>
      <c r="AX116" s="112">
        <v>7092.8999999999896</v>
      </c>
      <c r="AY116" s="113">
        <v>9316.8399999999892</v>
      </c>
      <c r="AZ116" s="113">
        <v>9324.7999999999993</v>
      </c>
    </row>
    <row r="117" spans="1:52" x14ac:dyDescent="0.25">
      <c r="A117" s="101" t="s">
        <v>178</v>
      </c>
      <c r="B117" s="102" t="s">
        <v>179</v>
      </c>
      <c r="C117" s="102"/>
      <c r="D117" s="102" t="s">
        <v>1048</v>
      </c>
      <c r="E117" s="103">
        <v>5.2399999999999984</v>
      </c>
      <c r="F117" s="104">
        <v>200</v>
      </c>
      <c r="G117" s="105">
        <f t="shared" si="24"/>
        <v>100</v>
      </c>
      <c r="H117" s="105">
        <v>222</v>
      </c>
      <c r="I117" s="106">
        <f t="shared" si="25"/>
        <v>0.45045045045045046</v>
      </c>
      <c r="J117" s="86">
        <v>65</v>
      </c>
      <c r="K117" s="87">
        <v>225</v>
      </c>
      <c r="L117" s="87">
        <v>29.5</v>
      </c>
      <c r="M117" s="87">
        <v>0</v>
      </c>
      <c r="N117" s="90">
        <v>100</v>
      </c>
      <c r="O117" s="90">
        <v>64</v>
      </c>
      <c r="P117" s="86">
        <f>+J117*E117</f>
        <v>340.59999999999991</v>
      </c>
      <c r="Q117" s="87">
        <f>+K117*E117</f>
        <v>1178.9999999999995</v>
      </c>
      <c r="R117" s="87">
        <f>+L117*E117</f>
        <v>154.57999999999996</v>
      </c>
      <c r="S117" s="88">
        <f>+M117*E117</f>
        <v>0</v>
      </c>
      <c r="T117" s="89">
        <f>+N117*E117</f>
        <v>523.99999999999989</v>
      </c>
      <c r="U117" s="89">
        <f t="shared" si="26"/>
        <v>335.3599999999999</v>
      </c>
      <c r="V117" s="86">
        <v>113</v>
      </c>
      <c r="W117" s="87">
        <v>104</v>
      </c>
      <c r="X117" s="87">
        <v>85</v>
      </c>
      <c r="Y117" s="87">
        <v>140</v>
      </c>
      <c r="Z117" s="90">
        <v>94</v>
      </c>
      <c r="AA117" s="90">
        <v>58</v>
      </c>
      <c r="AB117" s="91">
        <f t="shared" si="27"/>
        <v>0.50900900900900903</v>
      </c>
      <c r="AC117" s="91">
        <f t="shared" si="28"/>
        <v>0.46846846846846846</v>
      </c>
      <c r="AD117" s="91">
        <f t="shared" si="29"/>
        <v>0.38288288288288286</v>
      </c>
      <c r="AE117" s="91">
        <f t="shared" si="30"/>
        <v>0.63063063063063063</v>
      </c>
      <c r="AF117" s="91">
        <f t="shared" si="31"/>
        <v>0.42342342342342343</v>
      </c>
      <c r="AG117" s="91">
        <f t="shared" si="32"/>
        <v>0.26126126126126126</v>
      </c>
      <c r="AH117" s="92">
        <v>125.86</v>
      </c>
      <c r="AI117" s="93">
        <v>679.46999999999991</v>
      </c>
      <c r="AJ117" s="93">
        <v>679.47000000000014</v>
      </c>
      <c r="AK117" s="93">
        <v>351.70999999999947</v>
      </c>
      <c r="AL117" s="94">
        <v>699.94</v>
      </c>
      <c r="AM117" s="94">
        <v>353.52</v>
      </c>
      <c r="AN117" s="94" t="s">
        <v>779</v>
      </c>
      <c r="AO117" s="111">
        <v>804.7</v>
      </c>
      <c r="AP117" s="112">
        <v>2766</v>
      </c>
      <c r="AQ117" s="112">
        <v>341.61</v>
      </c>
      <c r="AR117" s="112">
        <v>0</v>
      </c>
      <c r="AS117" s="113">
        <v>1146</v>
      </c>
      <c r="AT117" s="113">
        <v>366.72</v>
      </c>
      <c r="AU117" s="111">
        <v>1511.36</v>
      </c>
      <c r="AV117" s="112">
        <v>1972.189999999998</v>
      </c>
      <c r="AW117" s="112">
        <v>1396.5399999999959</v>
      </c>
      <c r="AX117" s="112">
        <v>2414.03999999999</v>
      </c>
      <c r="AY117" s="113">
        <v>1690.89</v>
      </c>
      <c r="AZ117" s="113">
        <v>1032.24</v>
      </c>
    </row>
    <row r="118" spans="1:52" x14ac:dyDescent="0.25">
      <c r="A118" s="101" t="s">
        <v>233</v>
      </c>
      <c r="B118" s="102" t="s">
        <v>234</v>
      </c>
      <c r="C118" s="102"/>
      <c r="D118" s="102" t="s">
        <v>1048</v>
      </c>
      <c r="E118" s="103">
        <v>5.1999999999999993</v>
      </c>
      <c r="F118" s="104">
        <v>55.6</v>
      </c>
      <c r="G118" s="105">
        <f t="shared" si="24"/>
        <v>27.8</v>
      </c>
      <c r="H118" s="105">
        <v>981</v>
      </c>
      <c r="I118" s="106">
        <f t="shared" si="25"/>
        <v>2.8338430173292559E-2</v>
      </c>
      <c r="J118" s="86">
        <v>117</v>
      </c>
      <c r="K118" s="87">
        <v>0</v>
      </c>
      <c r="L118" s="87">
        <v>0</v>
      </c>
      <c r="M118" s="87">
        <v>0</v>
      </c>
      <c r="N118" s="90"/>
      <c r="O118" s="90">
        <v>0</v>
      </c>
      <c r="P118" s="86">
        <f>+J118*E118</f>
        <v>608.39999999999986</v>
      </c>
      <c r="Q118" s="87">
        <f>+K118*E118</f>
        <v>0</v>
      </c>
      <c r="R118" s="87">
        <f>+L118*E118</f>
        <v>0</v>
      </c>
      <c r="S118" s="88">
        <f>+M118*E118</f>
        <v>0</v>
      </c>
      <c r="T118" s="89">
        <f>+N118*E118</f>
        <v>0</v>
      </c>
      <c r="U118" s="89">
        <f t="shared" si="26"/>
        <v>0</v>
      </c>
      <c r="V118" s="86">
        <v>13</v>
      </c>
      <c r="W118" s="87">
        <v>15</v>
      </c>
      <c r="X118" s="87">
        <v>3</v>
      </c>
      <c r="Y118" s="87">
        <v>2</v>
      </c>
      <c r="Z118" s="90">
        <v>106</v>
      </c>
      <c r="AA118" s="90">
        <v>32</v>
      </c>
      <c r="AB118" s="91">
        <f t="shared" si="27"/>
        <v>1.3251783893985729E-2</v>
      </c>
      <c r="AC118" s="91">
        <f t="shared" si="28"/>
        <v>1.5290519877675841E-2</v>
      </c>
      <c r="AD118" s="91">
        <f t="shared" si="29"/>
        <v>3.0581039755351682E-3</v>
      </c>
      <c r="AE118" s="91">
        <f t="shared" si="30"/>
        <v>2.0387359836901123E-3</v>
      </c>
      <c r="AF118" s="91">
        <f t="shared" si="31"/>
        <v>0.10805300713557595</v>
      </c>
      <c r="AG118" s="91">
        <f t="shared" si="32"/>
        <v>3.2619775739041797E-2</v>
      </c>
      <c r="AH118" s="92">
        <v>54.789999999999992</v>
      </c>
      <c r="AI118" s="93">
        <v>34.54</v>
      </c>
      <c r="AJ118" s="93">
        <v>34.54</v>
      </c>
      <c r="AK118" s="93">
        <v>24.450000000000003</v>
      </c>
      <c r="AL118" s="94">
        <v>18.600000000000001</v>
      </c>
      <c r="AM118" s="94">
        <v>-25.55</v>
      </c>
      <c r="AN118" s="94" t="s">
        <v>779</v>
      </c>
      <c r="AO118" s="111">
        <v>1713.76</v>
      </c>
      <c r="AP118" s="112">
        <v>0</v>
      </c>
      <c r="AQ118" s="112">
        <v>0</v>
      </c>
      <c r="AR118" s="112">
        <v>0</v>
      </c>
      <c r="AS118" s="113">
        <v>0</v>
      </c>
      <c r="AT118" s="113">
        <v>0</v>
      </c>
      <c r="AU118" s="111">
        <v>301.79000000000002</v>
      </c>
      <c r="AV118" s="112">
        <v>319.54000000000002</v>
      </c>
      <c r="AW118" s="112">
        <v>72.550000000000011</v>
      </c>
      <c r="AX118" s="112">
        <v>47.7</v>
      </c>
      <c r="AY118" s="113">
        <v>2117.7999999999902</v>
      </c>
      <c r="AZ118" s="113">
        <v>440.05</v>
      </c>
    </row>
    <row r="119" spans="1:52" x14ac:dyDescent="0.25">
      <c r="A119" s="101" t="s">
        <v>913</v>
      </c>
      <c r="B119" s="102" t="s">
        <v>832</v>
      </c>
      <c r="C119" s="102"/>
      <c r="D119" s="102" t="s">
        <v>1048</v>
      </c>
      <c r="E119" s="103">
        <v>5.19</v>
      </c>
      <c r="F119" s="104">
        <v>2000</v>
      </c>
      <c r="G119" s="105">
        <f t="shared" si="24"/>
        <v>1000</v>
      </c>
      <c r="H119" s="105">
        <v>124</v>
      </c>
      <c r="I119" s="106">
        <f t="shared" si="25"/>
        <v>8.064516129032258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  <c r="O119" s="90">
        <v>163</v>
      </c>
      <c r="P119" s="86"/>
      <c r="Q119" s="87"/>
      <c r="R119" s="87"/>
      <c r="S119" s="88"/>
      <c r="T119" s="89"/>
      <c r="U119" s="89">
        <f t="shared" si="26"/>
        <v>845.97</v>
      </c>
      <c r="V119" s="86"/>
      <c r="W119" s="87"/>
      <c r="X119" s="87"/>
      <c r="Y119" s="87"/>
      <c r="Z119" s="90"/>
      <c r="AA119" s="90"/>
      <c r="AB119" s="91">
        <f t="shared" si="27"/>
        <v>0</v>
      </c>
      <c r="AC119" s="91">
        <f t="shared" si="28"/>
        <v>0</v>
      </c>
      <c r="AD119" s="91">
        <f t="shared" si="29"/>
        <v>0</v>
      </c>
      <c r="AE119" s="91">
        <f t="shared" si="30"/>
        <v>0</v>
      </c>
      <c r="AF119" s="91">
        <f t="shared" si="31"/>
        <v>0</v>
      </c>
      <c r="AG119" s="91">
        <f t="shared" si="32"/>
        <v>0</v>
      </c>
      <c r="AH119" s="92"/>
      <c r="AI119" s="93"/>
      <c r="AJ119" s="93"/>
      <c r="AK119" s="93"/>
      <c r="AL119" s="94"/>
      <c r="AM119" s="94"/>
      <c r="AN119" s="94" t="s">
        <v>779</v>
      </c>
      <c r="AO119" s="111">
        <v>0</v>
      </c>
      <c r="AP119" s="112">
        <v>0</v>
      </c>
      <c r="AQ119" s="112">
        <v>0</v>
      </c>
      <c r="AR119" s="112">
        <v>0</v>
      </c>
      <c r="AS119" s="113">
        <v>0</v>
      </c>
      <c r="AT119" s="113">
        <v>3714.09</v>
      </c>
      <c r="AU119" s="111">
        <v>0</v>
      </c>
      <c r="AV119" s="112">
        <v>0</v>
      </c>
      <c r="AW119" s="112">
        <v>0</v>
      </c>
      <c r="AX119" s="112">
        <v>0</v>
      </c>
      <c r="AY119" s="113">
        <v>0</v>
      </c>
      <c r="AZ119" s="113">
        <v>0</v>
      </c>
    </row>
    <row r="120" spans="1:52" x14ac:dyDescent="0.25">
      <c r="A120" s="101" t="s">
        <v>133</v>
      </c>
      <c r="B120" s="102" t="s">
        <v>134</v>
      </c>
      <c r="C120" s="102"/>
      <c r="D120" s="102" t="s">
        <v>1048</v>
      </c>
      <c r="E120" s="103">
        <v>5.1099999999999994</v>
      </c>
      <c r="F120" s="104">
        <v>59</v>
      </c>
      <c r="G120" s="105">
        <f t="shared" si="24"/>
        <v>29.5</v>
      </c>
      <c r="H120" s="105">
        <v>295</v>
      </c>
      <c r="I120" s="106">
        <f t="shared" si="25"/>
        <v>0.1</v>
      </c>
      <c r="J120" s="86">
        <v>0</v>
      </c>
      <c r="K120" s="87">
        <v>25</v>
      </c>
      <c r="L120" s="87">
        <v>25</v>
      </c>
      <c r="M120" s="87">
        <v>0</v>
      </c>
      <c r="N120" s="90"/>
      <c r="O120" s="90">
        <v>0</v>
      </c>
      <c r="P120" s="86">
        <f t="shared" ref="P120:P137" si="43">+J120*E120</f>
        <v>0</v>
      </c>
      <c r="Q120" s="87">
        <f t="shared" ref="Q120:Q137" si="44">+K120*E120</f>
        <v>127.74999999999999</v>
      </c>
      <c r="R120" s="87">
        <f t="shared" ref="R120:R137" si="45">+L120*E120</f>
        <v>127.74999999999999</v>
      </c>
      <c r="S120" s="88">
        <f t="shared" ref="S120:S137" si="46">+M120*E120</f>
        <v>0</v>
      </c>
      <c r="T120" s="89">
        <f t="shared" ref="T120:T137" si="47">+N120*E120</f>
        <v>0</v>
      </c>
      <c r="U120" s="89">
        <f t="shared" si="26"/>
        <v>0</v>
      </c>
      <c r="V120" s="86">
        <v>9</v>
      </c>
      <c r="W120" s="87">
        <v>12</v>
      </c>
      <c r="X120" s="87">
        <v>10</v>
      </c>
      <c r="Y120" s="87">
        <v>12</v>
      </c>
      <c r="Z120" s="90">
        <v>0</v>
      </c>
      <c r="AA120" s="90">
        <v>0</v>
      </c>
      <c r="AB120" s="91">
        <f t="shared" si="27"/>
        <v>3.0508474576271188E-2</v>
      </c>
      <c r="AC120" s="91">
        <f t="shared" si="28"/>
        <v>4.0677966101694912E-2</v>
      </c>
      <c r="AD120" s="91">
        <f t="shared" si="29"/>
        <v>3.3898305084745763E-2</v>
      </c>
      <c r="AE120" s="91">
        <f t="shared" si="30"/>
        <v>4.0677966101694912E-2</v>
      </c>
      <c r="AF120" s="91">
        <f t="shared" si="31"/>
        <v>0</v>
      </c>
      <c r="AG120" s="91">
        <f t="shared" si="32"/>
        <v>0</v>
      </c>
      <c r="AH120" s="92">
        <v>0.9900000000000001</v>
      </c>
      <c r="AI120" s="93">
        <v>5.1800000000000006</v>
      </c>
      <c r="AJ120" s="93">
        <v>51.099999999999994</v>
      </c>
      <c r="AK120" s="93">
        <v>49.5</v>
      </c>
      <c r="AL120" s="94">
        <v>56.22</v>
      </c>
      <c r="AM120" s="94">
        <v>0</v>
      </c>
      <c r="AN120" s="94" t="s">
        <v>779</v>
      </c>
      <c r="AO120" s="111">
        <v>0</v>
      </c>
      <c r="AP120" s="112">
        <v>199</v>
      </c>
      <c r="AQ120" s="112">
        <v>199</v>
      </c>
      <c r="AR120" s="112">
        <v>0</v>
      </c>
      <c r="AS120" s="113">
        <v>0</v>
      </c>
      <c r="AT120" s="113">
        <v>0</v>
      </c>
      <c r="AU120" s="111">
        <v>80.55</v>
      </c>
      <c r="AV120" s="112">
        <v>111.25999999999989</v>
      </c>
      <c r="AW120" s="112">
        <v>137.89999999999989</v>
      </c>
      <c r="AX120" s="112">
        <v>162.30000000000001</v>
      </c>
      <c r="AY120" s="113">
        <v>0</v>
      </c>
      <c r="AZ120" s="113">
        <v>0</v>
      </c>
    </row>
    <row r="121" spans="1:52" x14ac:dyDescent="0.25">
      <c r="A121" s="101" t="s">
        <v>536</v>
      </c>
      <c r="B121" s="102" t="s">
        <v>537</v>
      </c>
      <c r="C121" s="102"/>
      <c r="D121" s="102" t="s">
        <v>1048</v>
      </c>
      <c r="E121" s="103">
        <v>5.0900000000000034</v>
      </c>
      <c r="F121" s="104">
        <v>50</v>
      </c>
      <c r="G121" s="105">
        <f t="shared" si="24"/>
        <v>25</v>
      </c>
      <c r="H121" s="105">
        <v>126</v>
      </c>
      <c r="I121" s="106">
        <f t="shared" si="25"/>
        <v>0.1984126984126984</v>
      </c>
      <c r="J121" s="86">
        <v>0</v>
      </c>
      <c r="K121" s="87">
        <v>0</v>
      </c>
      <c r="L121" s="87">
        <v>0</v>
      </c>
      <c r="M121" s="87">
        <v>0</v>
      </c>
      <c r="N121" s="90">
        <v>30</v>
      </c>
      <c r="O121" s="90">
        <v>120</v>
      </c>
      <c r="P121" s="86">
        <f t="shared" si="43"/>
        <v>0</v>
      </c>
      <c r="Q121" s="87">
        <f t="shared" si="44"/>
        <v>0</v>
      </c>
      <c r="R121" s="87">
        <f t="shared" si="45"/>
        <v>0</v>
      </c>
      <c r="S121" s="88">
        <f t="shared" si="46"/>
        <v>0</v>
      </c>
      <c r="T121" s="89">
        <f t="shared" si="47"/>
        <v>152.7000000000001</v>
      </c>
      <c r="U121" s="89">
        <f t="shared" si="26"/>
        <v>610.80000000000041</v>
      </c>
      <c r="V121" s="86">
        <v>23</v>
      </c>
      <c r="W121" s="87">
        <v>34</v>
      </c>
      <c r="X121" s="87">
        <v>20</v>
      </c>
      <c r="Y121" s="87">
        <v>24</v>
      </c>
      <c r="Z121" s="90">
        <v>11</v>
      </c>
      <c r="AA121" s="90">
        <v>22</v>
      </c>
      <c r="AB121" s="91">
        <f t="shared" si="27"/>
        <v>0.18253968253968253</v>
      </c>
      <c r="AC121" s="91">
        <f t="shared" si="28"/>
        <v>0.26984126984126983</v>
      </c>
      <c r="AD121" s="91">
        <f t="shared" si="29"/>
        <v>0.15873015873015872</v>
      </c>
      <c r="AE121" s="91">
        <f t="shared" si="30"/>
        <v>0.19047619047619047</v>
      </c>
      <c r="AF121" s="91">
        <f t="shared" si="31"/>
        <v>8.7301587301587297E-2</v>
      </c>
      <c r="AG121" s="91">
        <f t="shared" si="32"/>
        <v>0.17460317460317459</v>
      </c>
      <c r="AH121" s="92">
        <v>194.79</v>
      </c>
      <c r="AI121" s="93">
        <v>396.58000000000004</v>
      </c>
      <c r="AJ121" s="93">
        <v>396.58</v>
      </c>
      <c r="AK121" s="93">
        <v>237.48</v>
      </c>
      <c r="AL121" s="94">
        <v>348.93999999999897</v>
      </c>
      <c r="AM121" s="94">
        <v>231.93</v>
      </c>
      <c r="AN121" s="94" t="s">
        <v>780</v>
      </c>
      <c r="AO121" s="111">
        <v>0</v>
      </c>
      <c r="AP121" s="112">
        <v>0</v>
      </c>
      <c r="AQ121" s="112">
        <v>0</v>
      </c>
      <c r="AR121" s="112">
        <v>0</v>
      </c>
      <c r="AS121" s="113">
        <v>2116.1999999999998</v>
      </c>
      <c r="AT121" s="113">
        <v>8281</v>
      </c>
      <c r="AU121" s="111">
        <v>1697.84</v>
      </c>
      <c r="AV121" s="112">
        <v>2618.4799999999996</v>
      </c>
      <c r="AW121" s="112">
        <v>1544.4799999999998</v>
      </c>
      <c r="AX121" s="112">
        <v>1917.3399999999899</v>
      </c>
      <c r="AY121" s="113">
        <v>885.099999999999</v>
      </c>
      <c r="AZ121" s="113">
        <v>1741.29999999999</v>
      </c>
    </row>
    <row r="122" spans="1:52" x14ac:dyDescent="0.25">
      <c r="A122" s="101" t="s">
        <v>41</v>
      </c>
      <c r="B122" s="102" t="s">
        <v>42</v>
      </c>
      <c r="C122" s="102"/>
      <c r="D122" s="102" t="s">
        <v>1048</v>
      </c>
      <c r="E122" s="103">
        <v>5.08</v>
      </c>
      <c r="F122" s="104">
        <v>1000</v>
      </c>
      <c r="G122" s="105">
        <f t="shared" si="24"/>
        <v>500</v>
      </c>
      <c r="H122" s="105">
        <v>511</v>
      </c>
      <c r="I122" s="106">
        <f t="shared" si="25"/>
        <v>0.97847358121330719</v>
      </c>
      <c r="J122" s="86">
        <v>0</v>
      </c>
      <c r="K122" s="87">
        <v>0</v>
      </c>
      <c r="L122" s="87">
        <v>100</v>
      </c>
      <c r="M122" s="87">
        <v>130</v>
      </c>
      <c r="N122" s="90"/>
      <c r="O122" s="90">
        <v>0</v>
      </c>
      <c r="P122" s="86">
        <f t="shared" si="43"/>
        <v>0</v>
      </c>
      <c r="Q122" s="87">
        <f t="shared" si="44"/>
        <v>0</v>
      </c>
      <c r="R122" s="87">
        <f t="shared" si="45"/>
        <v>508</v>
      </c>
      <c r="S122" s="88">
        <f t="shared" si="46"/>
        <v>660.4</v>
      </c>
      <c r="T122" s="89">
        <f t="shared" si="47"/>
        <v>0</v>
      </c>
      <c r="U122" s="89">
        <f t="shared" si="26"/>
        <v>0</v>
      </c>
      <c r="V122" s="86">
        <v>76</v>
      </c>
      <c r="W122" s="87">
        <v>530</v>
      </c>
      <c r="X122" s="87">
        <v>153</v>
      </c>
      <c r="Y122" s="87">
        <v>113</v>
      </c>
      <c r="Z122" s="90">
        <v>99</v>
      </c>
      <c r="AA122" s="90">
        <v>0</v>
      </c>
      <c r="AB122" s="91">
        <f t="shared" si="27"/>
        <v>0.14872798434442269</v>
      </c>
      <c r="AC122" s="91">
        <f t="shared" si="28"/>
        <v>1.0371819960861057</v>
      </c>
      <c r="AD122" s="91">
        <f t="shared" si="29"/>
        <v>0.299412915851272</v>
      </c>
      <c r="AE122" s="91">
        <f t="shared" si="30"/>
        <v>0.22113502935420742</v>
      </c>
      <c r="AF122" s="91">
        <f t="shared" si="31"/>
        <v>0.19373776908023482</v>
      </c>
      <c r="AG122" s="91">
        <f t="shared" si="32"/>
        <v>0</v>
      </c>
      <c r="AH122" s="92">
        <v>256.2</v>
      </c>
      <c r="AI122" s="93">
        <v>2003.6499999999978</v>
      </c>
      <c r="AJ122" s="93">
        <v>2003.649999999998</v>
      </c>
      <c r="AK122" s="93">
        <v>684.07</v>
      </c>
      <c r="AL122" s="94">
        <v>612.99999999999898</v>
      </c>
      <c r="AM122" s="94">
        <v>0</v>
      </c>
      <c r="AN122" s="94" t="s">
        <v>779</v>
      </c>
      <c r="AO122" s="111">
        <v>0</v>
      </c>
      <c r="AP122" s="112">
        <v>0</v>
      </c>
      <c r="AQ122" s="112">
        <v>356</v>
      </c>
      <c r="AR122" s="112">
        <v>464.6</v>
      </c>
      <c r="AS122" s="113">
        <v>0</v>
      </c>
      <c r="AT122" s="113">
        <v>0</v>
      </c>
      <c r="AU122" s="111">
        <v>547.54999999999995</v>
      </c>
      <c r="AV122" s="112">
        <v>4187.2499999999964</v>
      </c>
      <c r="AW122" s="112">
        <v>1314.4299999999989</v>
      </c>
      <c r="AX122" s="112">
        <v>951.99999999999898</v>
      </c>
      <c r="AY122" s="113">
        <v>852.55</v>
      </c>
      <c r="AZ122" s="113">
        <v>0</v>
      </c>
    </row>
    <row r="123" spans="1:52" x14ac:dyDescent="0.25">
      <c r="A123" s="101" t="s">
        <v>182</v>
      </c>
      <c r="B123" s="102" t="s">
        <v>183</v>
      </c>
      <c r="C123" s="102"/>
      <c r="D123" s="102" t="s">
        <v>1048</v>
      </c>
      <c r="E123" s="103">
        <v>5</v>
      </c>
      <c r="F123" s="104">
        <v>1179.8</v>
      </c>
      <c r="G123" s="105">
        <f t="shared" si="24"/>
        <v>589.9</v>
      </c>
      <c r="H123" s="105">
        <v>5899</v>
      </c>
      <c r="I123" s="106">
        <f t="shared" si="25"/>
        <v>9.9999999999999992E-2</v>
      </c>
      <c r="J123" s="86">
        <v>0</v>
      </c>
      <c r="K123" s="87">
        <v>299</v>
      </c>
      <c r="L123" s="87">
        <v>0</v>
      </c>
      <c r="M123" s="87">
        <v>0</v>
      </c>
      <c r="N123" s="90"/>
      <c r="O123" s="90">
        <v>0</v>
      </c>
      <c r="P123" s="86">
        <f t="shared" si="43"/>
        <v>0</v>
      </c>
      <c r="Q123" s="87">
        <f t="shared" si="44"/>
        <v>1495</v>
      </c>
      <c r="R123" s="87">
        <f t="shared" si="45"/>
        <v>0</v>
      </c>
      <c r="S123" s="88">
        <f t="shared" si="46"/>
        <v>0</v>
      </c>
      <c r="T123" s="89">
        <f t="shared" si="47"/>
        <v>0</v>
      </c>
      <c r="U123" s="89">
        <f t="shared" si="26"/>
        <v>0</v>
      </c>
      <c r="V123" s="86">
        <v>0</v>
      </c>
      <c r="W123" s="87">
        <v>0</v>
      </c>
      <c r="X123" s="87">
        <v>53</v>
      </c>
      <c r="Y123" s="87">
        <v>77</v>
      </c>
      <c r="Z123" s="90">
        <v>45</v>
      </c>
      <c r="AA123" s="90">
        <v>35</v>
      </c>
      <c r="AB123" s="91">
        <f t="shared" si="27"/>
        <v>0</v>
      </c>
      <c r="AC123" s="91">
        <f t="shared" si="28"/>
        <v>0</v>
      </c>
      <c r="AD123" s="91">
        <f t="shared" si="29"/>
        <v>8.9845736565519578E-3</v>
      </c>
      <c r="AE123" s="91">
        <f t="shared" si="30"/>
        <v>1.3053059840650957E-2</v>
      </c>
      <c r="AF123" s="91">
        <f t="shared" si="31"/>
        <v>7.6284115951856246E-3</v>
      </c>
      <c r="AG123" s="91">
        <f t="shared" si="32"/>
        <v>5.9332090184777081E-3</v>
      </c>
      <c r="AH123" s="92">
        <v>0</v>
      </c>
      <c r="AI123" s="93">
        <v>0</v>
      </c>
      <c r="AJ123" s="93">
        <v>265</v>
      </c>
      <c r="AK123" s="93">
        <v>32.44999999999996</v>
      </c>
      <c r="AL123" s="94">
        <v>110.95</v>
      </c>
      <c r="AM123" s="94">
        <v>165.57</v>
      </c>
      <c r="AN123" s="94" t="s">
        <v>779</v>
      </c>
      <c r="AO123" s="111">
        <v>0</v>
      </c>
      <c r="AP123" s="112">
        <v>3312.92</v>
      </c>
      <c r="AQ123" s="112">
        <v>0</v>
      </c>
      <c r="AR123" s="112">
        <v>0</v>
      </c>
      <c r="AS123" s="113">
        <v>0</v>
      </c>
      <c r="AT123" s="113">
        <v>0</v>
      </c>
      <c r="AU123" s="111">
        <v>0</v>
      </c>
      <c r="AV123" s="112">
        <v>0</v>
      </c>
      <c r="AW123" s="112">
        <v>721.44999999999879</v>
      </c>
      <c r="AX123" s="112">
        <v>1034.5899999999999</v>
      </c>
      <c r="AY123" s="113">
        <v>613.92999999999995</v>
      </c>
      <c r="AZ123" s="113">
        <v>551.97</v>
      </c>
    </row>
    <row r="124" spans="1:52" x14ac:dyDescent="0.25">
      <c r="A124" s="101" t="s">
        <v>377</v>
      </c>
      <c r="B124" s="102" t="s">
        <v>378</v>
      </c>
      <c r="C124" s="102"/>
      <c r="D124" s="102" t="s">
        <v>1048</v>
      </c>
      <c r="E124" s="103">
        <v>4.9500000000000028</v>
      </c>
      <c r="F124" s="104">
        <v>2000</v>
      </c>
      <c r="G124" s="105">
        <f t="shared" si="24"/>
        <v>1000</v>
      </c>
      <c r="H124" s="105">
        <v>9714</v>
      </c>
      <c r="I124" s="106">
        <f t="shared" si="25"/>
        <v>0.10294420424130121</v>
      </c>
      <c r="J124" s="86">
        <v>493</v>
      </c>
      <c r="K124" s="87">
        <v>0</v>
      </c>
      <c r="L124" s="87">
        <v>0</v>
      </c>
      <c r="M124" s="87">
        <v>0</v>
      </c>
      <c r="N124" s="90"/>
      <c r="O124" s="90">
        <v>0</v>
      </c>
      <c r="P124" s="86">
        <f t="shared" si="43"/>
        <v>2440.3500000000013</v>
      </c>
      <c r="Q124" s="87">
        <f t="shared" si="44"/>
        <v>0</v>
      </c>
      <c r="R124" s="87">
        <f t="shared" si="45"/>
        <v>0</v>
      </c>
      <c r="S124" s="88">
        <f t="shared" si="46"/>
        <v>0</v>
      </c>
      <c r="T124" s="89">
        <f t="shared" si="47"/>
        <v>0</v>
      </c>
      <c r="U124" s="89">
        <f t="shared" si="26"/>
        <v>0</v>
      </c>
      <c r="V124" s="86">
        <v>0</v>
      </c>
      <c r="W124" s="87">
        <v>0</v>
      </c>
      <c r="X124" s="87">
        <v>0</v>
      </c>
      <c r="Y124" s="87">
        <v>0</v>
      </c>
      <c r="Z124" s="90">
        <v>0</v>
      </c>
      <c r="AA124" s="90">
        <v>0</v>
      </c>
      <c r="AB124" s="91">
        <f t="shared" si="27"/>
        <v>0</v>
      </c>
      <c r="AC124" s="91">
        <f t="shared" si="28"/>
        <v>0</v>
      </c>
      <c r="AD124" s="91">
        <f t="shared" si="29"/>
        <v>0</v>
      </c>
      <c r="AE124" s="91">
        <f t="shared" si="30"/>
        <v>0</v>
      </c>
      <c r="AF124" s="91">
        <f t="shared" si="31"/>
        <v>0</v>
      </c>
      <c r="AG124" s="91">
        <f t="shared" si="32"/>
        <v>0</v>
      </c>
      <c r="AH124" s="92">
        <v>0</v>
      </c>
      <c r="AI124" s="93">
        <v>0</v>
      </c>
      <c r="AJ124" s="93">
        <v>0</v>
      </c>
      <c r="AK124" s="93">
        <v>0</v>
      </c>
      <c r="AL124" s="94">
        <v>0</v>
      </c>
      <c r="AM124" s="94">
        <v>0</v>
      </c>
      <c r="AN124" s="94" t="s">
        <v>779</v>
      </c>
      <c r="AO124" s="111">
        <v>15706.98</v>
      </c>
      <c r="AP124" s="112">
        <v>0</v>
      </c>
      <c r="AQ124" s="112">
        <v>0</v>
      </c>
      <c r="AR124" s="112">
        <v>0</v>
      </c>
      <c r="AS124" s="113">
        <v>0</v>
      </c>
      <c r="AT124" s="113">
        <v>0</v>
      </c>
      <c r="AU124" s="111">
        <v>0</v>
      </c>
      <c r="AV124" s="112">
        <v>0</v>
      </c>
      <c r="AW124" s="112">
        <v>0</v>
      </c>
      <c r="AX124" s="112">
        <v>0</v>
      </c>
      <c r="AY124" s="113">
        <v>0</v>
      </c>
      <c r="AZ124" s="113">
        <v>0</v>
      </c>
    </row>
    <row r="125" spans="1:52" x14ac:dyDescent="0.25">
      <c r="A125" s="101" t="s">
        <v>538</v>
      </c>
      <c r="B125" s="102" t="s">
        <v>539</v>
      </c>
      <c r="C125" s="102"/>
      <c r="D125" s="102" t="s">
        <v>1048</v>
      </c>
      <c r="E125" s="103">
        <v>4.9500000000000028</v>
      </c>
      <c r="F125" s="104">
        <v>500</v>
      </c>
      <c r="G125" s="105">
        <f t="shared" si="24"/>
        <v>250</v>
      </c>
      <c r="H125" s="105">
        <v>1268</v>
      </c>
      <c r="I125" s="106">
        <f t="shared" si="25"/>
        <v>0.19716088328075709</v>
      </c>
      <c r="J125" s="86">
        <v>186</v>
      </c>
      <c r="K125" s="87">
        <v>58</v>
      </c>
      <c r="L125" s="87">
        <v>127</v>
      </c>
      <c r="M125" s="87">
        <v>187</v>
      </c>
      <c r="N125" s="90">
        <v>27</v>
      </c>
      <c r="O125" s="90">
        <v>56</v>
      </c>
      <c r="P125" s="86">
        <f t="shared" si="43"/>
        <v>920.7000000000005</v>
      </c>
      <c r="Q125" s="87">
        <f t="shared" si="44"/>
        <v>287.10000000000014</v>
      </c>
      <c r="R125" s="87">
        <f t="shared" si="45"/>
        <v>628.65000000000032</v>
      </c>
      <c r="S125" s="88">
        <f t="shared" si="46"/>
        <v>925.65000000000055</v>
      </c>
      <c r="T125" s="89">
        <f t="shared" si="47"/>
        <v>133.65000000000009</v>
      </c>
      <c r="U125" s="89">
        <f t="shared" si="26"/>
        <v>277.20000000000016</v>
      </c>
      <c r="V125" s="86">
        <v>290</v>
      </c>
      <c r="W125" s="87">
        <v>305</v>
      </c>
      <c r="X125" s="87">
        <v>110</v>
      </c>
      <c r="Y125" s="87">
        <v>126</v>
      </c>
      <c r="Z125" s="90">
        <v>162</v>
      </c>
      <c r="AA125" s="90">
        <v>74</v>
      </c>
      <c r="AB125" s="91">
        <f t="shared" si="27"/>
        <v>0.22870662460567823</v>
      </c>
      <c r="AC125" s="91">
        <f t="shared" si="28"/>
        <v>0.24053627760252366</v>
      </c>
      <c r="AD125" s="91">
        <f t="shared" si="29"/>
        <v>8.6750788643533125E-2</v>
      </c>
      <c r="AE125" s="91">
        <f t="shared" si="30"/>
        <v>9.9369085173501584E-2</v>
      </c>
      <c r="AF125" s="91">
        <f t="shared" si="31"/>
        <v>0.12776025236593061</v>
      </c>
      <c r="AG125" s="91">
        <f t="shared" si="32"/>
        <v>5.8359621451104099E-2</v>
      </c>
      <c r="AH125" s="92">
        <v>1469.74</v>
      </c>
      <c r="AI125" s="93">
        <v>935.33999999999958</v>
      </c>
      <c r="AJ125" s="93">
        <v>935.33999999999969</v>
      </c>
      <c r="AK125" s="93">
        <v>304.03999999999996</v>
      </c>
      <c r="AL125" s="94">
        <v>452.39999999999901</v>
      </c>
      <c r="AM125" s="94">
        <v>322.26999999999902</v>
      </c>
      <c r="AN125" s="94" t="s">
        <v>780</v>
      </c>
      <c r="AO125" s="111">
        <v>13256.32</v>
      </c>
      <c r="AP125" s="112">
        <v>4194.5600000000004</v>
      </c>
      <c r="AQ125" s="112">
        <v>8844.2799999999988</v>
      </c>
      <c r="AR125" s="112">
        <v>12934.85</v>
      </c>
      <c r="AS125" s="113">
        <v>1855.44</v>
      </c>
      <c r="AT125" s="113">
        <v>3865.68</v>
      </c>
      <c r="AU125" s="111">
        <v>22227.479999999989</v>
      </c>
      <c r="AV125" s="112">
        <v>22782.689999999977</v>
      </c>
      <c r="AW125" s="112">
        <v>8097.5399999999809</v>
      </c>
      <c r="AX125" s="112">
        <v>9212.32</v>
      </c>
      <c r="AY125" s="113">
        <v>11967.28</v>
      </c>
      <c r="AZ125" s="113">
        <v>5409.51</v>
      </c>
    </row>
    <row r="126" spans="1:52" x14ac:dyDescent="0.25">
      <c r="A126" s="101" t="s">
        <v>49</v>
      </c>
      <c r="B126" s="102" t="s">
        <v>50</v>
      </c>
      <c r="C126" s="102"/>
      <c r="D126" s="102" t="s">
        <v>1048</v>
      </c>
      <c r="E126" s="103">
        <v>4.9400000000000004</v>
      </c>
      <c r="F126" s="104">
        <v>600</v>
      </c>
      <c r="G126" s="105">
        <f t="shared" si="24"/>
        <v>300</v>
      </c>
      <c r="H126" s="105">
        <v>197</v>
      </c>
      <c r="I126" s="106">
        <f t="shared" si="25"/>
        <v>1.5228426395939085</v>
      </c>
      <c r="J126" s="86">
        <v>106</v>
      </c>
      <c r="K126" s="87">
        <v>0</v>
      </c>
      <c r="L126" s="87">
        <v>91</v>
      </c>
      <c r="M126" s="87">
        <v>123</v>
      </c>
      <c r="N126" s="90"/>
      <c r="O126" s="90">
        <v>0</v>
      </c>
      <c r="P126" s="86">
        <f t="shared" si="43"/>
        <v>523.64</v>
      </c>
      <c r="Q126" s="87">
        <f t="shared" si="44"/>
        <v>0</v>
      </c>
      <c r="R126" s="87">
        <f t="shared" si="45"/>
        <v>449.54</v>
      </c>
      <c r="S126" s="88">
        <f t="shared" si="46"/>
        <v>607.62</v>
      </c>
      <c r="T126" s="89">
        <f t="shared" si="47"/>
        <v>0</v>
      </c>
      <c r="U126" s="89">
        <f t="shared" si="26"/>
        <v>0</v>
      </c>
      <c r="V126" s="86">
        <v>135</v>
      </c>
      <c r="W126" s="87">
        <v>136</v>
      </c>
      <c r="X126" s="87">
        <v>331</v>
      </c>
      <c r="Y126" s="87">
        <v>100</v>
      </c>
      <c r="Z126" s="90">
        <v>229</v>
      </c>
      <c r="AA126" s="90">
        <v>8</v>
      </c>
      <c r="AB126" s="91">
        <f t="shared" si="27"/>
        <v>0.68527918781725883</v>
      </c>
      <c r="AC126" s="91">
        <f t="shared" si="28"/>
        <v>0.69035532994923854</v>
      </c>
      <c r="AD126" s="91">
        <f t="shared" si="29"/>
        <v>1.6802030456852792</v>
      </c>
      <c r="AE126" s="91">
        <f t="shared" si="30"/>
        <v>0.50761421319796951</v>
      </c>
      <c r="AF126" s="91">
        <f t="shared" si="31"/>
        <v>1.1624365482233503</v>
      </c>
      <c r="AG126" s="91">
        <f t="shared" si="32"/>
        <v>4.060913705583756E-2</v>
      </c>
      <c r="AH126" s="92">
        <v>372.24</v>
      </c>
      <c r="AI126" s="93">
        <v>532.39999999999884</v>
      </c>
      <c r="AJ126" s="93">
        <v>532.39999999999884</v>
      </c>
      <c r="AK126" s="93">
        <v>1560.8499999999983</v>
      </c>
      <c r="AL126" s="94">
        <v>567.87</v>
      </c>
      <c r="AM126" s="94">
        <v>39.520000000000003</v>
      </c>
      <c r="AN126" s="94" t="s">
        <v>779</v>
      </c>
      <c r="AO126" s="111">
        <v>187.62</v>
      </c>
      <c r="AP126" s="112">
        <v>0</v>
      </c>
      <c r="AQ126" s="112">
        <v>161.98000000000002</v>
      </c>
      <c r="AR126" s="112">
        <v>217.70999999999998</v>
      </c>
      <c r="AS126" s="113">
        <v>0</v>
      </c>
      <c r="AT126" s="113">
        <v>0</v>
      </c>
      <c r="AU126" s="111">
        <v>615.9899999999999</v>
      </c>
      <c r="AV126" s="112">
        <v>888.4599999999989</v>
      </c>
      <c r="AW126" s="112">
        <v>2629.9799999999996</v>
      </c>
      <c r="AX126" s="112">
        <v>772.81</v>
      </c>
      <c r="AY126" s="113">
        <v>1552.03</v>
      </c>
      <c r="AZ126" s="113">
        <v>69.2</v>
      </c>
    </row>
    <row r="127" spans="1:52" x14ac:dyDescent="0.25">
      <c r="A127" s="101" t="s">
        <v>914</v>
      </c>
      <c r="B127" s="102" t="s">
        <v>59</v>
      </c>
      <c r="C127" s="102"/>
      <c r="D127" s="102" t="s">
        <v>1048</v>
      </c>
      <c r="E127" s="103">
        <v>4.8999999999999995</v>
      </c>
      <c r="F127" s="104">
        <v>5000</v>
      </c>
      <c r="G127" s="105">
        <f t="shared" si="24"/>
        <v>2500</v>
      </c>
      <c r="H127" s="105">
        <v>1107</v>
      </c>
      <c r="I127" s="106">
        <f t="shared" si="25"/>
        <v>2.2583559168925023</v>
      </c>
      <c r="J127" s="86">
        <v>3095</v>
      </c>
      <c r="K127" s="87">
        <v>2140</v>
      </c>
      <c r="L127" s="87">
        <v>4261</v>
      </c>
      <c r="M127" s="87">
        <v>2346</v>
      </c>
      <c r="N127" s="90">
        <v>407</v>
      </c>
      <c r="O127" s="90">
        <v>337</v>
      </c>
      <c r="P127" s="86">
        <f t="shared" si="43"/>
        <v>15165.499999999998</v>
      </c>
      <c r="Q127" s="87">
        <f t="shared" si="44"/>
        <v>10485.999999999998</v>
      </c>
      <c r="R127" s="87">
        <f t="shared" si="45"/>
        <v>20878.899999999998</v>
      </c>
      <c r="S127" s="88">
        <f t="shared" si="46"/>
        <v>11495.4</v>
      </c>
      <c r="T127" s="89">
        <f t="shared" si="47"/>
        <v>1994.2999999999997</v>
      </c>
      <c r="U127" s="89">
        <f t="shared" si="26"/>
        <v>1651.2999999999997</v>
      </c>
      <c r="V127" s="86">
        <v>1414</v>
      </c>
      <c r="W127" s="87">
        <v>2657</v>
      </c>
      <c r="X127" s="87">
        <v>2695</v>
      </c>
      <c r="Y127" s="87">
        <v>1199</v>
      </c>
      <c r="Z127" s="90">
        <v>5253</v>
      </c>
      <c r="AA127" s="90">
        <v>524</v>
      </c>
      <c r="AB127" s="91">
        <f t="shared" si="27"/>
        <v>1.2773261065943993</v>
      </c>
      <c r="AC127" s="91">
        <f t="shared" si="28"/>
        <v>2.4001806684733515</v>
      </c>
      <c r="AD127" s="91">
        <f t="shared" si="29"/>
        <v>2.4345076784101174</v>
      </c>
      <c r="AE127" s="91">
        <f t="shared" si="30"/>
        <v>1.0831074977416442</v>
      </c>
      <c r="AF127" s="91">
        <f t="shared" si="31"/>
        <v>4.7452574525745259</v>
      </c>
      <c r="AG127" s="91">
        <f t="shared" si="32"/>
        <v>0.47335140018066846</v>
      </c>
      <c r="AH127" s="92">
        <v>6358.2799999999988</v>
      </c>
      <c r="AI127" s="93">
        <v>11007.519999999975</v>
      </c>
      <c r="AJ127" s="93">
        <v>11007.519999999973</v>
      </c>
      <c r="AK127" s="93">
        <v>10364.239999999978</v>
      </c>
      <c r="AL127" s="94">
        <v>4436.0799999999799</v>
      </c>
      <c r="AM127" s="94">
        <v>1480.78999999999</v>
      </c>
      <c r="AN127" s="94" t="s">
        <v>779</v>
      </c>
      <c r="AO127" s="111">
        <v>13216.999999999996</v>
      </c>
      <c r="AP127" s="112">
        <v>9233.7200000000012</v>
      </c>
      <c r="AQ127" s="112">
        <v>18218.09</v>
      </c>
      <c r="AR127" s="112">
        <v>9958.2900000000009</v>
      </c>
      <c r="AS127" s="113">
        <v>1723.13</v>
      </c>
      <c r="AT127" s="113">
        <v>1414.4499999999998</v>
      </c>
      <c r="AU127" s="111">
        <v>0</v>
      </c>
      <c r="AV127" s="112">
        <v>0</v>
      </c>
      <c r="AW127" s="112">
        <v>0</v>
      </c>
      <c r="AX127" s="112">
        <v>0</v>
      </c>
      <c r="AY127" s="113">
        <v>0</v>
      </c>
      <c r="AZ127" s="113">
        <v>0</v>
      </c>
    </row>
    <row r="128" spans="1:52" x14ac:dyDescent="0.25">
      <c r="A128" s="101" t="s">
        <v>481</v>
      </c>
      <c r="B128" s="102" t="s">
        <v>482</v>
      </c>
      <c r="C128" s="102"/>
      <c r="D128" s="102" t="s">
        <v>1048</v>
      </c>
      <c r="E128" s="103">
        <v>4.8900000000000006</v>
      </c>
      <c r="F128" s="104">
        <v>800</v>
      </c>
      <c r="G128" s="105">
        <f t="shared" si="24"/>
        <v>400</v>
      </c>
      <c r="H128" s="105">
        <v>2613</v>
      </c>
      <c r="I128" s="106">
        <f t="shared" si="25"/>
        <v>0.15308075009567546</v>
      </c>
      <c r="J128" s="86">
        <v>0</v>
      </c>
      <c r="K128" s="87">
        <v>60.25</v>
      </c>
      <c r="L128" s="87">
        <v>242.75</v>
      </c>
      <c r="M128" s="87">
        <v>1041.5</v>
      </c>
      <c r="N128" s="90">
        <v>27.25</v>
      </c>
      <c r="O128" s="90">
        <v>512</v>
      </c>
      <c r="P128" s="86">
        <f t="shared" si="43"/>
        <v>0</v>
      </c>
      <c r="Q128" s="87">
        <f t="shared" si="44"/>
        <v>294.62250000000006</v>
      </c>
      <c r="R128" s="87">
        <f t="shared" si="45"/>
        <v>1187.0475000000001</v>
      </c>
      <c r="S128" s="88">
        <f t="shared" si="46"/>
        <v>5092.9350000000004</v>
      </c>
      <c r="T128" s="89">
        <f t="shared" si="47"/>
        <v>133.25250000000003</v>
      </c>
      <c r="U128" s="89">
        <f t="shared" si="26"/>
        <v>2503.6800000000003</v>
      </c>
      <c r="V128" s="86">
        <v>224</v>
      </c>
      <c r="W128" s="87">
        <v>338</v>
      </c>
      <c r="X128" s="87">
        <v>55</v>
      </c>
      <c r="Y128" s="87">
        <v>223</v>
      </c>
      <c r="Z128" s="90">
        <v>225</v>
      </c>
      <c r="AA128" s="90">
        <v>606</v>
      </c>
      <c r="AB128" s="91">
        <f t="shared" si="27"/>
        <v>8.5725220053578258E-2</v>
      </c>
      <c r="AC128" s="91">
        <f t="shared" si="28"/>
        <v>0.12935323383084577</v>
      </c>
      <c r="AD128" s="91">
        <f t="shared" si="29"/>
        <v>2.1048603138155379E-2</v>
      </c>
      <c r="AE128" s="91">
        <f t="shared" si="30"/>
        <v>8.5342518178339072E-2</v>
      </c>
      <c r="AF128" s="91">
        <f t="shared" si="31"/>
        <v>8.6107921928817457E-2</v>
      </c>
      <c r="AG128" s="91">
        <f t="shared" si="32"/>
        <v>0.23191733639494833</v>
      </c>
      <c r="AH128" s="92">
        <v>1359.660000000001</v>
      </c>
      <c r="AI128" s="93">
        <v>2125.6199999999981</v>
      </c>
      <c r="AJ128" s="93">
        <v>2125.6199999999981</v>
      </c>
      <c r="AK128" s="93">
        <v>908.89</v>
      </c>
      <c r="AL128" s="94">
        <v>3677.27</v>
      </c>
      <c r="AM128" s="94">
        <v>4924.5999999999904</v>
      </c>
      <c r="AN128" s="94" t="s">
        <v>780</v>
      </c>
      <c r="AO128" s="111">
        <v>0</v>
      </c>
      <c r="AP128" s="112">
        <v>3229.5699999999997</v>
      </c>
      <c r="AQ128" s="112">
        <v>12965.029999999999</v>
      </c>
      <c r="AR128" s="112">
        <v>54871.170000000006</v>
      </c>
      <c r="AS128" s="113">
        <v>1456.98</v>
      </c>
      <c r="AT128" s="113">
        <v>24293.82</v>
      </c>
      <c r="AU128" s="111">
        <v>16444.339999999989</v>
      </c>
      <c r="AV128" s="112">
        <v>24725.009999999958</v>
      </c>
      <c r="AW128" s="112">
        <v>3941.47999999999</v>
      </c>
      <c r="AX128" s="112">
        <v>15605.97</v>
      </c>
      <c r="AY128" s="113">
        <v>14361.879999999899</v>
      </c>
      <c r="AZ128" s="113">
        <v>36619.659999999902</v>
      </c>
    </row>
    <row r="129" spans="1:52" x14ac:dyDescent="0.25">
      <c r="A129" s="101" t="s">
        <v>915</v>
      </c>
      <c r="B129" s="102" t="s">
        <v>180</v>
      </c>
      <c r="C129" s="102"/>
      <c r="D129" s="102" t="s">
        <v>1048</v>
      </c>
      <c r="E129" s="103">
        <v>4.879999999999999</v>
      </c>
      <c r="F129" s="104">
        <v>400</v>
      </c>
      <c r="G129" s="105">
        <f t="shared" si="24"/>
        <v>200</v>
      </c>
      <c r="H129" s="105">
        <v>600</v>
      </c>
      <c r="I129" s="106">
        <f t="shared" si="25"/>
        <v>0.33333333333333331</v>
      </c>
      <c r="J129" s="86">
        <v>200</v>
      </c>
      <c r="K129" s="87">
        <v>74</v>
      </c>
      <c r="L129" s="87">
        <v>122</v>
      </c>
      <c r="M129" s="87">
        <v>0</v>
      </c>
      <c r="N129" s="90">
        <v>370</v>
      </c>
      <c r="O129" s="90">
        <v>0</v>
      </c>
      <c r="P129" s="86">
        <f t="shared" si="43"/>
        <v>975.99999999999977</v>
      </c>
      <c r="Q129" s="87">
        <f t="shared" si="44"/>
        <v>361.11999999999995</v>
      </c>
      <c r="R129" s="87">
        <f t="shared" si="45"/>
        <v>595.3599999999999</v>
      </c>
      <c r="S129" s="88">
        <f t="shared" si="46"/>
        <v>0</v>
      </c>
      <c r="T129" s="89">
        <f t="shared" si="47"/>
        <v>1805.5999999999997</v>
      </c>
      <c r="U129" s="89">
        <f t="shared" si="26"/>
        <v>0</v>
      </c>
      <c r="V129" s="86">
        <v>108</v>
      </c>
      <c r="W129" s="87">
        <v>216</v>
      </c>
      <c r="X129" s="87">
        <v>168</v>
      </c>
      <c r="Y129" s="87">
        <v>179</v>
      </c>
      <c r="Z129" s="90">
        <v>194</v>
      </c>
      <c r="AA129" s="90">
        <v>202</v>
      </c>
      <c r="AB129" s="91">
        <f t="shared" si="27"/>
        <v>0.18</v>
      </c>
      <c r="AC129" s="91">
        <f t="shared" si="28"/>
        <v>0.36</v>
      </c>
      <c r="AD129" s="91">
        <f t="shared" si="29"/>
        <v>0.28000000000000003</v>
      </c>
      <c r="AE129" s="91">
        <f t="shared" si="30"/>
        <v>0.29833333333333334</v>
      </c>
      <c r="AF129" s="91">
        <f t="shared" si="31"/>
        <v>0.32333333333333331</v>
      </c>
      <c r="AG129" s="91">
        <f t="shared" si="32"/>
        <v>0.33666666666666667</v>
      </c>
      <c r="AH129" s="92">
        <v>198.59</v>
      </c>
      <c r="AI129" s="93">
        <v>546.95999999999856</v>
      </c>
      <c r="AJ129" s="93">
        <v>546.95999999999856</v>
      </c>
      <c r="AK129" s="93">
        <v>1168.9899999999989</v>
      </c>
      <c r="AL129" s="94">
        <v>994.46</v>
      </c>
      <c r="AM129" s="94">
        <v>1317.8299999999899</v>
      </c>
      <c r="AN129" s="94" t="s">
        <v>779</v>
      </c>
      <c r="AO129" s="111">
        <v>1608</v>
      </c>
      <c r="AP129" s="112">
        <v>589.04</v>
      </c>
      <c r="AQ129" s="112">
        <v>980.88</v>
      </c>
      <c r="AR129" s="112">
        <v>0</v>
      </c>
      <c r="AS129" s="113">
        <v>3293</v>
      </c>
      <c r="AT129" s="113">
        <v>0</v>
      </c>
      <c r="AU129" s="111">
        <v>0</v>
      </c>
      <c r="AV129" s="112">
        <v>0</v>
      </c>
      <c r="AW129" s="112">
        <v>0</v>
      </c>
      <c r="AX129" s="112">
        <v>0</v>
      </c>
      <c r="AY129" s="113">
        <v>0</v>
      </c>
      <c r="AZ129" s="113">
        <v>0</v>
      </c>
    </row>
    <row r="130" spans="1:52" x14ac:dyDescent="0.25">
      <c r="A130" s="101" t="s">
        <v>916</v>
      </c>
      <c r="B130" s="102" t="s">
        <v>245</v>
      </c>
      <c r="C130" s="102"/>
      <c r="D130" s="102" t="s">
        <v>1048</v>
      </c>
      <c r="E130" s="103">
        <v>4.870000000000001</v>
      </c>
      <c r="F130" s="104">
        <v>600</v>
      </c>
      <c r="G130" s="105">
        <f t="shared" ref="G130:G193" si="48">F130/2</f>
        <v>300</v>
      </c>
      <c r="H130" s="105">
        <v>1160</v>
      </c>
      <c r="I130" s="106">
        <f t="shared" ref="I130:I193" si="49">+G130/H130</f>
        <v>0.25862068965517243</v>
      </c>
      <c r="J130" s="86">
        <v>204</v>
      </c>
      <c r="K130" s="87">
        <v>382</v>
      </c>
      <c r="L130" s="87">
        <v>157</v>
      </c>
      <c r="M130" s="87">
        <v>832</v>
      </c>
      <c r="N130" s="90">
        <v>178</v>
      </c>
      <c r="O130" s="90">
        <v>343</v>
      </c>
      <c r="P130" s="86">
        <f t="shared" si="43"/>
        <v>993.48000000000025</v>
      </c>
      <c r="Q130" s="87">
        <f t="shared" si="44"/>
        <v>1860.3400000000004</v>
      </c>
      <c r="R130" s="87">
        <f t="shared" si="45"/>
        <v>764.59000000000015</v>
      </c>
      <c r="S130" s="88">
        <f t="shared" si="46"/>
        <v>4051.8400000000011</v>
      </c>
      <c r="T130" s="89">
        <f t="shared" si="47"/>
        <v>866.86000000000013</v>
      </c>
      <c r="U130" s="89">
        <f t="shared" ref="U130:U193" si="50">+O130*E130</f>
        <v>1670.4100000000003</v>
      </c>
      <c r="V130" s="86">
        <v>56</v>
      </c>
      <c r="W130" s="87">
        <v>401</v>
      </c>
      <c r="X130" s="87">
        <v>377</v>
      </c>
      <c r="Y130" s="87">
        <v>58</v>
      </c>
      <c r="Z130" s="90">
        <v>744</v>
      </c>
      <c r="AA130" s="90">
        <v>392</v>
      </c>
      <c r="AB130" s="91">
        <f t="shared" ref="AB130:AB193" si="51">+IFERROR(V130/H130,"")</f>
        <v>4.8275862068965517E-2</v>
      </c>
      <c r="AC130" s="91">
        <f t="shared" ref="AC130:AC193" si="52">+IFERROR(W130/H130,"")</f>
        <v>0.34568965517241379</v>
      </c>
      <c r="AD130" s="91">
        <f t="shared" ref="AD130:AD193" si="53">+IFERROR(X130/H130,"")</f>
        <v>0.32500000000000001</v>
      </c>
      <c r="AE130" s="91">
        <f t="shared" ref="AE130:AE193" si="54">+IFERROR(Y130/H130,"")</f>
        <v>0.05</v>
      </c>
      <c r="AF130" s="91">
        <f t="shared" ref="AF130:AF193" si="55">+IFERROR(Z130/H130,"")</f>
        <v>0.64137931034482754</v>
      </c>
      <c r="AG130" s="91">
        <f t="shared" ref="AG130:AG193" si="56">+IFERROR(AA130/H130,"")</f>
        <v>0.33793103448275863</v>
      </c>
      <c r="AH130" s="92">
        <v>190.32</v>
      </c>
      <c r="AI130" s="93">
        <v>1028.5099999999991</v>
      </c>
      <c r="AJ130" s="93">
        <v>1028.5099999999991</v>
      </c>
      <c r="AK130" s="93">
        <v>1137.7199999999982</v>
      </c>
      <c r="AL130" s="94">
        <v>155.44</v>
      </c>
      <c r="AM130" s="94">
        <v>2346.2199999999998</v>
      </c>
      <c r="AN130" s="94" t="s">
        <v>779</v>
      </c>
      <c r="AO130" s="111">
        <v>3639.9700000000003</v>
      </c>
      <c r="AP130" s="112">
        <v>6680.1600000000008</v>
      </c>
      <c r="AQ130" s="112">
        <v>2798.06</v>
      </c>
      <c r="AR130" s="112">
        <v>11671.539999999999</v>
      </c>
      <c r="AS130" s="113">
        <v>2476.16</v>
      </c>
      <c r="AT130" s="113">
        <v>5434.68</v>
      </c>
      <c r="AU130" s="111">
        <v>0</v>
      </c>
      <c r="AV130" s="112">
        <v>0</v>
      </c>
      <c r="AW130" s="112">
        <v>0</v>
      </c>
      <c r="AX130" s="112">
        <v>0</v>
      </c>
      <c r="AY130" s="113">
        <v>0</v>
      </c>
      <c r="AZ130" s="113">
        <v>0</v>
      </c>
    </row>
    <row r="131" spans="1:52" x14ac:dyDescent="0.25">
      <c r="A131" s="101" t="s">
        <v>734</v>
      </c>
      <c r="B131" s="102" t="s">
        <v>735</v>
      </c>
      <c r="C131" s="102"/>
      <c r="D131" s="102" t="s">
        <v>1048</v>
      </c>
      <c r="E131" s="103">
        <v>4.82</v>
      </c>
      <c r="F131" s="104">
        <v>100</v>
      </c>
      <c r="G131" s="105">
        <f t="shared" si="48"/>
        <v>50</v>
      </c>
      <c r="H131" s="105">
        <v>103</v>
      </c>
      <c r="I131" s="106">
        <f t="shared" si="49"/>
        <v>0.4854368932038835</v>
      </c>
      <c r="J131" s="86">
        <v>95</v>
      </c>
      <c r="K131" s="87">
        <v>100</v>
      </c>
      <c r="L131" s="87">
        <v>0</v>
      </c>
      <c r="M131" s="87">
        <v>100</v>
      </c>
      <c r="N131" s="90">
        <v>100</v>
      </c>
      <c r="O131" s="90">
        <v>0</v>
      </c>
      <c r="P131" s="86">
        <f t="shared" si="43"/>
        <v>457.90000000000003</v>
      </c>
      <c r="Q131" s="87">
        <f t="shared" si="44"/>
        <v>482</v>
      </c>
      <c r="R131" s="87">
        <f t="shared" si="45"/>
        <v>0</v>
      </c>
      <c r="S131" s="88">
        <f t="shared" si="46"/>
        <v>482</v>
      </c>
      <c r="T131" s="89">
        <f t="shared" si="47"/>
        <v>482</v>
      </c>
      <c r="U131" s="89">
        <f t="shared" si="50"/>
        <v>0</v>
      </c>
      <c r="V131" s="86">
        <v>18</v>
      </c>
      <c r="W131" s="87">
        <v>2</v>
      </c>
      <c r="X131" s="87">
        <v>17</v>
      </c>
      <c r="Y131" s="87">
        <v>17</v>
      </c>
      <c r="Z131" s="90">
        <v>14</v>
      </c>
      <c r="AA131" s="90">
        <v>27</v>
      </c>
      <c r="AB131" s="91">
        <f t="shared" si="51"/>
        <v>0.17475728155339806</v>
      </c>
      <c r="AC131" s="91">
        <f t="shared" si="52"/>
        <v>1.9417475728155338E-2</v>
      </c>
      <c r="AD131" s="91">
        <f t="shared" si="53"/>
        <v>0.1650485436893204</v>
      </c>
      <c r="AE131" s="91">
        <f t="shared" si="54"/>
        <v>0.1650485436893204</v>
      </c>
      <c r="AF131" s="91">
        <f t="shared" si="55"/>
        <v>0.13592233009708737</v>
      </c>
      <c r="AG131" s="91">
        <f t="shared" si="56"/>
        <v>0.26213592233009708</v>
      </c>
      <c r="AH131" s="92">
        <v>86.9</v>
      </c>
      <c r="AI131" s="93">
        <v>9.2799999999999994</v>
      </c>
      <c r="AJ131" s="93">
        <v>9.2799999999999994</v>
      </c>
      <c r="AK131" s="93">
        <v>97.18</v>
      </c>
      <c r="AL131" s="94">
        <v>80.91</v>
      </c>
      <c r="AM131" s="94">
        <v>28.439999999999898</v>
      </c>
      <c r="AN131" s="94" t="s">
        <v>780</v>
      </c>
      <c r="AO131" s="111">
        <v>1613.9</v>
      </c>
      <c r="AP131" s="112">
        <v>1714</v>
      </c>
      <c r="AQ131" s="112">
        <v>0</v>
      </c>
      <c r="AR131" s="112">
        <v>1810</v>
      </c>
      <c r="AS131" s="113">
        <v>0</v>
      </c>
      <c r="AT131" s="113">
        <v>0</v>
      </c>
      <c r="AU131" s="111">
        <v>393.98</v>
      </c>
      <c r="AV131" s="112">
        <v>43.4</v>
      </c>
      <c r="AW131" s="112">
        <v>389.23999999999995</v>
      </c>
      <c r="AX131" s="112">
        <v>372.97</v>
      </c>
      <c r="AY131" s="113">
        <v>349.9</v>
      </c>
      <c r="AZ131" s="113">
        <v>502.38</v>
      </c>
    </row>
    <row r="132" spans="1:52" x14ac:dyDescent="0.25">
      <c r="A132" s="101" t="s">
        <v>126</v>
      </c>
      <c r="B132" s="102" t="s">
        <v>127</v>
      </c>
      <c r="C132" s="102"/>
      <c r="D132" s="102" t="s">
        <v>1048</v>
      </c>
      <c r="E132" s="103">
        <v>4.7899999999999991</v>
      </c>
      <c r="F132" s="104">
        <v>1000</v>
      </c>
      <c r="G132" s="105">
        <f t="shared" si="48"/>
        <v>500</v>
      </c>
      <c r="H132" s="105">
        <v>468</v>
      </c>
      <c r="I132" s="106">
        <f t="shared" si="49"/>
        <v>1.0683760683760684</v>
      </c>
      <c r="J132" s="86">
        <v>264</v>
      </c>
      <c r="K132" s="87">
        <v>59</v>
      </c>
      <c r="L132" s="87">
        <v>178</v>
      </c>
      <c r="M132" s="87">
        <v>50</v>
      </c>
      <c r="N132" s="90">
        <v>50</v>
      </c>
      <c r="O132" s="90">
        <v>0</v>
      </c>
      <c r="P132" s="86">
        <f t="shared" si="43"/>
        <v>1264.5599999999997</v>
      </c>
      <c r="Q132" s="87">
        <f t="shared" si="44"/>
        <v>282.60999999999996</v>
      </c>
      <c r="R132" s="87">
        <f t="shared" si="45"/>
        <v>852.61999999999989</v>
      </c>
      <c r="S132" s="88">
        <f t="shared" si="46"/>
        <v>239.49999999999994</v>
      </c>
      <c r="T132" s="89">
        <f t="shared" si="47"/>
        <v>239.49999999999994</v>
      </c>
      <c r="U132" s="89">
        <f t="shared" si="50"/>
        <v>0</v>
      </c>
      <c r="V132" s="86">
        <v>545</v>
      </c>
      <c r="W132" s="87">
        <v>414</v>
      </c>
      <c r="X132" s="87">
        <v>330</v>
      </c>
      <c r="Y132" s="87">
        <v>444</v>
      </c>
      <c r="Z132" s="90">
        <v>307</v>
      </c>
      <c r="AA132" s="90">
        <v>405</v>
      </c>
      <c r="AB132" s="91">
        <f t="shared" si="51"/>
        <v>1.1645299145299146</v>
      </c>
      <c r="AC132" s="91">
        <f t="shared" si="52"/>
        <v>0.88461538461538458</v>
      </c>
      <c r="AD132" s="91">
        <f t="shared" si="53"/>
        <v>0.70512820512820518</v>
      </c>
      <c r="AE132" s="91">
        <f t="shared" si="54"/>
        <v>0.94871794871794868</v>
      </c>
      <c r="AF132" s="91">
        <f t="shared" si="55"/>
        <v>0.65598290598290598</v>
      </c>
      <c r="AG132" s="91">
        <f t="shared" si="56"/>
        <v>0.86538461538461542</v>
      </c>
      <c r="AH132" s="92">
        <v>1005.77</v>
      </c>
      <c r="AI132" s="93">
        <v>1460.6299999999981</v>
      </c>
      <c r="AJ132" s="93">
        <v>1460.6299999999978</v>
      </c>
      <c r="AK132" s="93">
        <v>1115.7399999999982</v>
      </c>
      <c r="AL132" s="94">
        <v>1243.6699999999901</v>
      </c>
      <c r="AM132" s="94">
        <v>1559.76999999999</v>
      </c>
      <c r="AN132" s="94" t="s">
        <v>779</v>
      </c>
      <c r="AO132" s="111">
        <v>2006</v>
      </c>
      <c r="AP132" s="112">
        <v>467.28</v>
      </c>
      <c r="AQ132" s="112">
        <v>1454.58</v>
      </c>
      <c r="AR132" s="112">
        <v>354</v>
      </c>
      <c r="AS132" s="113">
        <v>374.5</v>
      </c>
      <c r="AT132" s="113">
        <v>0</v>
      </c>
      <c r="AU132" s="111">
        <v>5169.3499999999995</v>
      </c>
      <c r="AV132" s="112">
        <v>4614.2199999999903</v>
      </c>
      <c r="AW132" s="112">
        <v>3958.2699999999918</v>
      </c>
      <c r="AX132" s="112">
        <v>5322.05</v>
      </c>
      <c r="AY132" s="113">
        <v>4177.8399999999901</v>
      </c>
      <c r="AZ132" s="113">
        <v>5077.7999999999902</v>
      </c>
    </row>
    <row r="133" spans="1:52" x14ac:dyDescent="0.25">
      <c r="A133" s="101" t="s">
        <v>917</v>
      </c>
      <c r="B133" s="102" t="s">
        <v>154</v>
      </c>
      <c r="C133" s="102"/>
      <c r="D133" s="102" t="s">
        <v>1048</v>
      </c>
      <c r="E133" s="103">
        <v>4.7300000000000004</v>
      </c>
      <c r="F133" s="104">
        <v>160</v>
      </c>
      <c r="G133" s="105">
        <f t="shared" si="48"/>
        <v>80</v>
      </c>
      <c r="H133" s="105">
        <v>111</v>
      </c>
      <c r="I133" s="106">
        <f t="shared" si="49"/>
        <v>0.72072072072072069</v>
      </c>
      <c r="J133" s="86">
        <v>0</v>
      </c>
      <c r="K133" s="87">
        <v>200</v>
      </c>
      <c r="L133" s="87">
        <v>200</v>
      </c>
      <c r="M133" s="87">
        <v>0</v>
      </c>
      <c r="N133" s="90"/>
      <c r="O133" s="90">
        <v>0</v>
      </c>
      <c r="P133" s="86">
        <f t="shared" si="43"/>
        <v>0</v>
      </c>
      <c r="Q133" s="87">
        <f t="shared" si="44"/>
        <v>946.00000000000011</v>
      </c>
      <c r="R133" s="87">
        <f t="shared" si="45"/>
        <v>946.00000000000011</v>
      </c>
      <c r="S133" s="88">
        <f t="shared" si="46"/>
        <v>0</v>
      </c>
      <c r="T133" s="89">
        <f t="shared" si="47"/>
        <v>0</v>
      </c>
      <c r="U133" s="89">
        <f t="shared" si="50"/>
        <v>0</v>
      </c>
      <c r="V133" s="86">
        <v>0</v>
      </c>
      <c r="W133" s="87">
        <v>1</v>
      </c>
      <c r="X133" s="87">
        <v>0</v>
      </c>
      <c r="Y133" s="87">
        <v>0</v>
      </c>
      <c r="Z133" s="90">
        <v>25</v>
      </c>
      <c r="AA133" s="90">
        <v>67</v>
      </c>
      <c r="AB133" s="91">
        <f t="shared" si="51"/>
        <v>0</v>
      </c>
      <c r="AC133" s="91">
        <f t="shared" si="52"/>
        <v>9.0090090090090089E-3</v>
      </c>
      <c r="AD133" s="91">
        <f t="shared" si="53"/>
        <v>0</v>
      </c>
      <c r="AE133" s="91">
        <f t="shared" si="54"/>
        <v>0</v>
      </c>
      <c r="AF133" s="91">
        <f t="shared" si="55"/>
        <v>0.22522522522522523</v>
      </c>
      <c r="AG133" s="91">
        <f t="shared" si="56"/>
        <v>0.60360360360360366</v>
      </c>
      <c r="AH133" s="92">
        <v>0</v>
      </c>
      <c r="AI133" s="93">
        <v>26.09</v>
      </c>
      <c r="AJ133" s="93">
        <v>26.09</v>
      </c>
      <c r="AK133" s="93">
        <v>0</v>
      </c>
      <c r="AL133" s="94">
        <v>118.25000000000001</v>
      </c>
      <c r="AM133" s="94">
        <v>371.3</v>
      </c>
      <c r="AN133" s="94" t="s">
        <v>779</v>
      </c>
      <c r="AO133" s="111">
        <v>0</v>
      </c>
      <c r="AP133" s="112">
        <v>1895</v>
      </c>
      <c r="AQ133" s="112">
        <v>1770</v>
      </c>
      <c r="AR133" s="112">
        <v>0</v>
      </c>
      <c r="AS133" s="113">
        <v>0</v>
      </c>
      <c r="AT133" s="113">
        <v>0</v>
      </c>
      <c r="AU133" s="111">
        <v>0</v>
      </c>
      <c r="AV133" s="112">
        <v>0</v>
      </c>
      <c r="AW133" s="112">
        <v>0</v>
      </c>
      <c r="AX133" s="112">
        <v>0</v>
      </c>
      <c r="AY133" s="113">
        <v>0</v>
      </c>
      <c r="AZ133" s="113">
        <v>0</v>
      </c>
    </row>
    <row r="134" spans="1:52" x14ac:dyDescent="0.25">
      <c r="A134" s="101" t="s">
        <v>918</v>
      </c>
      <c r="B134" s="102" t="s">
        <v>292</v>
      </c>
      <c r="C134" s="102"/>
      <c r="D134" s="102" t="s">
        <v>1048</v>
      </c>
      <c r="E134" s="103">
        <v>4.6700000000000017</v>
      </c>
      <c r="F134" s="104">
        <v>3000</v>
      </c>
      <c r="G134" s="105">
        <f t="shared" si="48"/>
        <v>1500</v>
      </c>
      <c r="H134" s="105">
        <v>6561</v>
      </c>
      <c r="I134" s="106">
        <f t="shared" si="49"/>
        <v>0.22862368541380887</v>
      </c>
      <c r="J134" s="86">
        <v>419</v>
      </c>
      <c r="K134" s="87">
        <v>382</v>
      </c>
      <c r="L134" s="87">
        <v>650</v>
      </c>
      <c r="M134" s="87">
        <v>81</v>
      </c>
      <c r="N134" s="90"/>
      <c r="O134" s="90">
        <v>310</v>
      </c>
      <c r="P134" s="86">
        <f t="shared" si="43"/>
        <v>1956.7300000000007</v>
      </c>
      <c r="Q134" s="87">
        <f t="shared" si="44"/>
        <v>1783.9400000000007</v>
      </c>
      <c r="R134" s="87">
        <f t="shared" si="45"/>
        <v>3035.5000000000009</v>
      </c>
      <c r="S134" s="88">
        <f t="shared" si="46"/>
        <v>378.27000000000015</v>
      </c>
      <c r="T134" s="89">
        <f t="shared" si="47"/>
        <v>0</v>
      </c>
      <c r="U134" s="89">
        <f t="shared" si="50"/>
        <v>1447.7000000000005</v>
      </c>
      <c r="V134" s="86">
        <v>638</v>
      </c>
      <c r="W134" s="87">
        <v>310</v>
      </c>
      <c r="X134" s="87">
        <v>107</v>
      </c>
      <c r="Y134" s="87">
        <v>211</v>
      </c>
      <c r="Z134" s="90">
        <v>505</v>
      </c>
      <c r="AA134" s="90">
        <v>567</v>
      </c>
      <c r="AB134" s="91">
        <f t="shared" si="51"/>
        <v>9.72412741960067E-2</v>
      </c>
      <c r="AC134" s="91">
        <f t="shared" si="52"/>
        <v>4.7248894985520498E-2</v>
      </c>
      <c r="AD134" s="91">
        <f t="shared" si="53"/>
        <v>1.6308489559518365E-2</v>
      </c>
      <c r="AE134" s="91">
        <f t="shared" si="54"/>
        <v>3.2159731748209117E-2</v>
      </c>
      <c r="AF134" s="91">
        <f t="shared" si="55"/>
        <v>7.6969974089315649E-2</v>
      </c>
      <c r="AG134" s="91">
        <f t="shared" si="56"/>
        <v>8.6419753086419748E-2</v>
      </c>
      <c r="AH134" s="92">
        <v>3318.4199999999992</v>
      </c>
      <c r="AI134" s="93">
        <v>2678.1599999999939</v>
      </c>
      <c r="AJ134" s="93">
        <v>2678.1599999999944</v>
      </c>
      <c r="AK134" s="93">
        <v>1001.549999999997</v>
      </c>
      <c r="AL134" s="94">
        <v>2072.6399999999899</v>
      </c>
      <c r="AM134" s="94">
        <v>2752.26</v>
      </c>
      <c r="AN134" s="94" t="s">
        <v>779</v>
      </c>
      <c r="AO134" s="111">
        <v>7568.52</v>
      </c>
      <c r="AP134" s="112">
        <v>6812.6</v>
      </c>
      <c r="AQ134" s="112">
        <v>11685.119999999999</v>
      </c>
      <c r="AR134" s="112">
        <v>1477.3400000000001</v>
      </c>
      <c r="AS134" s="113">
        <v>0</v>
      </c>
      <c r="AT134" s="113">
        <v>6017</v>
      </c>
      <c r="AU134" s="111">
        <v>0</v>
      </c>
      <c r="AV134" s="112">
        <v>0</v>
      </c>
      <c r="AW134" s="112">
        <v>0</v>
      </c>
      <c r="AX134" s="112">
        <v>0</v>
      </c>
      <c r="AY134" s="113">
        <v>0</v>
      </c>
      <c r="AZ134" s="113">
        <v>0</v>
      </c>
    </row>
    <row r="135" spans="1:52" x14ac:dyDescent="0.25">
      <c r="A135" s="101" t="s">
        <v>345</v>
      </c>
      <c r="B135" s="102" t="s">
        <v>346</v>
      </c>
      <c r="C135" s="102"/>
      <c r="D135" s="102" t="s">
        <v>1049</v>
      </c>
      <c r="E135" s="103">
        <v>4.59</v>
      </c>
      <c r="F135" s="104">
        <v>15000</v>
      </c>
      <c r="G135" s="105">
        <f t="shared" si="48"/>
        <v>7500</v>
      </c>
      <c r="H135" s="105">
        <v>29334</v>
      </c>
      <c r="I135" s="106">
        <f t="shared" si="49"/>
        <v>0.25567600736346902</v>
      </c>
      <c r="J135" s="86">
        <v>0</v>
      </c>
      <c r="K135" s="87">
        <v>0</v>
      </c>
      <c r="L135" s="87">
        <v>0</v>
      </c>
      <c r="M135" s="87">
        <v>293</v>
      </c>
      <c r="N135" s="90">
        <v>539</v>
      </c>
      <c r="O135" s="90">
        <v>1203</v>
      </c>
      <c r="P135" s="86">
        <f t="shared" si="43"/>
        <v>0</v>
      </c>
      <c r="Q135" s="87">
        <f t="shared" si="44"/>
        <v>0</v>
      </c>
      <c r="R135" s="87">
        <f t="shared" si="45"/>
        <v>0</v>
      </c>
      <c r="S135" s="88">
        <f t="shared" si="46"/>
        <v>1344.87</v>
      </c>
      <c r="T135" s="89">
        <f t="shared" si="47"/>
        <v>2474.0099999999998</v>
      </c>
      <c r="U135" s="89">
        <f t="shared" si="50"/>
        <v>5521.7699999999995</v>
      </c>
      <c r="V135" s="86">
        <v>0</v>
      </c>
      <c r="W135" s="87">
        <v>0</v>
      </c>
      <c r="X135" s="87">
        <v>0</v>
      </c>
      <c r="Y135" s="87">
        <v>0</v>
      </c>
      <c r="Z135" s="90">
        <v>0</v>
      </c>
      <c r="AA135" s="90">
        <v>1235</v>
      </c>
      <c r="AB135" s="91">
        <f t="shared" si="51"/>
        <v>0</v>
      </c>
      <c r="AC135" s="91">
        <f t="shared" si="52"/>
        <v>0</v>
      </c>
      <c r="AD135" s="91">
        <f t="shared" si="53"/>
        <v>0</v>
      </c>
      <c r="AE135" s="91">
        <f t="shared" si="54"/>
        <v>0</v>
      </c>
      <c r="AF135" s="91">
        <f t="shared" si="55"/>
        <v>0</v>
      </c>
      <c r="AG135" s="91">
        <f t="shared" si="56"/>
        <v>4.2101315879184566E-2</v>
      </c>
      <c r="AH135" s="92">
        <v>0</v>
      </c>
      <c r="AI135" s="93">
        <v>0</v>
      </c>
      <c r="AJ135" s="93">
        <v>0</v>
      </c>
      <c r="AK135" s="93">
        <v>0</v>
      </c>
      <c r="AL135" s="94">
        <v>0</v>
      </c>
      <c r="AM135" s="94">
        <v>5671.3099999999904</v>
      </c>
      <c r="AN135" s="94" t="s">
        <v>779</v>
      </c>
      <c r="AO135" s="111">
        <v>0</v>
      </c>
      <c r="AP135" s="112">
        <v>0</v>
      </c>
      <c r="AQ135" s="112">
        <v>0</v>
      </c>
      <c r="AR135" s="112">
        <v>6844.01</v>
      </c>
      <c r="AS135" s="113">
        <v>12932.61</v>
      </c>
      <c r="AT135" s="113">
        <v>28436.78</v>
      </c>
      <c r="AU135" s="111">
        <v>0</v>
      </c>
      <c r="AV135" s="112">
        <v>0</v>
      </c>
      <c r="AW135" s="112">
        <v>0</v>
      </c>
      <c r="AX135" s="112">
        <v>0</v>
      </c>
      <c r="AY135" s="113">
        <v>0</v>
      </c>
      <c r="AZ135" s="113">
        <v>34818.75</v>
      </c>
    </row>
    <row r="136" spans="1:52" x14ac:dyDescent="0.25">
      <c r="A136" s="101" t="s">
        <v>558</v>
      </c>
      <c r="B136" s="102" t="s">
        <v>559</v>
      </c>
      <c r="C136" s="102"/>
      <c r="D136" s="102" t="s">
        <v>1048</v>
      </c>
      <c r="E136" s="103">
        <v>4.5799999999999983</v>
      </c>
      <c r="F136" s="104">
        <v>5000</v>
      </c>
      <c r="G136" s="105">
        <f t="shared" si="48"/>
        <v>2500</v>
      </c>
      <c r="H136" s="105">
        <v>14774</v>
      </c>
      <c r="I136" s="106">
        <f t="shared" si="49"/>
        <v>0.16921619060511708</v>
      </c>
      <c r="J136" s="86">
        <v>2252.4242424242425</v>
      </c>
      <c r="K136" s="87">
        <v>1244.939393939394</v>
      </c>
      <c r="L136" s="87">
        <v>0</v>
      </c>
      <c r="M136" s="87">
        <v>3757.5757575757571</v>
      </c>
      <c r="N136" s="90">
        <v>3939.393939393939</v>
      </c>
      <c r="O136" s="90">
        <v>3426</v>
      </c>
      <c r="P136" s="86">
        <f t="shared" si="43"/>
        <v>10316.103030303027</v>
      </c>
      <c r="Q136" s="87">
        <f t="shared" si="44"/>
        <v>5701.8224242424221</v>
      </c>
      <c r="R136" s="87">
        <f t="shared" si="45"/>
        <v>0</v>
      </c>
      <c r="S136" s="88">
        <f t="shared" si="46"/>
        <v>17209.696969696961</v>
      </c>
      <c r="T136" s="89">
        <f t="shared" si="47"/>
        <v>18042.424242424233</v>
      </c>
      <c r="U136" s="89">
        <f t="shared" si="50"/>
        <v>15691.079999999994</v>
      </c>
      <c r="V136" s="86">
        <v>1815</v>
      </c>
      <c r="W136" s="87">
        <v>4743</v>
      </c>
      <c r="X136" s="87">
        <v>1472</v>
      </c>
      <c r="Y136" s="87">
        <v>857</v>
      </c>
      <c r="Z136" s="90">
        <v>1954</v>
      </c>
      <c r="AA136" s="90">
        <v>842</v>
      </c>
      <c r="AB136" s="91">
        <f t="shared" si="51"/>
        <v>0.12285095437931501</v>
      </c>
      <c r="AC136" s="91">
        <f t="shared" si="52"/>
        <v>0.32103695681602817</v>
      </c>
      <c r="AD136" s="91">
        <f t="shared" si="53"/>
        <v>9.9634493028292942E-2</v>
      </c>
      <c r="AE136" s="91">
        <f t="shared" si="54"/>
        <v>5.8007310139434144E-2</v>
      </c>
      <c r="AF136" s="91">
        <f t="shared" si="55"/>
        <v>0.13225937457695952</v>
      </c>
      <c r="AG136" s="91">
        <f t="shared" si="56"/>
        <v>5.6992012995803441E-2</v>
      </c>
      <c r="AH136" s="92">
        <v>7318.0499999999811</v>
      </c>
      <c r="AI136" s="93">
        <v>17162.599999999959</v>
      </c>
      <c r="AJ136" s="93">
        <v>17162.599999999959</v>
      </c>
      <c r="AK136" s="93">
        <v>5170.4599999999937</v>
      </c>
      <c r="AL136" s="94">
        <v>2984.99999999998</v>
      </c>
      <c r="AM136" s="94">
        <v>3653.9299999999798</v>
      </c>
      <c r="AN136" s="94" t="s">
        <v>780</v>
      </c>
      <c r="AO136" s="111">
        <v>0</v>
      </c>
      <c r="AP136" s="112">
        <v>0</v>
      </c>
      <c r="AQ136" s="112">
        <v>0</v>
      </c>
      <c r="AR136" s="112">
        <v>0</v>
      </c>
      <c r="AS136" s="113">
        <v>0</v>
      </c>
      <c r="AT136" s="113">
        <v>0</v>
      </c>
      <c r="AU136" s="111">
        <v>132660.06000000061</v>
      </c>
      <c r="AV136" s="112">
        <v>345850.13999999943</v>
      </c>
      <c r="AW136" s="112">
        <v>107406.89999999991</v>
      </c>
      <c r="AX136" s="112">
        <v>62578.899999999398</v>
      </c>
      <c r="AY136" s="113">
        <v>142694.80000000299</v>
      </c>
      <c r="AZ136" s="113">
        <v>61220.729999999698</v>
      </c>
    </row>
    <row r="137" spans="1:52" x14ac:dyDescent="0.25">
      <c r="A137" s="101" t="s">
        <v>563</v>
      </c>
      <c r="B137" s="102" t="s">
        <v>564</v>
      </c>
      <c r="C137" s="102"/>
      <c r="D137" s="102" t="s">
        <v>1048</v>
      </c>
      <c r="E137" s="103">
        <v>4.5300000000000011</v>
      </c>
      <c r="F137" s="104">
        <v>4000</v>
      </c>
      <c r="G137" s="105">
        <f t="shared" si="48"/>
        <v>2000</v>
      </c>
      <c r="H137" s="105">
        <v>37997</v>
      </c>
      <c r="I137" s="106">
        <f t="shared" si="49"/>
        <v>5.2635734400084219E-2</v>
      </c>
      <c r="J137" s="86">
        <v>0</v>
      </c>
      <c r="K137" s="87">
        <v>0</v>
      </c>
      <c r="L137" s="87">
        <v>2487.878787878788</v>
      </c>
      <c r="M137" s="87">
        <v>6724.242424242424</v>
      </c>
      <c r="N137" s="90">
        <v>6051.515151515151</v>
      </c>
      <c r="O137" s="90">
        <v>15297</v>
      </c>
      <c r="P137" s="86">
        <f t="shared" si="43"/>
        <v>0</v>
      </c>
      <c r="Q137" s="87">
        <f t="shared" si="44"/>
        <v>0</v>
      </c>
      <c r="R137" s="87">
        <f t="shared" si="45"/>
        <v>11270.090909090912</v>
      </c>
      <c r="S137" s="88">
        <f t="shared" si="46"/>
        <v>30460.818181818187</v>
      </c>
      <c r="T137" s="89">
        <f t="shared" si="47"/>
        <v>27413.36363636364</v>
      </c>
      <c r="U137" s="89">
        <f t="shared" si="50"/>
        <v>69295.410000000018</v>
      </c>
      <c r="V137" s="86">
        <v>0</v>
      </c>
      <c r="W137" s="87">
        <v>0</v>
      </c>
      <c r="X137" s="87">
        <v>0</v>
      </c>
      <c r="Y137" s="87">
        <v>259</v>
      </c>
      <c r="Z137" s="90">
        <v>5927</v>
      </c>
      <c r="AA137" s="90">
        <v>8369</v>
      </c>
      <c r="AB137" s="91">
        <f t="shared" si="51"/>
        <v>0</v>
      </c>
      <c r="AC137" s="91">
        <f t="shared" si="52"/>
        <v>0</v>
      </c>
      <c r="AD137" s="91">
        <f t="shared" si="53"/>
        <v>0</v>
      </c>
      <c r="AE137" s="91">
        <f t="shared" si="54"/>
        <v>6.8163276048109058E-3</v>
      </c>
      <c r="AF137" s="91">
        <f t="shared" si="55"/>
        <v>0.15598599889464959</v>
      </c>
      <c r="AG137" s="91">
        <f t="shared" si="56"/>
        <v>0.22025423059715241</v>
      </c>
      <c r="AH137" s="92">
        <v>0</v>
      </c>
      <c r="AI137" s="93">
        <v>0</v>
      </c>
      <c r="AJ137" s="93">
        <v>0</v>
      </c>
      <c r="AK137" s="93">
        <v>1173.2700000000002</v>
      </c>
      <c r="AL137" s="94">
        <v>874.17999999999802</v>
      </c>
      <c r="AM137" s="94">
        <v>29952.519999999298</v>
      </c>
      <c r="AN137" s="94" t="s">
        <v>780</v>
      </c>
      <c r="AO137" s="111">
        <v>0</v>
      </c>
      <c r="AP137" s="112">
        <v>0</v>
      </c>
      <c r="AQ137" s="112">
        <v>171145.65999999997</v>
      </c>
      <c r="AR137" s="112">
        <v>462417.41</v>
      </c>
      <c r="AS137" s="113">
        <v>415894.89</v>
      </c>
      <c r="AT137" s="113">
        <v>869149.89000000013</v>
      </c>
      <c r="AU137" s="111">
        <v>0</v>
      </c>
      <c r="AV137" s="112">
        <v>0</v>
      </c>
      <c r="AW137" s="112">
        <v>0</v>
      </c>
      <c r="AX137" s="112">
        <v>18895.3999999999</v>
      </c>
      <c r="AY137" s="113">
        <v>432628.59999998601</v>
      </c>
      <c r="AZ137" s="113">
        <v>610821.36999995599</v>
      </c>
    </row>
    <row r="138" spans="1:52" x14ac:dyDescent="0.25">
      <c r="A138" s="101" t="s">
        <v>806</v>
      </c>
      <c r="B138" s="102" t="s">
        <v>849</v>
      </c>
      <c r="C138" s="102"/>
      <c r="D138" s="102" t="s">
        <v>1048</v>
      </c>
      <c r="E138" s="103">
        <v>4.488359478082387</v>
      </c>
      <c r="F138" s="104">
        <v>4000</v>
      </c>
      <c r="G138" s="105">
        <f t="shared" si="48"/>
        <v>2000</v>
      </c>
      <c r="H138" s="105">
        <v>8750</v>
      </c>
      <c r="I138" s="106">
        <f t="shared" si="49"/>
        <v>0.22857142857142856</v>
      </c>
      <c r="J138" s="86">
        <v>0</v>
      </c>
      <c r="K138" s="86">
        <v>0</v>
      </c>
      <c r="L138" s="86">
        <v>0</v>
      </c>
      <c r="M138" s="86">
        <v>0</v>
      </c>
      <c r="N138" s="86">
        <v>0</v>
      </c>
      <c r="O138" s="90">
        <v>4108</v>
      </c>
      <c r="P138" s="86"/>
      <c r="Q138" s="87"/>
      <c r="R138" s="87"/>
      <c r="S138" s="88"/>
      <c r="T138" s="89"/>
      <c r="U138" s="89">
        <f t="shared" si="50"/>
        <v>18438.180735962447</v>
      </c>
      <c r="V138" s="86"/>
      <c r="W138" s="87"/>
      <c r="X138" s="87"/>
      <c r="Y138" s="87"/>
      <c r="Z138" s="90"/>
      <c r="AA138" s="90"/>
      <c r="AB138" s="91">
        <f t="shared" si="51"/>
        <v>0</v>
      </c>
      <c r="AC138" s="91">
        <f t="shared" si="52"/>
        <v>0</v>
      </c>
      <c r="AD138" s="91">
        <f t="shared" si="53"/>
        <v>0</v>
      </c>
      <c r="AE138" s="91">
        <f t="shared" si="54"/>
        <v>0</v>
      </c>
      <c r="AF138" s="91">
        <f t="shared" si="55"/>
        <v>0</v>
      </c>
      <c r="AG138" s="91">
        <f t="shared" si="56"/>
        <v>0</v>
      </c>
      <c r="AH138" s="92"/>
      <c r="AI138" s="93"/>
      <c r="AJ138" s="93"/>
      <c r="AK138" s="93"/>
      <c r="AL138" s="94"/>
      <c r="AM138" s="94"/>
      <c r="AN138" s="94" t="s">
        <v>780</v>
      </c>
      <c r="AO138" s="111">
        <v>0</v>
      </c>
      <c r="AP138" s="112">
        <v>0</v>
      </c>
      <c r="AQ138" s="112">
        <v>0</v>
      </c>
      <c r="AR138" s="112">
        <v>0</v>
      </c>
      <c r="AS138" s="113">
        <v>0</v>
      </c>
      <c r="AT138" s="113">
        <v>141076.07999999999</v>
      </c>
      <c r="AU138" s="111">
        <v>0</v>
      </c>
      <c r="AV138" s="112">
        <v>0</v>
      </c>
      <c r="AW138" s="112">
        <v>0</v>
      </c>
      <c r="AX138" s="112">
        <v>0</v>
      </c>
      <c r="AY138" s="113">
        <v>0</v>
      </c>
      <c r="AZ138" s="113">
        <v>31069.8199999998</v>
      </c>
    </row>
    <row r="139" spans="1:52" x14ac:dyDescent="0.25">
      <c r="A139" s="101" t="s">
        <v>567</v>
      </c>
      <c r="B139" s="102" t="s">
        <v>568</v>
      </c>
      <c r="C139" s="102"/>
      <c r="D139" s="102" t="s">
        <v>1048</v>
      </c>
      <c r="E139" s="103">
        <v>4.4500000000000028</v>
      </c>
      <c r="F139" s="104">
        <v>5000</v>
      </c>
      <c r="G139" s="105">
        <f t="shared" si="48"/>
        <v>2500</v>
      </c>
      <c r="H139" s="105">
        <v>12485</v>
      </c>
      <c r="I139" s="106">
        <f t="shared" si="49"/>
        <v>0.2002402883460152</v>
      </c>
      <c r="J139" s="86">
        <v>0</v>
      </c>
      <c r="K139" s="87">
        <v>0</v>
      </c>
      <c r="L139" s="87">
        <v>0</v>
      </c>
      <c r="M139" s="87">
        <v>0</v>
      </c>
      <c r="N139" s="90">
        <v>1930</v>
      </c>
      <c r="O139" s="90">
        <v>4617</v>
      </c>
      <c r="P139" s="86">
        <f t="shared" ref="P139:P155" si="57">+J139*E139</f>
        <v>0</v>
      </c>
      <c r="Q139" s="87">
        <f t="shared" ref="Q139:Q155" si="58">+K139*E139</f>
        <v>0</v>
      </c>
      <c r="R139" s="87">
        <f t="shared" ref="R139:R155" si="59">+L139*E139</f>
        <v>0</v>
      </c>
      <c r="S139" s="88">
        <f t="shared" ref="S139:S155" si="60">+M139*E139</f>
        <v>0</v>
      </c>
      <c r="T139" s="89">
        <f t="shared" ref="T139:T155" si="61">+N139*E139</f>
        <v>8588.5000000000055</v>
      </c>
      <c r="U139" s="89">
        <f t="shared" si="50"/>
        <v>20545.650000000012</v>
      </c>
      <c r="V139" s="86">
        <v>0</v>
      </c>
      <c r="W139" s="87">
        <v>0</v>
      </c>
      <c r="X139" s="87">
        <v>0</v>
      </c>
      <c r="Y139" s="87">
        <v>0</v>
      </c>
      <c r="Z139" s="90">
        <v>0</v>
      </c>
      <c r="AA139" s="90">
        <v>1178</v>
      </c>
      <c r="AB139" s="91">
        <f t="shared" si="51"/>
        <v>0</v>
      </c>
      <c r="AC139" s="91">
        <f t="shared" si="52"/>
        <v>0</v>
      </c>
      <c r="AD139" s="91">
        <f t="shared" si="53"/>
        <v>0</v>
      </c>
      <c r="AE139" s="91">
        <f t="shared" si="54"/>
        <v>0</v>
      </c>
      <c r="AF139" s="91">
        <f t="shared" si="55"/>
        <v>0</v>
      </c>
      <c r="AG139" s="91">
        <f t="shared" si="56"/>
        <v>9.4353223868642366E-2</v>
      </c>
      <c r="AH139" s="92">
        <v>0</v>
      </c>
      <c r="AI139" s="93">
        <v>0</v>
      </c>
      <c r="AJ139" s="93">
        <v>0</v>
      </c>
      <c r="AK139" s="93">
        <v>0</v>
      </c>
      <c r="AL139" s="94">
        <v>0</v>
      </c>
      <c r="AM139" s="94">
        <v>5114.3599999999897</v>
      </c>
      <c r="AN139" s="94" t="s">
        <v>780</v>
      </c>
      <c r="AO139" s="111">
        <v>0</v>
      </c>
      <c r="AP139" s="112">
        <v>0</v>
      </c>
      <c r="AQ139" s="112">
        <v>0</v>
      </c>
      <c r="AR139" s="112">
        <v>0</v>
      </c>
      <c r="AS139" s="113">
        <v>132629.6</v>
      </c>
      <c r="AT139" s="113">
        <v>157868.66999999998</v>
      </c>
      <c r="AU139" s="111">
        <v>0</v>
      </c>
      <c r="AV139" s="112">
        <v>0</v>
      </c>
      <c r="AW139" s="112">
        <v>0</v>
      </c>
      <c r="AX139" s="112">
        <v>0</v>
      </c>
      <c r="AY139" s="113">
        <v>0</v>
      </c>
      <c r="AZ139" s="113">
        <v>85874.029999999693</v>
      </c>
    </row>
    <row r="140" spans="1:52" x14ac:dyDescent="0.25">
      <c r="A140" s="101" t="s">
        <v>99</v>
      </c>
      <c r="B140" s="102" t="s">
        <v>100</v>
      </c>
      <c r="C140" s="102"/>
      <c r="D140" s="102" t="s">
        <v>1048</v>
      </c>
      <c r="E140" s="103">
        <v>4.43</v>
      </c>
      <c r="F140" s="104">
        <v>2500</v>
      </c>
      <c r="G140" s="105">
        <f t="shared" si="48"/>
        <v>1250</v>
      </c>
      <c r="H140" s="105">
        <v>2523</v>
      </c>
      <c r="I140" s="106">
        <f t="shared" si="49"/>
        <v>0.49544193420531113</v>
      </c>
      <c r="J140" s="86">
        <v>1240</v>
      </c>
      <c r="K140" s="87">
        <v>1030</v>
      </c>
      <c r="L140" s="87">
        <v>140</v>
      </c>
      <c r="M140" s="87">
        <v>1544</v>
      </c>
      <c r="N140" s="90">
        <v>440</v>
      </c>
      <c r="O140" s="90">
        <v>0</v>
      </c>
      <c r="P140" s="86">
        <f t="shared" si="57"/>
        <v>5493.2</v>
      </c>
      <c r="Q140" s="87">
        <f t="shared" si="58"/>
        <v>4562.8999999999996</v>
      </c>
      <c r="R140" s="87">
        <f t="shared" si="59"/>
        <v>620.19999999999993</v>
      </c>
      <c r="S140" s="88">
        <f t="shared" si="60"/>
        <v>6839.9199999999992</v>
      </c>
      <c r="T140" s="89">
        <f t="shared" si="61"/>
        <v>1949.1999999999998</v>
      </c>
      <c r="U140" s="89">
        <f t="shared" si="50"/>
        <v>0</v>
      </c>
      <c r="V140" s="86">
        <v>0</v>
      </c>
      <c r="W140" s="87">
        <v>457</v>
      </c>
      <c r="X140" s="87">
        <v>262</v>
      </c>
      <c r="Y140" s="87">
        <v>953</v>
      </c>
      <c r="Z140" s="90">
        <v>1826</v>
      </c>
      <c r="AA140" s="90">
        <v>1481</v>
      </c>
      <c r="AB140" s="91">
        <f t="shared" si="51"/>
        <v>0</v>
      </c>
      <c r="AC140" s="91">
        <f t="shared" si="52"/>
        <v>0.18113357114546175</v>
      </c>
      <c r="AD140" s="91">
        <f t="shared" si="53"/>
        <v>0.10384462940943322</v>
      </c>
      <c r="AE140" s="91">
        <f t="shared" si="54"/>
        <v>0.37772493063812923</v>
      </c>
      <c r="AF140" s="91">
        <f t="shared" si="55"/>
        <v>0.72374157748711854</v>
      </c>
      <c r="AG140" s="91">
        <f t="shared" si="56"/>
        <v>0.58699960364645265</v>
      </c>
      <c r="AH140" s="92">
        <v>0</v>
      </c>
      <c r="AI140" s="93">
        <v>1666.3399999999926</v>
      </c>
      <c r="AJ140" s="93">
        <v>1666.3399999999929</v>
      </c>
      <c r="AK140" s="93">
        <v>754.46999999999684</v>
      </c>
      <c r="AL140" s="94">
        <v>3869.46</v>
      </c>
      <c r="AM140" s="94">
        <v>4677.4499999999898</v>
      </c>
      <c r="AN140" s="94" t="s">
        <v>779</v>
      </c>
      <c r="AO140" s="111">
        <v>7019.6</v>
      </c>
      <c r="AP140" s="112">
        <v>5859.85</v>
      </c>
      <c r="AQ140" s="112">
        <v>779.1</v>
      </c>
      <c r="AR140" s="112">
        <v>8553.36</v>
      </c>
      <c r="AS140" s="113">
        <v>2384.8000000000002</v>
      </c>
      <c r="AT140" s="113">
        <v>0</v>
      </c>
      <c r="AU140" s="111">
        <v>0</v>
      </c>
      <c r="AV140" s="112">
        <v>4262.0999999999985</v>
      </c>
      <c r="AW140" s="112">
        <v>2488.5499999999984</v>
      </c>
      <c r="AX140" s="112">
        <v>9243.7299999999905</v>
      </c>
      <c r="AY140" s="113">
        <v>17261.650000000001</v>
      </c>
      <c r="AZ140" s="113">
        <v>12971.05</v>
      </c>
    </row>
    <row r="141" spans="1:52" x14ac:dyDescent="0.25">
      <c r="A141" s="101" t="s">
        <v>576</v>
      </c>
      <c r="B141" s="102" t="s">
        <v>577</v>
      </c>
      <c r="C141" s="102"/>
      <c r="D141" s="102" t="s">
        <v>1048</v>
      </c>
      <c r="E141" s="103">
        <v>4.3700000000000045</v>
      </c>
      <c r="F141" s="104">
        <v>300</v>
      </c>
      <c r="G141" s="105">
        <f t="shared" si="48"/>
        <v>150</v>
      </c>
      <c r="H141" s="105">
        <v>869</v>
      </c>
      <c r="I141" s="106">
        <f t="shared" si="49"/>
        <v>0.17261219792865362</v>
      </c>
      <c r="J141" s="86">
        <v>38</v>
      </c>
      <c r="K141" s="87">
        <v>0</v>
      </c>
      <c r="L141" s="87">
        <v>0</v>
      </c>
      <c r="M141" s="87">
        <v>56</v>
      </c>
      <c r="N141" s="90">
        <v>145</v>
      </c>
      <c r="O141" s="90">
        <v>180</v>
      </c>
      <c r="P141" s="86">
        <f t="shared" si="57"/>
        <v>166.06000000000017</v>
      </c>
      <c r="Q141" s="87">
        <f t="shared" si="58"/>
        <v>0</v>
      </c>
      <c r="R141" s="87">
        <f t="shared" si="59"/>
        <v>0</v>
      </c>
      <c r="S141" s="88">
        <f t="shared" si="60"/>
        <v>244.72000000000025</v>
      </c>
      <c r="T141" s="89">
        <f t="shared" si="61"/>
        <v>633.65000000000066</v>
      </c>
      <c r="U141" s="89">
        <f t="shared" si="50"/>
        <v>786.60000000000082</v>
      </c>
      <c r="V141" s="86">
        <v>222</v>
      </c>
      <c r="W141" s="87">
        <v>197</v>
      </c>
      <c r="X141" s="87">
        <v>91</v>
      </c>
      <c r="Y141" s="87">
        <v>174</v>
      </c>
      <c r="Z141" s="90">
        <v>147</v>
      </c>
      <c r="AA141" s="90">
        <v>120</v>
      </c>
      <c r="AB141" s="91">
        <f t="shared" si="51"/>
        <v>0.25546605293440738</v>
      </c>
      <c r="AC141" s="91">
        <f t="shared" si="52"/>
        <v>0.22669735327963175</v>
      </c>
      <c r="AD141" s="91">
        <f t="shared" si="53"/>
        <v>0.1047180667433832</v>
      </c>
      <c r="AE141" s="91">
        <f t="shared" si="54"/>
        <v>0.2002301495972382</v>
      </c>
      <c r="AF141" s="91">
        <f t="shared" si="55"/>
        <v>0.16915995397008055</v>
      </c>
      <c r="AG141" s="91">
        <f t="shared" si="56"/>
        <v>0.13808975834292289</v>
      </c>
      <c r="AH141" s="92">
        <v>213.34999999999991</v>
      </c>
      <c r="AI141" s="93">
        <v>201.44999999999962</v>
      </c>
      <c r="AJ141" s="93">
        <v>201.44999999999965</v>
      </c>
      <c r="AK141" s="93">
        <v>376.89999999999969</v>
      </c>
      <c r="AL141" s="94">
        <v>551.4</v>
      </c>
      <c r="AM141" s="94">
        <v>507.77</v>
      </c>
      <c r="AN141" s="94" t="s">
        <v>780</v>
      </c>
      <c r="AO141" s="111">
        <v>2827.2</v>
      </c>
      <c r="AP141" s="112">
        <v>0</v>
      </c>
      <c r="AQ141" s="112">
        <v>0</v>
      </c>
      <c r="AR141" s="112">
        <v>4153.5200000000004</v>
      </c>
      <c r="AS141" s="113">
        <v>16989.52</v>
      </c>
      <c r="AT141" s="113">
        <v>19434.559999999998</v>
      </c>
      <c r="AU141" s="111">
        <v>16662.59</v>
      </c>
      <c r="AV141" s="112">
        <v>14768.549999999997</v>
      </c>
      <c r="AW141" s="112">
        <v>7087.5099999999893</v>
      </c>
      <c r="AX141" s="112">
        <v>13331.7</v>
      </c>
      <c r="AY141" s="113">
        <v>11043.699999999901</v>
      </c>
      <c r="AZ141" s="113">
        <v>9273.8499999999894</v>
      </c>
    </row>
    <row r="142" spans="1:52" x14ac:dyDescent="0.25">
      <c r="A142" s="101" t="s">
        <v>919</v>
      </c>
      <c r="B142" s="102" t="s">
        <v>155</v>
      </c>
      <c r="C142" s="102"/>
      <c r="D142" s="102" t="s">
        <v>1048</v>
      </c>
      <c r="E142" s="103">
        <v>4.2999999999999989</v>
      </c>
      <c r="F142" s="104">
        <v>5000</v>
      </c>
      <c r="G142" s="105">
        <f t="shared" si="48"/>
        <v>2500</v>
      </c>
      <c r="H142" s="105">
        <v>3194</v>
      </c>
      <c r="I142" s="106">
        <f t="shared" si="49"/>
        <v>0.78271759549154662</v>
      </c>
      <c r="J142" s="86">
        <v>4987.878787878788</v>
      </c>
      <c r="K142" s="87">
        <v>515.15151515151513</v>
      </c>
      <c r="L142" s="87">
        <v>0</v>
      </c>
      <c r="M142" s="87">
        <v>0</v>
      </c>
      <c r="N142" s="90">
        <v>334.84848484848487</v>
      </c>
      <c r="O142" s="90">
        <v>1147</v>
      </c>
      <c r="P142" s="86">
        <f t="shared" si="57"/>
        <v>21447.878787878784</v>
      </c>
      <c r="Q142" s="87">
        <f t="shared" si="58"/>
        <v>2215.1515151515146</v>
      </c>
      <c r="R142" s="87">
        <f t="shared" si="59"/>
        <v>0</v>
      </c>
      <c r="S142" s="88">
        <f t="shared" si="60"/>
        <v>0</v>
      </c>
      <c r="T142" s="89">
        <f t="shared" si="61"/>
        <v>1439.8484848484845</v>
      </c>
      <c r="U142" s="89">
        <f t="shared" si="50"/>
        <v>4932.0999999999985</v>
      </c>
      <c r="V142" s="86">
        <v>452</v>
      </c>
      <c r="W142" s="87">
        <v>1652</v>
      </c>
      <c r="X142" s="87">
        <v>3297</v>
      </c>
      <c r="Y142" s="87">
        <v>1031</v>
      </c>
      <c r="Z142" s="90">
        <v>1354</v>
      </c>
      <c r="AA142" s="90">
        <v>1310</v>
      </c>
      <c r="AB142" s="91">
        <f t="shared" si="51"/>
        <v>0.14151534126487164</v>
      </c>
      <c r="AC142" s="91">
        <f t="shared" si="52"/>
        <v>0.51721978710081407</v>
      </c>
      <c r="AD142" s="91">
        <f t="shared" si="53"/>
        <v>1.0322479649342517</v>
      </c>
      <c r="AE142" s="91">
        <f t="shared" si="54"/>
        <v>0.32279273638071382</v>
      </c>
      <c r="AF142" s="91">
        <f t="shared" si="55"/>
        <v>0.42391984971822166</v>
      </c>
      <c r="AG142" s="91">
        <f t="shared" si="56"/>
        <v>0.41014402003757044</v>
      </c>
      <c r="AH142" s="92">
        <v>1041.9800000000009</v>
      </c>
      <c r="AI142" s="93">
        <v>3257.529999999997</v>
      </c>
      <c r="AJ142" s="93">
        <v>3257.5299999999975</v>
      </c>
      <c r="AK142" s="93">
        <v>6823.2499999999782</v>
      </c>
      <c r="AL142" s="94">
        <v>1655.44999999999</v>
      </c>
      <c r="AM142" s="94">
        <v>4274.95</v>
      </c>
      <c r="AN142" s="94" t="s">
        <v>779</v>
      </c>
      <c r="AO142" s="111">
        <v>44621.409999999989</v>
      </c>
      <c r="AP142" s="112">
        <v>4642.3</v>
      </c>
      <c r="AQ142" s="112">
        <v>0</v>
      </c>
      <c r="AR142" s="112">
        <v>0</v>
      </c>
      <c r="AS142" s="113">
        <v>2711.48</v>
      </c>
      <c r="AT142" s="113">
        <v>8533.26</v>
      </c>
      <c r="AU142" s="111">
        <v>0</v>
      </c>
      <c r="AV142" s="112">
        <v>0</v>
      </c>
      <c r="AW142" s="112">
        <v>0</v>
      </c>
      <c r="AX142" s="112">
        <v>0</v>
      </c>
      <c r="AY142" s="113">
        <v>0</v>
      </c>
      <c r="AZ142" s="113">
        <v>0</v>
      </c>
    </row>
    <row r="143" spans="1:52" x14ac:dyDescent="0.25">
      <c r="A143" s="101" t="s">
        <v>241</v>
      </c>
      <c r="B143" s="102" t="s">
        <v>242</v>
      </c>
      <c r="C143" s="102"/>
      <c r="D143" s="102" t="s">
        <v>1049</v>
      </c>
      <c r="E143" s="103">
        <v>4.2699999999999978</v>
      </c>
      <c r="F143" s="104">
        <v>500</v>
      </c>
      <c r="G143" s="105">
        <f t="shared" si="48"/>
        <v>250</v>
      </c>
      <c r="H143" s="105">
        <v>1004</v>
      </c>
      <c r="I143" s="106">
        <f t="shared" si="49"/>
        <v>0.24900398406374502</v>
      </c>
      <c r="J143" s="86">
        <v>0</v>
      </c>
      <c r="K143" s="87">
        <v>0</v>
      </c>
      <c r="L143" s="87">
        <v>0</v>
      </c>
      <c r="M143" s="87">
        <v>100</v>
      </c>
      <c r="N143" s="90">
        <v>200</v>
      </c>
      <c r="O143" s="90">
        <v>300</v>
      </c>
      <c r="P143" s="86">
        <f t="shared" si="57"/>
        <v>0</v>
      </c>
      <c r="Q143" s="87">
        <f t="shared" si="58"/>
        <v>0</v>
      </c>
      <c r="R143" s="87">
        <f t="shared" si="59"/>
        <v>0</v>
      </c>
      <c r="S143" s="88">
        <f t="shared" si="60"/>
        <v>426.99999999999977</v>
      </c>
      <c r="T143" s="89">
        <f t="shared" si="61"/>
        <v>853.99999999999955</v>
      </c>
      <c r="U143" s="89">
        <f t="shared" si="50"/>
        <v>1280.9999999999993</v>
      </c>
      <c r="V143" s="86">
        <v>0</v>
      </c>
      <c r="W143" s="87">
        <v>0</v>
      </c>
      <c r="X143" s="87">
        <v>0</v>
      </c>
      <c r="Y143" s="87">
        <v>0</v>
      </c>
      <c r="Z143" s="90">
        <v>0</v>
      </c>
      <c r="AA143" s="90">
        <v>94</v>
      </c>
      <c r="AB143" s="91">
        <f t="shared" si="51"/>
        <v>0</v>
      </c>
      <c r="AC143" s="91">
        <f t="shared" si="52"/>
        <v>0</v>
      </c>
      <c r="AD143" s="91">
        <f t="shared" si="53"/>
        <v>0</v>
      </c>
      <c r="AE143" s="91">
        <f t="shared" si="54"/>
        <v>0</v>
      </c>
      <c r="AF143" s="91">
        <f t="shared" si="55"/>
        <v>0</v>
      </c>
      <c r="AG143" s="91">
        <f t="shared" si="56"/>
        <v>9.3625498007968128E-2</v>
      </c>
      <c r="AH143" s="92">
        <v>0</v>
      </c>
      <c r="AI143" s="93">
        <v>0</v>
      </c>
      <c r="AJ143" s="93">
        <v>0</v>
      </c>
      <c r="AK143" s="93">
        <v>0</v>
      </c>
      <c r="AL143" s="94">
        <v>0</v>
      </c>
      <c r="AM143" s="94">
        <v>368.61999999999898</v>
      </c>
      <c r="AN143" s="94" t="s">
        <v>779</v>
      </c>
      <c r="AO143" s="111">
        <v>0</v>
      </c>
      <c r="AP143" s="112">
        <v>0</v>
      </c>
      <c r="AQ143" s="112">
        <v>0</v>
      </c>
      <c r="AR143" s="112">
        <v>1274</v>
      </c>
      <c r="AS143" s="113">
        <v>2538</v>
      </c>
      <c r="AT143" s="113">
        <v>3811</v>
      </c>
      <c r="AU143" s="111">
        <v>0</v>
      </c>
      <c r="AV143" s="112">
        <v>0</v>
      </c>
      <c r="AW143" s="112">
        <v>0</v>
      </c>
      <c r="AX143" s="112">
        <v>0</v>
      </c>
      <c r="AY143" s="113">
        <v>0</v>
      </c>
      <c r="AZ143" s="113">
        <v>1555.8399999999899</v>
      </c>
    </row>
    <row r="144" spans="1:52" x14ac:dyDescent="0.25">
      <c r="A144" s="101" t="s">
        <v>502</v>
      </c>
      <c r="B144" s="102" t="s">
        <v>503</v>
      </c>
      <c r="C144" s="102"/>
      <c r="D144" s="102" t="s">
        <v>1048</v>
      </c>
      <c r="E144" s="103">
        <v>4.25</v>
      </c>
      <c r="F144" s="104">
        <v>8000</v>
      </c>
      <c r="G144" s="105">
        <f t="shared" si="48"/>
        <v>4000</v>
      </c>
      <c r="H144" s="105">
        <v>64517</v>
      </c>
      <c r="I144" s="106">
        <f t="shared" si="49"/>
        <v>6.1999163011299346E-2</v>
      </c>
      <c r="J144" s="86">
        <v>0</v>
      </c>
      <c r="K144" s="87">
        <v>215</v>
      </c>
      <c r="L144" s="87">
        <v>179</v>
      </c>
      <c r="M144" s="87">
        <v>297</v>
      </c>
      <c r="N144" s="90">
        <v>160</v>
      </c>
      <c r="O144" s="90">
        <v>397</v>
      </c>
      <c r="P144" s="86">
        <f t="shared" si="57"/>
        <v>0</v>
      </c>
      <c r="Q144" s="87">
        <f t="shared" si="58"/>
        <v>913.75</v>
      </c>
      <c r="R144" s="87">
        <f t="shared" si="59"/>
        <v>760.75</v>
      </c>
      <c r="S144" s="88">
        <f t="shared" si="60"/>
        <v>1262.25</v>
      </c>
      <c r="T144" s="89">
        <f t="shared" si="61"/>
        <v>680</v>
      </c>
      <c r="U144" s="89">
        <f t="shared" si="50"/>
        <v>1687.25</v>
      </c>
      <c r="V144" s="86">
        <v>0</v>
      </c>
      <c r="W144" s="87">
        <v>0</v>
      </c>
      <c r="X144" s="87">
        <v>0</v>
      </c>
      <c r="Y144" s="87">
        <v>389</v>
      </c>
      <c r="Z144" s="90">
        <v>294</v>
      </c>
      <c r="AA144" s="90">
        <v>254</v>
      </c>
      <c r="AB144" s="91">
        <f t="shared" si="51"/>
        <v>0</v>
      </c>
      <c r="AC144" s="91">
        <f t="shared" si="52"/>
        <v>0</v>
      </c>
      <c r="AD144" s="91">
        <f t="shared" si="53"/>
        <v>0</v>
      </c>
      <c r="AE144" s="91">
        <f t="shared" si="54"/>
        <v>6.0294186028488619E-3</v>
      </c>
      <c r="AF144" s="91">
        <f t="shared" si="55"/>
        <v>4.5569384813305023E-3</v>
      </c>
      <c r="AG144" s="91">
        <f t="shared" si="56"/>
        <v>3.9369468512175081E-3</v>
      </c>
      <c r="AH144" s="92">
        <v>0</v>
      </c>
      <c r="AI144" s="93">
        <v>0</v>
      </c>
      <c r="AJ144" s="93">
        <v>0</v>
      </c>
      <c r="AK144" s="93">
        <v>1653.25</v>
      </c>
      <c r="AL144" s="94">
        <v>1803.52</v>
      </c>
      <c r="AM144" s="94">
        <v>979.16</v>
      </c>
      <c r="AN144" s="94" t="s">
        <v>780</v>
      </c>
      <c r="AO144" s="111">
        <v>0</v>
      </c>
      <c r="AP144" s="112">
        <v>10800.55</v>
      </c>
      <c r="AQ144" s="112">
        <v>8760.2800000000007</v>
      </c>
      <c r="AR144" s="112">
        <v>15026.28</v>
      </c>
      <c r="AS144" s="113">
        <v>7894.4</v>
      </c>
      <c r="AT144" s="113">
        <v>20181.2</v>
      </c>
      <c r="AU144" s="111">
        <v>0</v>
      </c>
      <c r="AV144" s="112">
        <v>0</v>
      </c>
      <c r="AW144" s="112">
        <v>0</v>
      </c>
      <c r="AX144" s="112">
        <v>21162.699999999899</v>
      </c>
      <c r="AY144" s="113">
        <v>15985.57</v>
      </c>
      <c r="AZ144" s="113">
        <v>13728.56</v>
      </c>
    </row>
    <row r="145" spans="1:52" x14ac:dyDescent="0.25">
      <c r="A145" s="101" t="s">
        <v>107</v>
      </c>
      <c r="B145" s="102" t="s">
        <v>108</v>
      </c>
      <c r="C145" s="102"/>
      <c r="D145" s="102" t="s">
        <v>1048</v>
      </c>
      <c r="E145" s="103">
        <v>4.2399999999999993</v>
      </c>
      <c r="F145" s="104">
        <v>120</v>
      </c>
      <c r="G145" s="105">
        <f t="shared" si="48"/>
        <v>60</v>
      </c>
      <c r="H145" s="105">
        <v>104</v>
      </c>
      <c r="I145" s="106">
        <f t="shared" si="49"/>
        <v>0.57692307692307687</v>
      </c>
      <c r="J145" s="86">
        <v>0</v>
      </c>
      <c r="K145" s="87">
        <v>303</v>
      </c>
      <c r="L145" s="87">
        <v>136</v>
      </c>
      <c r="M145" s="87">
        <v>105</v>
      </c>
      <c r="N145" s="90"/>
      <c r="O145" s="90">
        <v>0</v>
      </c>
      <c r="P145" s="86">
        <f t="shared" si="57"/>
        <v>0</v>
      </c>
      <c r="Q145" s="87">
        <f t="shared" si="58"/>
        <v>1284.7199999999998</v>
      </c>
      <c r="R145" s="87">
        <f t="shared" si="59"/>
        <v>576.63999999999987</v>
      </c>
      <c r="S145" s="88">
        <f t="shared" si="60"/>
        <v>445.19999999999993</v>
      </c>
      <c r="T145" s="89">
        <f t="shared" si="61"/>
        <v>0</v>
      </c>
      <c r="U145" s="89">
        <f t="shared" si="50"/>
        <v>0</v>
      </c>
      <c r="V145" s="86">
        <v>96</v>
      </c>
      <c r="W145" s="87">
        <v>53</v>
      </c>
      <c r="X145" s="87">
        <v>0</v>
      </c>
      <c r="Y145" s="87">
        <v>86</v>
      </c>
      <c r="Z145" s="90">
        <v>57</v>
      </c>
      <c r="AA145" s="90">
        <v>72</v>
      </c>
      <c r="AB145" s="91">
        <f t="shared" si="51"/>
        <v>0.92307692307692313</v>
      </c>
      <c r="AC145" s="91">
        <f t="shared" si="52"/>
        <v>0.50961538461538458</v>
      </c>
      <c r="AD145" s="91">
        <f t="shared" si="53"/>
        <v>0</v>
      </c>
      <c r="AE145" s="91">
        <f t="shared" si="54"/>
        <v>0.82692307692307687</v>
      </c>
      <c r="AF145" s="91">
        <f t="shared" si="55"/>
        <v>0.54807692307692313</v>
      </c>
      <c r="AG145" s="91">
        <f t="shared" si="56"/>
        <v>0.69230769230769229</v>
      </c>
      <c r="AH145" s="92">
        <v>358.61</v>
      </c>
      <c r="AI145" s="93">
        <v>215.10999999999999</v>
      </c>
      <c r="AJ145" s="93">
        <v>215.10999999999996</v>
      </c>
      <c r="AK145" s="93">
        <v>364.63999999999993</v>
      </c>
      <c r="AL145" s="94">
        <v>466.14</v>
      </c>
      <c r="AM145" s="94">
        <v>265.22000000000003</v>
      </c>
      <c r="AN145" s="94" t="s">
        <v>779</v>
      </c>
      <c r="AO145" s="111">
        <v>0</v>
      </c>
      <c r="AP145" s="112">
        <v>1754.75</v>
      </c>
      <c r="AQ145" s="112">
        <v>785.54</v>
      </c>
      <c r="AR145" s="112">
        <v>616.75</v>
      </c>
      <c r="AS145" s="113">
        <v>0</v>
      </c>
      <c r="AT145" s="113">
        <v>0</v>
      </c>
      <c r="AU145" s="111">
        <v>922.36999999999989</v>
      </c>
      <c r="AV145" s="112">
        <v>526.21999999999991</v>
      </c>
      <c r="AW145" s="112">
        <v>0</v>
      </c>
      <c r="AX145" s="112">
        <v>963.22</v>
      </c>
      <c r="AY145" s="113">
        <v>594.67999999999904</v>
      </c>
      <c r="AZ145" s="113">
        <v>682.82</v>
      </c>
    </row>
    <row r="146" spans="1:52" x14ac:dyDescent="0.25">
      <c r="A146" s="101" t="s">
        <v>323</v>
      </c>
      <c r="B146" s="102" t="s">
        <v>324</v>
      </c>
      <c r="C146" s="102"/>
      <c r="D146" s="102" t="s">
        <v>1048</v>
      </c>
      <c r="E146" s="103">
        <v>4.2399999999999984</v>
      </c>
      <c r="F146" s="104">
        <v>200</v>
      </c>
      <c r="G146" s="105">
        <f t="shared" si="48"/>
        <v>100</v>
      </c>
      <c r="H146" s="105">
        <v>772</v>
      </c>
      <c r="I146" s="106">
        <f t="shared" si="49"/>
        <v>0.12953367875647667</v>
      </c>
      <c r="J146" s="86">
        <v>1842</v>
      </c>
      <c r="K146" s="87">
        <v>961</v>
      </c>
      <c r="L146" s="87">
        <v>0</v>
      </c>
      <c r="M146" s="87">
        <v>0</v>
      </c>
      <c r="N146" s="90">
        <v>202</v>
      </c>
      <c r="O146" s="90">
        <v>443</v>
      </c>
      <c r="P146" s="86">
        <f t="shared" si="57"/>
        <v>7810.0799999999972</v>
      </c>
      <c r="Q146" s="87">
        <f t="shared" si="58"/>
        <v>4074.6399999999985</v>
      </c>
      <c r="R146" s="87">
        <f t="shared" si="59"/>
        <v>0</v>
      </c>
      <c r="S146" s="88">
        <f t="shared" si="60"/>
        <v>0</v>
      </c>
      <c r="T146" s="89">
        <f t="shared" si="61"/>
        <v>856.47999999999968</v>
      </c>
      <c r="U146" s="89">
        <f t="shared" si="50"/>
        <v>1878.3199999999993</v>
      </c>
      <c r="V146" s="86">
        <v>803</v>
      </c>
      <c r="W146" s="87">
        <v>836</v>
      </c>
      <c r="X146" s="87">
        <v>705</v>
      </c>
      <c r="Y146" s="87">
        <v>988</v>
      </c>
      <c r="Z146" s="90">
        <v>717</v>
      </c>
      <c r="AA146" s="90">
        <v>527</v>
      </c>
      <c r="AB146" s="91">
        <f t="shared" si="51"/>
        <v>1.0401554404145077</v>
      </c>
      <c r="AC146" s="91">
        <f t="shared" si="52"/>
        <v>1.0829015544041452</v>
      </c>
      <c r="AD146" s="91">
        <f t="shared" si="53"/>
        <v>0.91321243523316065</v>
      </c>
      <c r="AE146" s="91">
        <f t="shared" si="54"/>
        <v>1.2797927461139897</v>
      </c>
      <c r="AF146" s="91">
        <f t="shared" si="55"/>
        <v>0.92875647668393779</v>
      </c>
      <c r="AG146" s="91">
        <f t="shared" si="56"/>
        <v>0.68264248704663211</v>
      </c>
      <c r="AH146" s="92">
        <v>3373.6999999999989</v>
      </c>
      <c r="AI146" s="93">
        <v>3177.0199999999982</v>
      </c>
      <c r="AJ146" s="93">
        <v>3177.0199999999982</v>
      </c>
      <c r="AK146" s="93">
        <v>3021.1599999999971</v>
      </c>
      <c r="AL146" s="94">
        <v>2828.86</v>
      </c>
      <c r="AM146" s="94">
        <v>1343.57</v>
      </c>
      <c r="AN146" s="94" t="s">
        <v>779</v>
      </c>
      <c r="AO146" s="111">
        <v>35180.300000000003</v>
      </c>
      <c r="AP146" s="112">
        <v>18405.89</v>
      </c>
      <c r="AQ146" s="112">
        <v>0</v>
      </c>
      <c r="AR146" s="112">
        <v>0</v>
      </c>
      <c r="AS146" s="113">
        <v>3648.12</v>
      </c>
      <c r="AT146" s="113">
        <v>7863.25</v>
      </c>
      <c r="AU146" s="111">
        <v>19378.810000000001</v>
      </c>
      <c r="AV146" s="112">
        <v>19445.02</v>
      </c>
      <c r="AW146" s="112">
        <v>16697.489999999998</v>
      </c>
      <c r="AX146" s="112">
        <v>21952.569999999901</v>
      </c>
      <c r="AY146" s="113">
        <v>13520.7399999999</v>
      </c>
      <c r="AZ146" s="113">
        <v>11497.779999999901</v>
      </c>
    </row>
    <row r="147" spans="1:52" x14ac:dyDescent="0.25">
      <c r="A147" s="101" t="s">
        <v>273</v>
      </c>
      <c r="B147" s="102" t="s">
        <v>274</v>
      </c>
      <c r="C147" s="102"/>
      <c r="D147" s="102" t="s">
        <v>1048</v>
      </c>
      <c r="E147" s="103">
        <v>4.2200000000000006</v>
      </c>
      <c r="F147" s="104">
        <v>60</v>
      </c>
      <c r="G147" s="105">
        <f t="shared" si="48"/>
        <v>30</v>
      </c>
      <c r="H147" s="105">
        <v>290</v>
      </c>
      <c r="I147" s="106">
        <f t="shared" si="49"/>
        <v>0.10344827586206896</v>
      </c>
      <c r="J147" s="86">
        <v>300</v>
      </c>
      <c r="K147" s="87">
        <v>0</v>
      </c>
      <c r="L147" s="87">
        <v>0</v>
      </c>
      <c r="M147" s="87">
        <v>0</v>
      </c>
      <c r="N147" s="90"/>
      <c r="O147" s="90">
        <v>0</v>
      </c>
      <c r="P147" s="86">
        <f t="shared" si="57"/>
        <v>1266.0000000000002</v>
      </c>
      <c r="Q147" s="87">
        <f t="shared" si="58"/>
        <v>0</v>
      </c>
      <c r="R147" s="87">
        <f t="shared" si="59"/>
        <v>0</v>
      </c>
      <c r="S147" s="88">
        <f t="shared" si="60"/>
        <v>0</v>
      </c>
      <c r="T147" s="89">
        <f t="shared" si="61"/>
        <v>0</v>
      </c>
      <c r="U147" s="89">
        <f t="shared" si="50"/>
        <v>0</v>
      </c>
      <c r="V147" s="86">
        <v>116</v>
      </c>
      <c r="W147" s="87">
        <v>79</v>
      </c>
      <c r="X147" s="87">
        <v>78</v>
      </c>
      <c r="Y147" s="87">
        <v>53</v>
      </c>
      <c r="Z147" s="90">
        <v>60</v>
      </c>
      <c r="AA147" s="90">
        <v>48</v>
      </c>
      <c r="AB147" s="91">
        <f t="shared" si="51"/>
        <v>0.4</v>
      </c>
      <c r="AC147" s="91">
        <f t="shared" si="52"/>
        <v>0.27241379310344827</v>
      </c>
      <c r="AD147" s="91">
        <f t="shared" si="53"/>
        <v>0.26896551724137929</v>
      </c>
      <c r="AE147" s="91">
        <f t="shared" si="54"/>
        <v>0.18275862068965518</v>
      </c>
      <c r="AF147" s="91">
        <f t="shared" si="55"/>
        <v>0.20689655172413793</v>
      </c>
      <c r="AG147" s="91">
        <f t="shared" si="56"/>
        <v>0.16551724137931034</v>
      </c>
      <c r="AH147" s="92">
        <v>359.7</v>
      </c>
      <c r="AI147" s="93">
        <v>874.48</v>
      </c>
      <c r="AJ147" s="93">
        <v>874.48</v>
      </c>
      <c r="AK147" s="93">
        <v>990.86999999999944</v>
      </c>
      <c r="AL147" s="94">
        <v>606.51999999999896</v>
      </c>
      <c r="AM147" s="94">
        <v>236.629999999999</v>
      </c>
      <c r="AN147" s="94" t="s">
        <v>779</v>
      </c>
      <c r="AO147" s="111">
        <v>4738.5</v>
      </c>
      <c r="AP147" s="112">
        <v>0</v>
      </c>
      <c r="AQ147" s="112">
        <v>0</v>
      </c>
      <c r="AR147" s="112">
        <v>0</v>
      </c>
      <c r="AS147" s="113">
        <v>0</v>
      </c>
      <c r="AT147" s="113">
        <v>0</v>
      </c>
      <c r="AU147" s="111">
        <v>2223.16</v>
      </c>
      <c r="AV147" s="112">
        <v>2128.4399999999987</v>
      </c>
      <c r="AW147" s="112">
        <v>2225.6099999999992</v>
      </c>
      <c r="AX147" s="112">
        <v>1445.51</v>
      </c>
      <c r="AY147" s="113">
        <v>1532.2</v>
      </c>
      <c r="AZ147" s="113">
        <v>996.469999999999</v>
      </c>
    </row>
    <row r="148" spans="1:52" x14ac:dyDescent="0.25">
      <c r="A148" s="101" t="s">
        <v>920</v>
      </c>
      <c r="B148" s="102" t="s">
        <v>171</v>
      </c>
      <c r="C148" s="102"/>
      <c r="D148" s="102" t="s">
        <v>1048</v>
      </c>
      <c r="E148" s="103">
        <v>4.2100000000000009</v>
      </c>
      <c r="F148" s="104">
        <v>80</v>
      </c>
      <c r="G148" s="105">
        <f t="shared" si="48"/>
        <v>40</v>
      </c>
      <c r="H148" s="105">
        <v>159</v>
      </c>
      <c r="I148" s="106">
        <f t="shared" si="49"/>
        <v>0.25157232704402516</v>
      </c>
      <c r="J148" s="86">
        <v>490</v>
      </c>
      <c r="K148" s="87">
        <v>150</v>
      </c>
      <c r="L148" s="87">
        <v>0</v>
      </c>
      <c r="M148" s="87">
        <v>0</v>
      </c>
      <c r="N148" s="90"/>
      <c r="O148" s="90">
        <v>0</v>
      </c>
      <c r="P148" s="86">
        <f t="shared" si="57"/>
        <v>2062.9000000000005</v>
      </c>
      <c r="Q148" s="87">
        <f t="shared" si="58"/>
        <v>631.50000000000011</v>
      </c>
      <c r="R148" s="87">
        <f t="shared" si="59"/>
        <v>0</v>
      </c>
      <c r="S148" s="88">
        <f t="shared" si="60"/>
        <v>0</v>
      </c>
      <c r="T148" s="89">
        <f t="shared" si="61"/>
        <v>0</v>
      </c>
      <c r="U148" s="89">
        <f t="shared" si="50"/>
        <v>0</v>
      </c>
      <c r="V148" s="86">
        <v>84</v>
      </c>
      <c r="W148" s="87">
        <v>102</v>
      </c>
      <c r="X148" s="87">
        <v>79</v>
      </c>
      <c r="Y148" s="87">
        <v>64</v>
      </c>
      <c r="Z148" s="90">
        <v>69</v>
      </c>
      <c r="AA148" s="90">
        <v>83</v>
      </c>
      <c r="AB148" s="91">
        <f t="shared" si="51"/>
        <v>0.52830188679245282</v>
      </c>
      <c r="AC148" s="91">
        <f t="shared" si="52"/>
        <v>0.64150943396226412</v>
      </c>
      <c r="AD148" s="91">
        <f t="shared" si="53"/>
        <v>0.49685534591194969</v>
      </c>
      <c r="AE148" s="91">
        <f t="shared" si="54"/>
        <v>0.40251572327044027</v>
      </c>
      <c r="AF148" s="91">
        <f t="shared" si="55"/>
        <v>0.43396226415094341</v>
      </c>
      <c r="AG148" s="91">
        <f t="shared" si="56"/>
        <v>0.5220125786163522</v>
      </c>
      <c r="AH148" s="92">
        <v>2356.58</v>
      </c>
      <c r="AI148" s="93">
        <v>2488.2199999999998</v>
      </c>
      <c r="AJ148" s="93">
        <v>2488.2199999999998</v>
      </c>
      <c r="AK148" s="93">
        <v>2113.6099999999988</v>
      </c>
      <c r="AL148" s="94">
        <v>1022</v>
      </c>
      <c r="AM148" s="94">
        <v>273.64</v>
      </c>
      <c r="AN148" s="94" t="s">
        <v>779</v>
      </c>
      <c r="AO148" s="111">
        <v>4384.5</v>
      </c>
      <c r="AP148" s="112">
        <v>1339.5</v>
      </c>
      <c r="AQ148" s="112">
        <v>0</v>
      </c>
      <c r="AR148" s="112">
        <v>0</v>
      </c>
      <c r="AS148" s="113">
        <v>0</v>
      </c>
      <c r="AT148" s="113">
        <v>0</v>
      </c>
      <c r="AU148" s="111">
        <v>0</v>
      </c>
      <c r="AV148" s="112">
        <v>0</v>
      </c>
      <c r="AW148" s="112">
        <v>0</v>
      </c>
      <c r="AX148" s="112">
        <v>0</v>
      </c>
      <c r="AY148" s="113">
        <v>0</v>
      </c>
      <c r="AZ148" s="113">
        <v>0</v>
      </c>
    </row>
    <row r="149" spans="1:52" x14ac:dyDescent="0.25">
      <c r="A149" s="101" t="s">
        <v>406</v>
      </c>
      <c r="B149" s="102" t="s">
        <v>407</v>
      </c>
      <c r="C149" s="102"/>
      <c r="D149" s="102" t="s">
        <v>1048</v>
      </c>
      <c r="E149" s="103">
        <v>4.18</v>
      </c>
      <c r="F149" s="104">
        <v>300</v>
      </c>
      <c r="G149" s="105">
        <f t="shared" si="48"/>
        <v>150</v>
      </c>
      <c r="H149" s="105">
        <v>188</v>
      </c>
      <c r="I149" s="106">
        <f t="shared" si="49"/>
        <v>0.7978723404255319</v>
      </c>
      <c r="J149" s="86">
        <v>0</v>
      </c>
      <c r="K149" s="87">
        <v>200</v>
      </c>
      <c r="L149" s="87">
        <v>0</v>
      </c>
      <c r="M149" s="87">
        <v>0</v>
      </c>
      <c r="N149" s="90"/>
      <c r="O149" s="90">
        <v>0</v>
      </c>
      <c r="P149" s="86">
        <f t="shared" si="57"/>
        <v>0</v>
      </c>
      <c r="Q149" s="87">
        <f t="shared" si="58"/>
        <v>836</v>
      </c>
      <c r="R149" s="87">
        <f t="shared" si="59"/>
        <v>0</v>
      </c>
      <c r="S149" s="88">
        <f t="shared" si="60"/>
        <v>0</v>
      </c>
      <c r="T149" s="89">
        <f t="shared" si="61"/>
        <v>0</v>
      </c>
      <c r="U149" s="89">
        <f t="shared" si="50"/>
        <v>0</v>
      </c>
      <c r="V149" s="86">
        <v>95</v>
      </c>
      <c r="W149" s="87">
        <v>115</v>
      </c>
      <c r="X149" s="87">
        <v>102</v>
      </c>
      <c r="Y149" s="87">
        <v>92</v>
      </c>
      <c r="Z149" s="90">
        <v>88</v>
      </c>
      <c r="AA149" s="90">
        <v>90</v>
      </c>
      <c r="AB149" s="91">
        <f t="shared" si="51"/>
        <v>0.50531914893617025</v>
      </c>
      <c r="AC149" s="91">
        <f t="shared" si="52"/>
        <v>0.61170212765957444</v>
      </c>
      <c r="AD149" s="91">
        <f t="shared" si="53"/>
        <v>0.54255319148936165</v>
      </c>
      <c r="AE149" s="91">
        <f t="shared" si="54"/>
        <v>0.48936170212765956</v>
      </c>
      <c r="AF149" s="91">
        <f t="shared" si="55"/>
        <v>0.46808510638297873</v>
      </c>
      <c r="AG149" s="91">
        <f t="shared" si="56"/>
        <v>0.47872340425531917</v>
      </c>
      <c r="AH149" s="92">
        <v>487.2399999999999</v>
      </c>
      <c r="AI149" s="93">
        <v>586.06999999999994</v>
      </c>
      <c r="AJ149" s="93">
        <v>586.06999999999971</v>
      </c>
      <c r="AK149" s="93">
        <v>487.79999999999961</v>
      </c>
      <c r="AL149" s="94">
        <v>491.15</v>
      </c>
      <c r="AM149" s="94">
        <v>394.77</v>
      </c>
      <c r="AN149" s="94" t="s">
        <v>779</v>
      </c>
      <c r="AO149" s="111">
        <v>0</v>
      </c>
      <c r="AP149" s="112">
        <v>6036</v>
      </c>
      <c r="AQ149" s="112">
        <v>0</v>
      </c>
      <c r="AR149" s="112">
        <v>0</v>
      </c>
      <c r="AS149" s="113">
        <v>0</v>
      </c>
      <c r="AT149" s="113">
        <v>0</v>
      </c>
      <c r="AU149" s="111">
        <v>3342.940000000001</v>
      </c>
      <c r="AV149" s="112">
        <v>4042.969999999998</v>
      </c>
      <c r="AW149" s="112">
        <v>3550.0999999999981</v>
      </c>
      <c r="AX149" s="112">
        <v>3244.0699999999902</v>
      </c>
      <c r="AY149" s="113">
        <v>3151.0599999999899</v>
      </c>
      <c r="AZ149" s="113">
        <v>3087.72999999999</v>
      </c>
    </row>
    <row r="150" spans="1:52" x14ac:dyDescent="0.25">
      <c r="A150" s="101" t="s">
        <v>270</v>
      </c>
      <c r="B150" s="102" t="s">
        <v>271</v>
      </c>
      <c r="C150" s="102"/>
      <c r="D150" s="102" t="s">
        <v>1048</v>
      </c>
      <c r="E150" s="103">
        <v>4.0599999999999987</v>
      </c>
      <c r="F150" s="104">
        <v>3000</v>
      </c>
      <c r="G150" s="105">
        <f t="shared" si="48"/>
        <v>1500</v>
      </c>
      <c r="H150" s="105">
        <v>4553</v>
      </c>
      <c r="I150" s="106">
        <f t="shared" si="49"/>
        <v>0.32945310784098397</v>
      </c>
      <c r="J150" s="86">
        <v>350</v>
      </c>
      <c r="K150" s="87">
        <v>0</v>
      </c>
      <c r="L150" s="87">
        <v>0</v>
      </c>
      <c r="M150" s="87">
        <v>0</v>
      </c>
      <c r="N150" s="90"/>
      <c r="O150" s="90">
        <v>0</v>
      </c>
      <c r="P150" s="86">
        <f t="shared" si="57"/>
        <v>1420.9999999999995</v>
      </c>
      <c r="Q150" s="87">
        <f t="shared" si="58"/>
        <v>0</v>
      </c>
      <c r="R150" s="87">
        <f t="shared" si="59"/>
        <v>0</v>
      </c>
      <c r="S150" s="88">
        <f t="shared" si="60"/>
        <v>0</v>
      </c>
      <c r="T150" s="89">
        <f t="shared" si="61"/>
        <v>0</v>
      </c>
      <c r="U150" s="89">
        <f t="shared" si="50"/>
        <v>0</v>
      </c>
      <c r="V150" s="86">
        <v>0</v>
      </c>
      <c r="W150" s="87">
        <v>349</v>
      </c>
      <c r="X150" s="87">
        <v>0</v>
      </c>
      <c r="Y150" s="87">
        <v>0</v>
      </c>
      <c r="Z150" s="90">
        <v>0</v>
      </c>
      <c r="AA150" s="90">
        <v>0</v>
      </c>
      <c r="AB150" s="91">
        <f t="shared" si="51"/>
        <v>0</v>
      </c>
      <c r="AC150" s="91">
        <f t="shared" si="52"/>
        <v>7.6652756424335597E-2</v>
      </c>
      <c r="AD150" s="91">
        <f t="shared" si="53"/>
        <v>0</v>
      </c>
      <c r="AE150" s="91">
        <f t="shared" si="54"/>
        <v>0</v>
      </c>
      <c r="AF150" s="91">
        <f t="shared" si="55"/>
        <v>0</v>
      </c>
      <c r="AG150" s="91">
        <f t="shared" si="56"/>
        <v>0</v>
      </c>
      <c r="AH150" s="92">
        <v>0</v>
      </c>
      <c r="AI150" s="93">
        <v>761.97</v>
      </c>
      <c r="AJ150" s="93">
        <v>761.97</v>
      </c>
      <c r="AK150" s="93">
        <v>0</v>
      </c>
      <c r="AL150" s="94">
        <v>0</v>
      </c>
      <c r="AM150" s="94">
        <v>0</v>
      </c>
      <c r="AN150" s="94" t="s">
        <v>779</v>
      </c>
      <c r="AO150" s="111">
        <v>5236</v>
      </c>
      <c r="AP150" s="112">
        <v>0</v>
      </c>
      <c r="AQ150" s="112">
        <v>0</v>
      </c>
      <c r="AR150" s="112">
        <v>0</v>
      </c>
      <c r="AS150" s="113">
        <v>0</v>
      </c>
      <c r="AT150" s="113">
        <v>0</v>
      </c>
      <c r="AU150" s="111">
        <v>0</v>
      </c>
      <c r="AV150" s="112">
        <v>5972.54</v>
      </c>
      <c r="AW150" s="112">
        <v>0</v>
      </c>
      <c r="AX150" s="112">
        <v>0</v>
      </c>
      <c r="AY150" s="113">
        <v>0</v>
      </c>
      <c r="AZ150" s="113">
        <v>0</v>
      </c>
    </row>
    <row r="151" spans="1:52" x14ac:dyDescent="0.25">
      <c r="A151" s="101" t="s">
        <v>265</v>
      </c>
      <c r="B151" s="102" t="s">
        <v>266</v>
      </c>
      <c r="C151" s="102"/>
      <c r="D151" s="102" t="s">
        <v>1048</v>
      </c>
      <c r="E151" s="103">
        <v>4.0400000000000009</v>
      </c>
      <c r="F151" s="104">
        <v>50</v>
      </c>
      <c r="G151" s="105">
        <f t="shared" si="48"/>
        <v>25</v>
      </c>
      <c r="H151" s="105">
        <v>130</v>
      </c>
      <c r="I151" s="106">
        <f t="shared" si="49"/>
        <v>0.19230769230769232</v>
      </c>
      <c r="J151" s="86">
        <v>100</v>
      </c>
      <c r="K151" s="87">
        <v>0</v>
      </c>
      <c r="L151" s="87">
        <v>96</v>
      </c>
      <c r="M151" s="87">
        <v>100</v>
      </c>
      <c r="N151" s="90"/>
      <c r="O151" s="90">
        <v>154</v>
      </c>
      <c r="P151" s="86">
        <f t="shared" si="57"/>
        <v>404.00000000000011</v>
      </c>
      <c r="Q151" s="87">
        <f t="shared" si="58"/>
        <v>0</v>
      </c>
      <c r="R151" s="87">
        <f t="shared" si="59"/>
        <v>387.84000000000009</v>
      </c>
      <c r="S151" s="88">
        <f t="shared" si="60"/>
        <v>404.00000000000011</v>
      </c>
      <c r="T151" s="89">
        <f t="shared" si="61"/>
        <v>0</v>
      </c>
      <c r="U151" s="89">
        <f t="shared" si="50"/>
        <v>622.1600000000002</v>
      </c>
      <c r="V151" s="86">
        <v>53</v>
      </c>
      <c r="W151" s="87">
        <v>123</v>
      </c>
      <c r="X151" s="87">
        <v>36</v>
      </c>
      <c r="Y151" s="87">
        <v>98</v>
      </c>
      <c r="Z151" s="90">
        <v>40</v>
      </c>
      <c r="AA151" s="90">
        <v>64</v>
      </c>
      <c r="AB151" s="91">
        <f t="shared" si="51"/>
        <v>0.40769230769230769</v>
      </c>
      <c r="AC151" s="91">
        <f t="shared" si="52"/>
        <v>0.94615384615384612</v>
      </c>
      <c r="AD151" s="91">
        <f t="shared" si="53"/>
        <v>0.27692307692307694</v>
      </c>
      <c r="AE151" s="91">
        <f t="shared" si="54"/>
        <v>0.75384615384615383</v>
      </c>
      <c r="AF151" s="91">
        <f t="shared" si="55"/>
        <v>0.30769230769230771</v>
      </c>
      <c r="AG151" s="91">
        <f t="shared" si="56"/>
        <v>0.49230769230769234</v>
      </c>
      <c r="AH151" s="92">
        <v>425.69000000000011</v>
      </c>
      <c r="AI151" s="93">
        <v>471.25999999999965</v>
      </c>
      <c r="AJ151" s="93">
        <v>471.25999999999971</v>
      </c>
      <c r="AK151" s="93">
        <v>121.4899999999999</v>
      </c>
      <c r="AL151" s="94">
        <v>280.849999999999</v>
      </c>
      <c r="AM151" s="94">
        <v>125.81</v>
      </c>
      <c r="AN151" s="94" t="s">
        <v>779</v>
      </c>
      <c r="AO151" s="111">
        <v>1457</v>
      </c>
      <c r="AP151" s="112">
        <v>0</v>
      </c>
      <c r="AQ151" s="112">
        <v>1408.32</v>
      </c>
      <c r="AR151" s="112">
        <v>1416</v>
      </c>
      <c r="AS151" s="113">
        <v>0</v>
      </c>
      <c r="AT151" s="113">
        <v>2162.46</v>
      </c>
      <c r="AU151" s="111">
        <v>1204.79</v>
      </c>
      <c r="AV151" s="112">
        <v>2279.5199999999991</v>
      </c>
      <c r="AW151" s="112">
        <v>651.41</v>
      </c>
      <c r="AX151" s="112">
        <v>1722.24</v>
      </c>
      <c r="AY151" s="113">
        <v>634.32999999999902</v>
      </c>
      <c r="AZ151" s="113">
        <v>1054.45</v>
      </c>
    </row>
    <row r="152" spans="1:52" x14ac:dyDescent="0.25">
      <c r="A152" s="101" t="s">
        <v>694</v>
      </c>
      <c r="B152" s="102" t="s">
        <v>695</v>
      </c>
      <c r="C152" s="102"/>
      <c r="D152" s="102" t="s">
        <v>1048</v>
      </c>
      <c r="E152" s="103">
        <v>4.039999999999992</v>
      </c>
      <c r="F152" s="104">
        <v>2000</v>
      </c>
      <c r="G152" s="105">
        <f t="shared" si="48"/>
        <v>1000</v>
      </c>
      <c r="H152" s="105">
        <v>10390</v>
      </c>
      <c r="I152" s="106">
        <f t="shared" si="49"/>
        <v>9.6246390760346481E-2</v>
      </c>
      <c r="J152" s="86">
        <v>97</v>
      </c>
      <c r="K152" s="87">
        <v>50</v>
      </c>
      <c r="L152" s="87">
        <v>0</v>
      </c>
      <c r="M152" s="87">
        <v>0</v>
      </c>
      <c r="N152" s="90">
        <v>29</v>
      </c>
      <c r="O152" s="90">
        <v>91</v>
      </c>
      <c r="P152" s="86">
        <f t="shared" si="57"/>
        <v>391.8799999999992</v>
      </c>
      <c r="Q152" s="87">
        <f t="shared" si="58"/>
        <v>201.9999999999996</v>
      </c>
      <c r="R152" s="87">
        <f t="shared" si="59"/>
        <v>0</v>
      </c>
      <c r="S152" s="88">
        <f t="shared" si="60"/>
        <v>0</v>
      </c>
      <c r="T152" s="89">
        <f t="shared" si="61"/>
        <v>117.15999999999977</v>
      </c>
      <c r="U152" s="89">
        <f t="shared" si="50"/>
        <v>367.6399999999993</v>
      </c>
      <c r="V152" s="86">
        <v>304</v>
      </c>
      <c r="W152" s="87">
        <v>96</v>
      </c>
      <c r="X152" s="87">
        <v>48</v>
      </c>
      <c r="Y152" s="87">
        <v>0</v>
      </c>
      <c r="Z152" s="90">
        <v>0</v>
      </c>
      <c r="AA152" s="90">
        <v>0</v>
      </c>
      <c r="AB152" s="91">
        <f t="shared" si="51"/>
        <v>2.9258902791145333E-2</v>
      </c>
      <c r="AC152" s="91">
        <f t="shared" si="52"/>
        <v>9.2396535129932629E-3</v>
      </c>
      <c r="AD152" s="91">
        <f t="shared" si="53"/>
        <v>4.6198267564966315E-3</v>
      </c>
      <c r="AE152" s="91">
        <f t="shared" si="54"/>
        <v>0</v>
      </c>
      <c r="AF152" s="91">
        <f t="shared" si="55"/>
        <v>0</v>
      </c>
      <c r="AG152" s="91">
        <f t="shared" si="56"/>
        <v>0</v>
      </c>
      <c r="AH152" s="92">
        <v>180.8599999999999</v>
      </c>
      <c r="AI152" s="93">
        <v>320.64</v>
      </c>
      <c r="AJ152" s="93">
        <v>320.64</v>
      </c>
      <c r="AK152" s="93">
        <v>198.72</v>
      </c>
      <c r="AL152" s="94">
        <v>0</v>
      </c>
      <c r="AM152" s="94">
        <v>0</v>
      </c>
      <c r="AN152" s="94" t="s">
        <v>780</v>
      </c>
      <c r="AO152" s="111">
        <v>22318.730000000003</v>
      </c>
      <c r="AP152" s="112">
        <v>11696.5</v>
      </c>
      <c r="AQ152" s="112">
        <v>0</v>
      </c>
      <c r="AR152" s="112">
        <v>0</v>
      </c>
      <c r="AS152" s="113">
        <v>6515.43</v>
      </c>
      <c r="AT152" s="113">
        <v>20808.910000000003</v>
      </c>
      <c r="AU152" s="111">
        <v>97275.12000000001</v>
      </c>
      <c r="AV152" s="112">
        <v>22560</v>
      </c>
      <c r="AW152" s="112">
        <v>11328</v>
      </c>
      <c r="AX152" s="112">
        <v>0</v>
      </c>
      <c r="AY152" s="113">
        <v>0</v>
      </c>
      <c r="AZ152" s="113">
        <v>0</v>
      </c>
    </row>
    <row r="153" spans="1:52" x14ac:dyDescent="0.25">
      <c r="A153" s="101" t="s">
        <v>921</v>
      </c>
      <c r="B153" s="102" t="s">
        <v>461</v>
      </c>
      <c r="C153" s="102"/>
      <c r="D153" s="102" t="s">
        <v>1048</v>
      </c>
      <c r="E153" s="103">
        <v>4.0200000000000031</v>
      </c>
      <c r="F153" s="104">
        <v>500</v>
      </c>
      <c r="G153" s="105">
        <f t="shared" si="48"/>
        <v>250</v>
      </c>
      <c r="H153" s="105">
        <v>122</v>
      </c>
      <c r="I153" s="106">
        <f t="shared" si="49"/>
        <v>2.0491803278688523</v>
      </c>
      <c r="J153" s="86">
        <v>50</v>
      </c>
      <c r="K153" s="87">
        <v>50</v>
      </c>
      <c r="L153" s="87">
        <v>150</v>
      </c>
      <c r="M153" s="87">
        <v>450</v>
      </c>
      <c r="N153" s="90">
        <v>50</v>
      </c>
      <c r="O153" s="90">
        <v>0</v>
      </c>
      <c r="P153" s="86">
        <f t="shared" si="57"/>
        <v>201.00000000000017</v>
      </c>
      <c r="Q153" s="87">
        <f t="shared" si="58"/>
        <v>201.00000000000017</v>
      </c>
      <c r="R153" s="87">
        <f t="shared" si="59"/>
        <v>603.00000000000045</v>
      </c>
      <c r="S153" s="88">
        <f t="shared" si="60"/>
        <v>1809.0000000000014</v>
      </c>
      <c r="T153" s="89">
        <f t="shared" si="61"/>
        <v>201.00000000000017</v>
      </c>
      <c r="U153" s="89">
        <f t="shared" si="50"/>
        <v>0</v>
      </c>
      <c r="V153" s="86">
        <v>490</v>
      </c>
      <c r="W153" s="87">
        <v>280</v>
      </c>
      <c r="X153" s="87">
        <v>336</v>
      </c>
      <c r="Y153" s="87">
        <v>263</v>
      </c>
      <c r="Z153" s="90">
        <v>266</v>
      </c>
      <c r="AA153" s="90">
        <v>342</v>
      </c>
      <c r="AB153" s="91">
        <f t="shared" si="51"/>
        <v>4.0163934426229506</v>
      </c>
      <c r="AC153" s="91">
        <f t="shared" si="52"/>
        <v>2.2950819672131146</v>
      </c>
      <c r="AD153" s="91">
        <f t="shared" si="53"/>
        <v>2.7540983606557377</v>
      </c>
      <c r="AE153" s="91">
        <f t="shared" si="54"/>
        <v>2.1557377049180326</v>
      </c>
      <c r="AF153" s="91">
        <f t="shared" si="55"/>
        <v>2.180327868852459</v>
      </c>
      <c r="AG153" s="91">
        <f t="shared" si="56"/>
        <v>2.8032786885245899</v>
      </c>
      <c r="AH153" s="92">
        <v>1310.1500000000001</v>
      </c>
      <c r="AI153" s="93">
        <v>914.1299999999992</v>
      </c>
      <c r="AJ153" s="93">
        <v>914.12999999999897</v>
      </c>
      <c r="AK153" s="93">
        <v>488.49999999999886</v>
      </c>
      <c r="AL153" s="94">
        <v>208.54999999999899</v>
      </c>
      <c r="AM153" s="94">
        <v>528.35</v>
      </c>
      <c r="AN153" s="94" t="s">
        <v>780</v>
      </c>
      <c r="AO153" s="111">
        <v>2035.5</v>
      </c>
      <c r="AP153" s="112">
        <v>2079.5</v>
      </c>
      <c r="AQ153" s="112">
        <v>6271.5</v>
      </c>
      <c r="AR153" s="112">
        <v>17919</v>
      </c>
      <c r="AS153" s="113">
        <v>1850</v>
      </c>
      <c r="AT153" s="113">
        <v>0</v>
      </c>
      <c r="AU153" s="111">
        <v>0</v>
      </c>
      <c r="AV153" s="112">
        <v>0</v>
      </c>
      <c r="AW153" s="112">
        <v>0</v>
      </c>
      <c r="AX153" s="112">
        <v>0</v>
      </c>
      <c r="AY153" s="113">
        <v>0</v>
      </c>
      <c r="AZ153" s="113">
        <v>0</v>
      </c>
    </row>
    <row r="154" spans="1:52" x14ac:dyDescent="0.25">
      <c r="A154" s="101" t="s">
        <v>526</v>
      </c>
      <c r="B154" s="102" t="s">
        <v>527</v>
      </c>
      <c r="C154" s="102"/>
      <c r="D154" s="102" t="s">
        <v>1048</v>
      </c>
      <c r="E154" s="103">
        <v>4.0200000000000031</v>
      </c>
      <c r="F154" s="104">
        <v>1000</v>
      </c>
      <c r="G154" s="105">
        <f t="shared" si="48"/>
        <v>500</v>
      </c>
      <c r="H154" s="105">
        <v>1689</v>
      </c>
      <c r="I154" s="106">
        <f t="shared" si="49"/>
        <v>0.29603315571343991</v>
      </c>
      <c r="J154" s="86">
        <v>68</v>
      </c>
      <c r="K154" s="87">
        <v>136</v>
      </c>
      <c r="L154" s="87">
        <v>0</v>
      </c>
      <c r="M154" s="87">
        <v>70</v>
      </c>
      <c r="N154" s="90"/>
      <c r="O154" s="90">
        <v>0</v>
      </c>
      <c r="P154" s="86">
        <f t="shared" si="57"/>
        <v>273.36000000000024</v>
      </c>
      <c r="Q154" s="87">
        <f t="shared" si="58"/>
        <v>546.72000000000048</v>
      </c>
      <c r="R154" s="87">
        <f t="shared" si="59"/>
        <v>0</v>
      </c>
      <c r="S154" s="88">
        <f t="shared" si="60"/>
        <v>281.4000000000002</v>
      </c>
      <c r="T154" s="89">
        <f t="shared" si="61"/>
        <v>0</v>
      </c>
      <c r="U154" s="89">
        <f t="shared" si="50"/>
        <v>0</v>
      </c>
      <c r="V154" s="86">
        <v>376</v>
      </c>
      <c r="W154" s="87">
        <v>363</v>
      </c>
      <c r="X154" s="87">
        <v>630</v>
      </c>
      <c r="Y154" s="87">
        <v>169</v>
      </c>
      <c r="Z154" s="90">
        <v>412</v>
      </c>
      <c r="AA154" s="90">
        <v>740</v>
      </c>
      <c r="AB154" s="91">
        <f t="shared" si="51"/>
        <v>0.22261693309650682</v>
      </c>
      <c r="AC154" s="91">
        <f t="shared" si="52"/>
        <v>0.21492007104795738</v>
      </c>
      <c r="AD154" s="91">
        <f t="shared" si="53"/>
        <v>0.37300177619893427</v>
      </c>
      <c r="AE154" s="91">
        <f t="shared" si="54"/>
        <v>0.10005920663114269</v>
      </c>
      <c r="AF154" s="91">
        <f t="shared" si="55"/>
        <v>0.24393132030787448</v>
      </c>
      <c r="AG154" s="91">
        <f t="shared" si="56"/>
        <v>0.43812907045589106</v>
      </c>
      <c r="AH154" s="92">
        <v>2388.0699999999988</v>
      </c>
      <c r="AI154" s="93">
        <v>1611.6399999999996</v>
      </c>
      <c r="AJ154" s="93">
        <v>1611.6399999999999</v>
      </c>
      <c r="AK154" s="93">
        <v>1497.3099999999981</v>
      </c>
      <c r="AL154" s="94">
        <v>693.05000000000098</v>
      </c>
      <c r="AM154" s="94">
        <v>2842.6999999999898</v>
      </c>
      <c r="AN154" s="94" t="s">
        <v>780</v>
      </c>
      <c r="AO154" s="111">
        <v>3272.16</v>
      </c>
      <c r="AP154" s="112">
        <v>6508.2</v>
      </c>
      <c r="AQ154" s="112">
        <v>0</v>
      </c>
      <c r="AR154" s="112">
        <v>3342</v>
      </c>
      <c r="AS154" s="113">
        <v>0</v>
      </c>
      <c r="AT154" s="113">
        <v>0</v>
      </c>
      <c r="AU154" s="111">
        <v>22956.75</v>
      </c>
      <c r="AV154" s="112">
        <v>21275.309999999969</v>
      </c>
      <c r="AW154" s="112">
        <v>35731.299999999967</v>
      </c>
      <c r="AX154" s="112">
        <v>9775.86</v>
      </c>
      <c r="AY154" s="113">
        <v>23993.5099999999</v>
      </c>
      <c r="AZ154" s="113">
        <v>42219.609999999899</v>
      </c>
    </row>
    <row r="155" spans="1:52" x14ac:dyDescent="0.25">
      <c r="A155" s="101" t="s">
        <v>922</v>
      </c>
      <c r="B155" s="102" t="s">
        <v>231</v>
      </c>
      <c r="C155" s="102"/>
      <c r="D155" s="102" t="s">
        <v>1048</v>
      </c>
      <c r="E155" s="103">
        <v>4.01</v>
      </c>
      <c r="F155" s="104">
        <v>500</v>
      </c>
      <c r="G155" s="105">
        <f t="shared" si="48"/>
        <v>250</v>
      </c>
      <c r="H155" s="105">
        <v>555</v>
      </c>
      <c r="I155" s="106">
        <f t="shared" si="49"/>
        <v>0.45045045045045046</v>
      </c>
      <c r="J155" s="86">
        <v>0</v>
      </c>
      <c r="K155" s="87">
        <v>400</v>
      </c>
      <c r="L155" s="87">
        <v>100</v>
      </c>
      <c r="M155" s="87">
        <v>150</v>
      </c>
      <c r="N155" s="90">
        <v>2240</v>
      </c>
      <c r="O155" s="90">
        <v>0</v>
      </c>
      <c r="P155" s="86">
        <f t="shared" si="57"/>
        <v>0</v>
      </c>
      <c r="Q155" s="87">
        <f t="shared" si="58"/>
        <v>1604</v>
      </c>
      <c r="R155" s="87">
        <f t="shared" si="59"/>
        <v>401</v>
      </c>
      <c r="S155" s="88">
        <f t="shared" si="60"/>
        <v>601.5</v>
      </c>
      <c r="T155" s="89">
        <f t="shared" si="61"/>
        <v>8982.4</v>
      </c>
      <c r="U155" s="89">
        <f t="shared" si="50"/>
        <v>0</v>
      </c>
      <c r="V155" s="86">
        <v>523</v>
      </c>
      <c r="W155" s="87">
        <v>350</v>
      </c>
      <c r="X155" s="87">
        <v>410</v>
      </c>
      <c r="Y155" s="87">
        <v>161</v>
      </c>
      <c r="Z155" s="90">
        <v>89</v>
      </c>
      <c r="AA155" s="90">
        <v>363</v>
      </c>
      <c r="AB155" s="91">
        <f t="shared" si="51"/>
        <v>0.94234234234234238</v>
      </c>
      <c r="AC155" s="91">
        <f t="shared" si="52"/>
        <v>0.63063063063063063</v>
      </c>
      <c r="AD155" s="91">
        <f t="shared" si="53"/>
        <v>0.73873873873873874</v>
      </c>
      <c r="AE155" s="91">
        <f t="shared" si="54"/>
        <v>0.29009009009009007</v>
      </c>
      <c r="AF155" s="91">
        <f t="shared" si="55"/>
        <v>0.16036036036036036</v>
      </c>
      <c r="AG155" s="91">
        <f t="shared" si="56"/>
        <v>0.65405405405405403</v>
      </c>
      <c r="AH155" s="92">
        <v>4693.26</v>
      </c>
      <c r="AI155" s="93">
        <v>3159.0199999999954</v>
      </c>
      <c r="AJ155" s="93">
        <v>3159.0199999999945</v>
      </c>
      <c r="AK155" s="93">
        <v>2034.8499999999981</v>
      </c>
      <c r="AL155" s="94">
        <v>260.41000000000003</v>
      </c>
      <c r="AM155" s="94">
        <v>1494.8599999999899</v>
      </c>
      <c r="AN155" s="94" t="s">
        <v>779</v>
      </c>
      <c r="AO155" s="111">
        <v>0</v>
      </c>
      <c r="AP155" s="112">
        <v>4284</v>
      </c>
      <c r="AQ155" s="112">
        <v>1069</v>
      </c>
      <c r="AR155" s="112">
        <v>1603.5</v>
      </c>
      <c r="AS155" s="113">
        <v>24530.400000000001</v>
      </c>
      <c r="AT155" s="113">
        <v>0</v>
      </c>
      <c r="AU155" s="111">
        <v>0</v>
      </c>
      <c r="AV155" s="112">
        <v>0</v>
      </c>
      <c r="AW155" s="112">
        <v>0</v>
      </c>
      <c r="AX155" s="112">
        <v>0</v>
      </c>
      <c r="AY155" s="113">
        <v>0</v>
      </c>
      <c r="AZ155" s="113">
        <v>0</v>
      </c>
    </row>
    <row r="156" spans="1:52" x14ac:dyDescent="0.25">
      <c r="A156" s="101" t="s">
        <v>791</v>
      </c>
      <c r="B156" s="102" t="s">
        <v>834</v>
      </c>
      <c r="C156" s="102"/>
      <c r="D156" s="102" t="s">
        <v>1048</v>
      </c>
      <c r="E156" s="103">
        <v>3.9302076620121733</v>
      </c>
      <c r="F156" s="104">
        <v>100</v>
      </c>
      <c r="G156" s="105">
        <f t="shared" si="48"/>
        <v>50</v>
      </c>
      <c r="H156" s="105">
        <v>36</v>
      </c>
      <c r="I156" s="106">
        <f t="shared" si="49"/>
        <v>1.3888888888888888</v>
      </c>
      <c r="J156" s="86">
        <v>0</v>
      </c>
      <c r="K156" s="86">
        <v>0</v>
      </c>
      <c r="L156" s="86">
        <v>0</v>
      </c>
      <c r="M156" s="86">
        <v>0</v>
      </c>
      <c r="N156" s="86">
        <v>0</v>
      </c>
      <c r="O156" s="90">
        <v>0</v>
      </c>
      <c r="P156" s="86"/>
      <c r="Q156" s="87"/>
      <c r="R156" s="87"/>
      <c r="S156" s="88"/>
      <c r="T156" s="89"/>
      <c r="U156" s="89">
        <f t="shared" si="50"/>
        <v>0</v>
      </c>
      <c r="V156" s="86"/>
      <c r="W156" s="87"/>
      <c r="X156" s="87"/>
      <c r="Y156" s="87"/>
      <c r="Z156" s="90"/>
      <c r="AA156" s="90"/>
      <c r="AB156" s="91">
        <f t="shared" si="51"/>
        <v>0</v>
      </c>
      <c r="AC156" s="91">
        <f t="shared" si="52"/>
        <v>0</v>
      </c>
      <c r="AD156" s="91">
        <f t="shared" si="53"/>
        <v>0</v>
      </c>
      <c r="AE156" s="91">
        <f t="shared" si="54"/>
        <v>0</v>
      </c>
      <c r="AF156" s="91">
        <f t="shared" si="55"/>
        <v>0</v>
      </c>
      <c r="AG156" s="91">
        <f t="shared" si="56"/>
        <v>0</v>
      </c>
      <c r="AH156" s="92"/>
      <c r="AI156" s="93"/>
      <c r="AJ156" s="93"/>
      <c r="AK156" s="93"/>
      <c r="AL156" s="94"/>
      <c r="AM156" s="94"/>
      <c r="AN156" s="94" t="s">
        <v>779</v>
      </c>
      <c r="AO156" s="111">
        <v>0</v>
      </c>
      <c r="AP156" s="112">
        <v>0</v>
      </c>
      <c r="AQ156" s="112">
        <v>0</v>
      </c>
      <c r="AR156" s="112">
        <v>0</v>
      </c>
      <c r="AS156" s="113">
        <v>0</v>
      </c>
      <c r="AT156" s="113">
        <v>0</v>
      </c>
      <c r="AU156" s="111">
        <v>76.860000000000014</v>
      </c>
      <c r="AV156" s="112">
        <v>82.71</v>
      </c>
      <c r="AW156" s="112">
        <v>98.12</v>
      </c>
      <c r="AX156" s="112">
        <v>0</v>
      </c>
      <c r="AY156" s="113">
        <v>0</v>
      </c>
      <c r="AZ156" s="113">
        <v>0</v>
      </c>
    </row>
    <row r="157" spans="1:52" x14ac:dyDescent="0.25">
      <c r="A157" s="101" t="s">
        <v>923</v>
      </c>
      <c r="B157" s="102" t="s">
        <v>237</v>
      </c>
      <c r="C157" s="102"/>
      <c r="D157" s="102" t="s">
        <v>1048</v>
      </c>
      <c r="E157" s="103">
        <v>3.9299999999999997</v>
      </c>
      <c r="F157" s="104">
        <v>200</v>
      </c>
      <c r="G157" s="105">
        <f t="shared" si="48"/>
        <v>100</v>
      </c>
      <c r="H157" s="105">
        <v>165</v>
      </c>
      <c r="I157" s="106">
        <f t="shared" si="49"/>
        <v>0.60606060606060608</v>
      </c>
      <c r="J157" s="86">
        <v>170</v>
      </c>
      <c r="K157" s="87">
        <v>0</v>
      </c>
      <c r="L157" s="87">
        <v>0</v>
      </c>
      <c r="M157" s="87">
        <v>0</v>
      </c>
      <c r="N157" s="90"/>
      <c r="O157" s="90">
        <v>0</v>
      </c>
      <c r="P157" s="86">
        <f t="shared" ref="P157:P162" si="62">+J157*E157</f>
        <v>668.09999999999991</v>
      </c>
      <c r="Q157" s="87">
        <f t="shared" ref="Q157:Q162" si="63">+K157*E157</f>
        <v>0</v>
      </c>
      <c r="R157" s="87">
        <f t="shared" ref="R157:R162" si="64">+L157*E157</f>
        <v>0</v>
      </c>
      <c r="S157" s="88">
        <f t="shared" ref="S157:S162" si="65">+M157*E157</f>
        <v>0</v>
      </c>
      <c r="T157" s="89">
        <f t="shared" ref="T157:T162" si="66">+N157*E157</f>
        <v>0</v>
      </c>
      <c r="U157" s="89">
        <f t="shared" si="50"/>
        <v>0</v>
      </c>
      <c r="V157" s="86">
        <v>125</v>
      </c>
      <c r="W157" s="87">
        <v>82</v>
      </c>
      <c r="X157" s="87">
        <v>179</v>
      </c>
      <c r="Y157" s="87">
        <v>43</v>
      </c>
      <c r="Z157" s="90">
        <v>134</v>
      </c>
      <c r="AA157" s="90">
        <v>140</v>
      </c>
      <c r="AB157" s="91">
        <f t="shared" si="51"/>
        <v>0.75757575757575757</v>
      </c>
      <c r="AC157" s="91">
        <f t="shared" si="52"/>
        <v>0.49696969696969695</v>
      </c>
      <c r="AD157" s="91">
        <f t="shared" si="53"/>
        <v>1.084848484848485</v>
      </c>
      <c r="AE157" s="91">
        <f t="shared" si="54"/>
        <v>0.26060606060606062</v>
      </c>
      <c r="AF157" s="91">
        <f t="shared" si="55"/>
        <v>0.81212121212121213</v>
      </c>
      <c r="AG157" s="91">
        <f t="shared" si="56"/>
        <v>0.84848484848484851</v>
      </c>
      <c r="AH157" s="92">
        <v>6493.4600000000009</v>
      </c>
      <c r="AI157" s="93">
        <v>3541.0900000000006</v>
      </c>
      <c r="AJ157" s="93">
        <v>3541.0900000000011</v>
      </c>
      <c r="AK157" s="93">
        <v>7052.5599999999904</v>
      </c>
      <c r="AL157" s="94">
        <v>980.89999999999895</v>
      </c>
      <c r="AM157" s="94">
        <v>548.48</v>
      </c>
      <c r="AN157" s="94" t="s">
        <v>779</v>
      </c>
      <c r="AO157" s="111">
        <v>1897.2</v>
      </c>
      <c r="AP157" s="112">
        <v>0</v>
      </c>
      <c r="AQ157" s="112">
        <v>0</v>
      </c>
      <c r="AR157" s="112">
        <v>0</v>
      </c>
      <c r="AS157" s="113">
        <v>0</v>
      </c>
      <c r="AT157" s="113">
        <v>0</v>
      </c>
      <c r="AU157" s="111">
        <v>0</v>
      </c>
      <c r="AV157" s="112">
        <v>0</v>
      </c>
      <c r="AW157" s="112">
        <v>0</v>
      </c>
      <c r="AX157" s="112">
        <v>0</v>
      </c>
      <c r="AY157" s="113">
        <v>0</v>
      </c>
      <c r="AZ157" s="113">
        <v>0</v>
      </c>
    </row>
    <row r="158" spans="1:52" x14ac:dyDescent="0.25">
      <c r="A158" s="101" t="s">
        <v>88</v>
      </c>
      <c r="B158" s="102" t="s">
        <v>89</v>
      </c>
      <c r="C158" s="102"/>
      <c r="D158" s="102" t="s">
        <v>1048</v>
      </c>
      <c r="E158" s="103">
        <v>3.88</v>
      </c>
      <c r="F158" s="104">
        <v>120</v>
      </c>
      <c r="G158" s="105">
        <f t="shared" si="48"/>
        <v>60</v>
      </c>
      <c r="H158" s="105">
        <v>249</v>
      </c>
      <c r="I158" s="106">
        <f t="shared" si="49"/>
        <v>0.24096385542168675</v>
      </c>
      <c r="J158" s="86">
        <v>0</v>
      </c>
      <c r="K158" s="87">
        <v>0</v>
      </c>
      <c r="L158" s="87">
        <v>516</v>
      </c>
      <c r="M158" s="87">
        <v>0</v>
      </c>
      <c r="N158" s="90"/>
      <c r="O158" s="90">
        <v>0</v>
      </c>
      <c r="P158" s="86">
        <f t="shared" si="62"/>
        <v>0</v>
      </c>
      <c r="Q158" s="87">
        <f t="shared" si="63"/>
        <v>0</v>
      </c>
      <c r="R158" s="87">
        <f t="shared" si="64"/>
        <v>2002.08</v>
      </c>
      <c r="S158" s="88">
        <f t="shared" si="65"/>
        <v>0</v>
      </c>
      <c r="T158" s="89">
        <f t="shared" si="66"/>
        <v>0</v>
      </c>
      <c r="U158" s="89">
        <f t="shared" si="50"/>
        <v>0</v>
      </c>
      <c r="V158" s="86">
        <v>0</v>
      </c>
      <c r="W158" s="87">
        <v>0</v>
      </c>
      <c r="X158" s="87">
        <v>0</v>
      </c>
      <c r="Y158" s="87">
        <v>2</v>
      </c>
      <c r="Z158" s="90">
        <v>0</v>
      </c>
      <c r="AA158" s="90">
        <v>0</v>
      </c>
      <c r="AB158" s="91">
        <f t="shared" si="51"/>
        <v>0</v>
      </c>
      <c r="AC158" s="91">
        <f t="shared" si="52"/>
        <v>0</v>
      </c>
      <c r="AD158" s="91">
        <f t="shared" si="53"/>
        <v>0</v>
      </c>
      <c r="AE158" s="91">
        <f t="shared" si="54"/>
        <v>8.0321285140562242E-3</v>
      </c>
      <c r="AF158" s="91">
        <f t="shared" si="55"/>
        <v>0</v>
      </c>
      <c r="AG158" s="91">
        <f t="shared" si="56"/>
        <v>0</v>
      </c>
      <c r="AH158" s="92">
        <v>0</v>
      </c>
      <c r="AI158" s="93">
        <v>0</v>
      </c>
      <c r="AJ158" s="93">
        <v>0</v>
      </c>
      <c r="AK158" s="93">
        <v>7.76</v>
      </c>
      <c r="AL158" s="94">
        <v>7.76</v>
      </c>
      <c r="AM158" s="94">
        <v>0</v>
      </c>
      <c r="AN158" s="94" t="s">
        <v>779</v>
      </c>
      <c r="AO158" s="111">
        <v>0</v>
      </c>
      <c r="AP158" s="112">
        <v>0</v>
      </c>
      <c r="AQ158" s="112">
        <v>2365.08</v>
      </c>
      <c r="AR158" s="112">
        <v>0</v>
      </c>
      <c r="AS158" s="113">
        <v>0</v>
      </c>
      <c r="AT158" s="113">
        <v>0</v>
      </c>
      <c r="AU158" s="111">
        <v>0</v>
      </c>
      <c r="AV158" s="112">
        <v>0</v>
      </c>
      <c r="AW158" s="112">
        <v>0</v>
      </c>
      <c r="AX158" s="112">
        <v>17</v>
      </c>
      <c r="AY158" s="113">
        <v>0</v>
      </c>
      <c r="AZ158" s="113">
        <v>0</v>
      </c>
    </row>
    <row r="159" spans="1:52" x14ac:dyDescent="0.25">
      <c r="A159" s="101" t="s">
        <v>924</v>
      </c>
      <c r="B159" s="102" t="s">
        <v>80</v>
      </c>
      <c r="C159" s="102"/>
      <c r="D159" s="102" t="s">
        <v>1048</v>
      </c>
      <c r="E159" s="103">
        <v>3.8400000000000007</v>
      </c>
      <c r="F159" s="104">
        <v>5000</v>
      </c>
      <c r="G159" s="105">
        <f t="shared" si="48"/>
        <v>2500</v>
      </c>
      <c r="H159" s="105">
        <v>1810</v>
      </c>
      <c r="I159" s="106">
        <f t="shared" si="49"/>
        <v>1.3812154696132597</v>
      </c>
      <c r="J159" s="86">
        <v>1975.7575757575758</v>
      </c>
      <c r="K159" s="87">
        <v>2127.272727272727</v>
      </c>
      <c r="L159" s="87">
        <v>0</v>
      </c>
      <c r="M159" s="87">
        <v>972.72727272727275</v>
      </c>
      <c r="N159" s="90"/>
      <c r="O159" s="90">
        <v>135</v>
      </c>
      <c r="P159" s="86">
        <f t="shared" si="62"/>
        <v>7586.9090909090928</v>
      </c>
      <c r="Q159" s="87">
        <f t="shared" si="63"/>
        <v>8168.727272727273</v>
      </c>
      <c r="R159" s="87">
        <f t="shared" si="64"/>
        <v>0</v>
      </c>
      <c r="S159" s="88">
        <f t="shared" si="65"/>
        <v>3735.2727272727279</v>
      </c>
      <c r="T159" s="89">
        <f t="shared" si="66"/>
        <v>0</v>
      </c>
      <c r="U159" s="89">
        <f t="shared" si="50"/>
        <v>518.40000000000009</v>
      </c>
      <c r="V159" s="86">
        <v>975</v>
      </c>
      <c r="W159" s="87">
        <v>980</v>
      </c>
      <c r="X159" s="87">
        <v>2639</v>
      </c>
      <c r="Y159" s="87">
        <v>1644</v>
      </c>
      <c r="Z159" s="90">
        <v>1332</v>
      </c>
      <c r="AA159" s="90">
        <v>364</v>
      </c>
      <c r="AB159" s="91">
        <f t="shared" si="51"/>
        <v>0.53867403314917128</v>
      </c>
      <c r="AC159" s="91">
        <f t="shared" si="52"/>
        <v>0.54143646408839774</v>
      </c>
      <c r="AD159" s="91">
        <f t="shared" si="53"/>
        <v>1.4580110497237568</v>
      </c>
      <c r="AE159" s="91">
        <f t="shared" si="54"/>
        <v>0.9082872928176795</v>
      </c>
      <c r="AF159" s="91">
        <f t="shared" si="55"/>
        <v>0.73591160220994478</v>
      </c>
      <c r="AG159" s="91">
        <f t="shared" si="56"/>
        <v>0.20110497237569061</v>
      </c>
      <c r="AH159" s="92">
        <v>822.02999999999986</v>
      </c>
      <c r="AI159" s="93">
        <v>1978.6099999999985</v>
      </c>
      <c r="AJ159" s="93">
        <v>1978.6099999999985</v>
      </c>
      <c r="AK159" s="93">
        <v>3909.3999999999955</v>
      </c>
      <c r="AL159" s="94">
        <v>3344.92</v>
      </c>
      <c r="AM159" s="94">
        <v>958.11999999999898</v>
      </c>
      <c r="AN159" s="94" t="s">
        <v>779</v>
      </c>
      <c r="AO159" s="111">
        <v>11304.920000000002</v>
      </c>
      <c r="AP159" s="112">
        <v>9890.7799999999988</v>
      </c>
      <c r="AQ159" s="112">
        <v>0</v>
      </c>
      <c r="AR159" s="112">
        <v>5613.08</v>
      </c>
      <c r="AS159" s="113">
        <v>531</v>
      </c>
      <c r="AT159" s="113">
        <v>587.25</v>
      </c>
      <c r="AU159" s="111">
        <v>0</v>
      </c>
      <c r="AV159" s="112">
        <v>0</v>
      </c>
      <c r="AW159" s="112">
        <v>0</v>
      </c>
      <c r="AX159" s="112">
        <v>0</v>
      </c>
      <c r="AY159" s="113">
        <v>0</v>
      </c>
      <c r="AZ159" s="113">
        <v>0</v>
      </c>
    </row>
    <row r="160" spans="1:52" x14ac:dyDescent="0.25">
      <c r="A160" s="101" t="s">
        <v>925</v>
      </c>
      <c r="B160" s="102" t="s">
        <v>504</v>
      </c>
      <c r="C160" s="102"/>
      <c r="D160" s="102" t="s">
        <v>1048</v>
      </c>
      <c r="E160" s="103">
        <v>3.8200000000000003</v>
      </c>
      <c r="F160" s="104">
        <v>1000</v>
      </c>
      <c r="G160" s="105">
        <f t="shared" si="48"/>
        <v>500</v>
      </c>
      <c r="H160" s="105">
        <v>921</v>
      </c>
      <c r="I160" s="106">
        <f t="shared" si="49"/>
        <v>0.54288816503800219</v>
      </c>
      <c r="J160" s="86">
        <v>60</v>
      </c>
      <c r="K160" s="87">
        <v>30</v>
      </c>
      <c r="L160" s="87">
        <v>50</v>
      </c>
      <c r="M160" s="87">
        <v>30</v>
      </c>
      <c r="N160" s="90"/>
      <c r="O160" s="90">
        <v>390</v>
      </c>
      <c r="P160" s="86">
        <f t="shared" si="62"/>
        <v>229.20000000000002</v>
      </c>
      <c r="Q160" s="87">
        <f t="shared" si="63"/>
        <v>114.60000000000001</v>
      </c>
      <c r="R160" s="87">
        <f t="shared" si="64"/>
        <v>191</v>
      </c>
      <c r="S160" s="88">
        <f t="shared" si="65"/>
        <v>114.60000000000001</v>
      </c>
      <c r="T160" s="89">
        <f t="shared" si="66"/>
        <v>0</v>
      </c>
      <c r="U160" s="89">
        <f t="shared" si="50"/>
        <v>1489.8000000000002</v>
      </c>
      <c r="V160" s="86">
        <v>202</v>
      </c>
      <c r="W160" s="87">
        <v>140</v>
      </c>
      <c r="X160" s="87">
        <v>29</v>
      </c>
      <c r="Y160" s="87">
        <v>49</v>
      </c>
      <c r="Z160" s="90">
        <v>29</v>
      </c>
      <c r="AA160" s="90">
        <v>0</v>
      </c>
      <c r="AB160" s="91">
        <f t="shared" si="51"/>
        <v>0.21932681867535286</v>
      </c>
      <c r="AC160" s="91">
        <f t="shared" si="52"/>
        <v>0.15200868621064062</v>
      </c>
      <c r="AD160" s="91">
        <f t="shared" si="53"/>
        <v>3.1487513572204126E-2</v>
      </c>
      <c r="AE160" s="91">
        <f t="shared" si="54"/>
        <v>5.3203040173724216E-2</v>
      </c>
      <c r="AF160" s="91">
        <f t="shared" si="55"/>
        <v>3.1487513572204126E-2</v>
      </c>
      <c r="AG160" s="91">
        <f t="shared" si="56"/>
        <v>0</v>
      </c>
      <c r="AH160" s="92">
        <v>307.67</v>
      </c>
      <c r="AI160" s="93">
        <v>317.72999999999996</v>
      </c>
      <c r="AJ160" s="93">
        <v>317.7299999999999</v>
      </c>
      <c r="AK160" s="93">
        <v>130.75</v>
      </c>
      <c r="AL160" s="94">
        <v>276.35999999999899</v>
      </c>
      <c r="AM160" s="94">
        <v>0</v>
      </c>
      <c r="AN160" s="94" t="s">
        <v>780</v>
      </c>
      <c r="AO160" s="111">
        <v>2718.4</v>
      </c>
      <c r="AP160" s="112">
        <v>1288.5</v>
      </c>
      <c r="AQ160" s="112">
        <v>2329</v>
      </c>
      <c r="AR160" s="112">
        <v>1697.4</v>
      </c>
      <c r="AS160" s="113">
        <v>220</v>
      </c>
      <c r="AT160" s="113">
        <v>17407.8</v>
      </c>
      <c r="AU160" s="111">
        <v>0</v>
      </c>
      <c r="AV160" s="112">
        <v>0</v>
      </c>
      <c r="AW160" s="112">
        <v>0</v>
      </c>
      <c r="AX160" s="112">
        <v>0</v>
      </c>
      <c r="AY160" s="113">
        <v>0</v>
      </c>
      <c r="AZ160" s="113">
        <v>0</v>
      </c>
    </row>
    <row r="161" spans="1:52" x14ac:dyDescent="0.25">
      <c r="A161" s="101" t="s">
        <v>926</v>
      </c>
      <c r="B161" s="102" t="s">
        <v>606</v>
      </c>
      <c r="C161" s="102"/>
      <c r="D161" s="102" t="s">
        <v>1048</v>
      </c>
      <c r="E161" s="103">
        <v>3.8000000000000114</v>
      </c>
      <c r="F161" s="104">
        <v>3000</v>
      </c>
      <c r="G161" s="105">
        <f t="shared" si="48"/>
        <v>1500</v>
      </c>
      <c r="H161" s="105">
        <v>6985</v>
      </c>
      <c r="I161" s="106">
        <f t="shared" si="49"/>
        <v>0.21474588403722261</v>
      </c>
      <c r="J161" s="86">
        <v>209</v>
      </c>
      <c r="K161" s="87">
        <v>272</v>
      </c>
      <c r="L161" s="87">
        <v>248</v>
      </c>
      <c r="M161" s="87">
        <v>658</v>
      </c>
      <c r="N161" s="90">
        <v>228</v>
      </c>
      <c r="O161" s="90">
        <v>0</v>
      </c>
      <c r="P161" s="86">
        <f t="shared" si="62"/>
        <v>794.20000000000232</v>
      </c>
      <c r="Q161" s="87">
        <f t="shared" si="63"/>
        <v>1033.6000000000031</v>
      </c>
      <c r="R161" s="87">
        <f t="shared" si="64"/>
        <v>942.40000000000282</v>
      </c>
      <c r="S161" s="88">
        <f t="shared" si="65"/>
        <v>2500.4000000000074</v>
      </c>
      <c r="T161" s="89">
        <f t="shared" si="66"/>
        <v>866.40000000000259</v>
      </c>
      <c r="U161" s="89">
        <f t="shared" si="50"/>
        <v>0</v>
      </c>
      <c r="V161" s="86">
        <v>433</v>
      </c>
      <c r="W161" s="87">
        <v>918</v>
      </c>
      <c r="X161" s="87">
        <v>748</v>
      </c>
      <c r="Y161" s="87">
        <v>465</v>
      </c>
      <c r="Z161" s="90">
        <v>658</v>
      </c>
      <c r="AA161" s="90">
        <v>420</v>
      </c>
      <c r="AB161" s="91">
        <f t="shared" si="51"/>
        <v>6.1989978525411597E-2</v>
      </c>
      <c r="AC161" s="91">
        <f t="shared" si="52"/>
        <v>0.13142448103078025</v>
      </c>
      <c r="AD161" s="91">
        <f t="shared" si="53"/>
        <v>0.10708661417322834</v>
      </c>
      <c r="AE161" s="91">
        <f t="shared" si="54"/>
        <v>6.6571224051539007E-2</v>
      </c>
      <c r="AF161" s="91">
        <f t="shared" si="55"/>
        <v>9.420186113099499E-2</v>
      </c>
      <c r="AG161" s="91">
        <f t="shared" si="56"/>
        <v>6.012884753042233E-2</v>
      </c>
      <c r="AH161" s="92">
        <v>973.38000000000011</v>
      </c>
      <c r="AI161" s="93">
        <v>1422.379999999999</v>
      </c>
      <c r="AJ161" s="93">
        <v>1422.3799999999992</v>
      </c>
      <c r="AK161" s="93">
        <v>864.80999999999983</v>
      </c>
      <c r="AL161" s="94">
        <v>862.22999999999797</v>
      </c>
      <c r="AM161" s="94">
        <v>983.77999999999895</v>
      </c>
      <c r="AN161" s="94" t="s">
        <v>780</v>
      </c>
      <c r="AO161" s="111">
        <v>16276.919999999998</v>
      </c>
      <c r="AP161" s="112">
        <v>21391.200000000004</v>
      </c>
      <c r="AQ161" s="112">
        <v>19230.080000000002</v>
      </c>
      <c r="AR161" s="112">
        <v>50953.899999999994</v>
      </c>
      <c r="AS161" s="113">
        <v>17393.48</v>
      </c>
      <c r="AT161" s="113">
        <v>0</v>
      </c>
      <c r="AU161" s="111">
        <v>0</v>
      </c>
      <c r="AV161" s="112">
        <v>0</v>
      </c>
      <c r="AW161" s="112">
        <v>0</v>
      </c>
      <c r="AX161" s="112">
        <v>0</v>
      </c>
      <c r="AY161" s="113">
        <v>0</v>
      </c>
      <c r="AZ161" s="113">
        <v>0</v>
      </c>
    </row>
    <row r="162" spans="1:52" x14ac:dyDescent="0.25">
      <c r="A162" s="101" t="s">
        <v>547</v>
      </c>
      <c r="B162" s="102" t="s">
        <v>548</v>
      </c>
      <c r="C162" s="102"/>
      <c r="D162" s="102" t="s">
        <v>1048</v>
      </c>
      <c r="E162" s="103">
        <v>3.7399999999999949</v>
      </c>
      <c r="F162" s="104">
        <v>1500</v>
      </c>
      <c r="G162" s="105">
        <f t="shared" si="48"/>
        <v>750</v>
      </c>
      <c r="H162" s="105">
        <v>2860</v>
      </c>
      <c r="I162" s="106">
        <f t="shared" si="49"/>
        <v>0.26223776223776224</v>
      </c>
      <c r="J162" s="86">
        <v>0</v>
      </c>
      <c r="K162" s="87">
        <v>154</v>
      </c>
      <c r="L162" s="87">
        <v>660</v>
      </c>
      <c r="M162" s="87">
        <v>479</v>
      </c>
      <c r="N162" s="90">
        <v>151</v>
      </c>
      <c r="O162" s="90">
        <v>0</v>
      </c>
      <c r="P162" s="86">
        <f t="shared" si="62"/>
        <v>0</v>
      </c>
      <c r="Q162" s="87">
        <f t="shared" si="63"/>
        <v>575.95999999999924</v>
      </c>
      <c r="R162" s="87">
        <f t="shared" si="64"/>
        <v>2468.3999999999965</v>
      </c>
      <c r="S162" s="88">
        <f t="shared" si="65"/>
        <v>1791.4599999999975</v>
      </c>
      <c r="T162" s="89">
        <f t="shared" si="66"/>
        <v>564.73999999999921</v>
      </c>
      <c r="U162" s="89">
        <f t="shared" si="50"/>
        <v>0</v>
      </c>
      <c r="V162" s="86">
        <v>48</v>
      </c>
      <c r="W162" s="87">
        <v>118</v>
      </c>
      <c r="X162" s="87">
        <v>79</v>
      </c>
      <c r="Y162" s="87">
        <v>521</v>
      </c>
      <c r="Z162" s="90">
        <v>796</v>
      </c>
      <c r="AA162" s="90">
        <v>83</v>
      </c>
      <c r="AB162" s="91">
        <f t="shared" si="51"/>
        <v>1.6783216783216783E-2</v>
      </c>
      <c r="AC162" s="91">
        <f t="shared" si="52"/>
        <v>4.1258741258741259E-2</v>
      </c>
      <c r="AD162" s="91">
        <f t="shared" si="53"/>
        <v>2.7622377622377622E-2</v>
      </c>
      <c r="AE162" s="91">
        <f t="shared" si="54"/>
        <v>0.18216783216783217</v>
      </c>
      <c r="AF162" s="91">
        <f t="shared" si="55"/>
        <v>0.27832167832167831</v>
      </c>
      <c r="AG162" s="91">
        <f t="shared" si="56"/>
        <v>2.9020979020979019E-2</v>
      </c>
      <c r="AH162" s="92">
        <v>63.03</v>
      </c>
      <c r="AI162" s="93">
        <v>185.95999999999984</v>
      </c>
      <c r="AJ162" s="93">
        <v>185.95999999999987</v>
      </c>
      <c r="AK162" s="93">
        <v>127.76</v>
      </c>
      <c r="AL162" s="94">
        <v>2001.8299999999899</v>
      </c>
      <c r="AM162" s="94">
        <v>270.159999999999</v>
      </c>
      <c r="AN162" s="94" t="s">
        <v>780</v>
      </c>
      <c r="AO162" s="111">
        <v>0</v>
      </c>
      <c r="AP162" s="112">
        <v>8068.54</v>
      </c>
      <c r="AQ162" s="112">
        <v>36217.74</v>
      </c>
      <c r="AR162" s="112">
        <v>26057.820000000003</v>
      </c>
      <c r="AS162" s="113">
        <v>8182.6900000000005</v>
      </c>
      <c r="AT162" s="113">
        <v>0</v>
      </c>
      <c r="AU162" s="111">
        <v>2792.79</v>
      </c>
      <c r="AV162" s="112">
        <v>6896.62</v>
      </c>
      <c r="AW162" s="112">
        <v>4597.4499999999971</v>
      </c>
      <c r="AX162" s="112">
        <v>30403.919999999998</v>
      </c>
      <c r="AY162" s="113">
        <v>45790.03</v>
      </c>
      <c r="AZ162" s="113">
        <v>4766.2700000000004</v>
      </c>
    </row>
    <row r="163" spans="1:52" x14ac:dyDescent="0.25">
      <c r="A163" s="101" t="s">
        <v>798</v>
      </c>
      <c r="B163" s="102" t="s">
        <v>841</v>
      </c>
      <c r="C163" s="102"/>
      <c r="D163" s="102" t="s">
        <v>1049</v>
      </c>
      <c r="E163" s="103">
        <v>3.660769094453304</v>
      </c>
      <c r="F163" s="104">
        <v>400</v>
      </c>
      <c r="G163" s="105">
        <f t="shared" si="48"/>
        <v>200</v>
      </c>
      <c r="H163" s="105">
        <v>1118</v>
      </c>
      <c r="I163" s="106">
        <f t="shared" si="49"/>
        <v>0.17889087656529518</v>
      </c>
      <c r="J163" s="86">
        <v>0</v>
      </c>
      <c r="K163" s="86">
        <v>0</v>
      </c>
      <c r="L163" s="86">
        <v>0</v>
      </c>
      <c r="M163" s="86">
        <v>0</v>
      </c>
      <c r="N163" s="86">
        <v>0</v>
      </c>
      <c r="O163" s="90">
        <v>381</v>
      </c>
      <c r="P163" s="86"/>
      <c r="Q163" s="87"/>
      <c r="R163" s="87"/>
      <c r="S163" s="88"/>
      <c r="T163" s="89"/>
      <c r="U163" s="89">
        <f t="shared" si="50"/>
        <v>1394.7530249867089</v>
      </c>
      <c r="V163" s="86"/>
      <c r="W163" s="87"/>
      <c r="X163" s="87"/>
      <c r="Y163" s="87"/>
      <c r="Z163" s="90"/>
      <c r="AA163" s="90"/>
      <c r="AB163" s="91">
        <f t="shared" si="51"/>
        <v>0</v>
      </c>
      <c r="AC163" s="91">
        <f t="shared" si="52"/>
        <v>0</v>
      </c>
      <c r="AD163" s="91">
        <f t="shared" si="53"/>
        <v>0</v>
      </c>
      <c r="AE163" s="91">
        <f t="shared" si="54"/>
        <v>0</v>
      </c>
      <c r="AF163" s="91">
        <f t="shared" si="55"/>
        <v>0</v>
      </c>
      <c r="AG163" s="91">
        <f t="shared" si="56"/>
        <v>0</v>
      </c>
      <c r="AH163" s="92"/>
      <c r="AI163" s="93"/>
      <c r="AJ163" s="93"/>
      <c r="AK163" s="93"/>
      <c r="AL163" s="94"/>
      <c r="AM163" s="94"/>
      <c r="AN163" s="94" t="s">
        <v>780</v>
      </c>
      <c r="AO163" s="111">
        <v>0</v>
      </c>
      <c r="AP163" s="112">
        <v>0</v>
      </c>
      <c r="AQ163" s="112">
        <v>0</v>
      </c>
      <c r="AR163" s="112">
        <v>0</v>
      </c>
      <c r="AS163" s="113">
        <v>0</v>
      </c>
      <c r="AT163" s="113">
        <v>7775.12</v>
      </c>
      <c r="AU163" s="111">
        <v>2995.880000000001</v>
      </c>
      <c r="AV163" s="112">
        <v>4633.2099999999891</v>
      </c>
      <c r="AW163" s="112">
        <v>2867.0099999999998</v>
      </c>
      <c r="AX163" s="112">
        <v>3748.51</v>
      </c>
      <c r="AY163" s="113">
        <v>2108.84</v>
      </c>
      <c r="AZ163" s="113">
        <v>1921.01999999999</v>
      </c>
    </row>
    <row r="164" spans="1:52" x14ac:dyDescent="0.25">
      <c r="A164" s="101" t="s">
        <v>927</v>
      </c>
      <c r="B164" s="102" t="s">
        <v>149</v>
      </c>
      <c r="C164" s="102"/>
      <c r="D164" s="102" t="s">
        <v>1048</v>
      </c>
      <c r="E164" s="103">
        <v>3.6500000000000004</v>
      </c>
      <c r="F164" s="104">
        <v>400</v>
      </c>
      <c r="G164" s="105">
        <f t="shared" si="48"/>
        <v>200</v>
      </c>
      <c r="H164" s="105">
        <v>429</v>
      </c>
      <c r="I164" s="106">
        <f t="shared" si="49"/>
        <v>0.46620046620046618</v>
      </c>
      <c r="J164" s="86">
        <v>325</v>
      </c>
      <c r="K164" s="87">
        <v>0</v>
      </c>
      <c r="L164" s="87">
        <v>0</v>
      </c>
      <c r="M164" s="87">
        <v>0</v>
      </c>
      <c r="N164" s="90"/>
      <c r="O164" s="90">
        <v>0</v>
      </c>
      <c r="P164" s="86">
        <f t="shared" ref="P164:P175" si="67">+J164*E164</f>
        <v>1186.2500000000002</v>
      </c>
      <c r="Q164" s="87">
        <f t="shared" ref="Q164:Q175" si="68">+K164*E164</f>
        <v>0</v>
      </c>
      <c r="R164" s="87">
        <f t="shared" ref="R164:R175" si="69">+L164*E164</f>
        <v>0</v>
      </c>
      <c r="S164" s="88">
        <f t="shared" ref="S164:S175" si="70">+M164*E164</f>
        <v>0</v>
      </c>
      <c r="T164" s="89">
        <f t="shared" ref="T164:T175" si="71">+N164*E164</f>
        <v>0</v>
      </c>
      <c r="U164" s="89">
        <f t="shared" si="50"/>
        <v>0</v>
      </c>
      <c r="V164" s="86">
        <v>88</v>
      </c>
      <c r="W164" s="87">
        <v>115</v>
      </c>
      <c r="X164" s="87">
        <v>238</v>
      </c>
      <c r="Y164" s="87">
        <v>107</v>
      </c>
      <c r="Z164" s="90">
        <v>0</v>
      </c>
      <c r="AA164" s="90">
        <v>97</v>
      </c>
      <c r="AB164" s="91">
        <f t="shared" si="51"/>
        <v>0.20512820512820512</v>
      </c>
      <c r="AC164" s="91">
        <f t="shared" si="52"/>
        <v>0.26806526806526809</v>
      </c>
      <c r="AD164" s="91">
        <f t="shared" si="53"/>
        <v>0.55477855477855476</v>
      </c>
      <c r="AE164" s="91">
        <f t="shared" si="54"/>
        <v>0.24941724941724941</v>
      </c>
      <c r="AF164" s="91">
        <f t="shared" si="55"/>
        <v>0</v>
      </c>
      <c r="AG164" s="91">
        <f t="shared" si="56"/>
        <v>0.22610722610722611</v>
      </c>
      <c r="AH164" s="92">
        <v>347.2</v>
      </c>
      <c r="AI164" s="93">
        <v>589.30999999999995</v>
      </c>
      <c r="AJ164" s="93">
        <v>589.31000000000006</v>
      </c>
      <c r="AK164" s="93">
        <v>256.13999999999993</v>
      </c>
      <c r="AL164" s="94">
        <v>22.98</v>
      </c>
      <c r="AM164" s="94">
        <v>273.31</v>
      </c>
      <c r="AN164" s="94" t="s">
        <v>779</v>
      </c>
      <c r="AO164" s="111">
        <v>0</v>
      </c>
      <c r="AP164" s="112">
        <v>0</v>
      </c>
      <c r="AQ164" s="112">
        <v>0</v>
      </c>
      <c r="AR164" s="112">
        <v>0</v>
      </c>
      <c r="AS164" s="113">
        <v>0</v>
      </c>
      <c r="AT164" s="113">
        <v>0</v>
      </c>
      <c r="AU164" s="111">
        <v>0</v>
      </c>
      <c r="AV164" s="112">
        <v>0</v>
      </c>
      <c r="AW164" s="112">
        <v>0</v>
      </c>
      <c r="AX164" s="112">
        <v>0</v>
      </c>
      <c r="AY164" s="113">
        <v>0</v>
      </c>
      <c r="AZ164" s="113">
        <v>0</v>
      </c>
    </row>
    <row r="165" spans="1:52" x14ac:dyDescent="0.25">
      <c r="A165" s="101" t="s">
        <v>452</v>
      </c>
      <c r="B165" s="102" t="s">
        <v>453</v>
      </c>
      <c r="C165" s="102"/>
      <c r="D165" s="102" t="s">
        <v>1048</v>
      </c>
      <c r="E165" s="103">
        <v>3.6099999999999994</v>
      </c>
      <c r="F165" s="104">
        <v>340</v>
      </c>
      <c r="G165" s="105">
        <f t="shared" si="48"/>
        <v>170</v>
      </c>
      <c r="H165" s="105">
        <v>314</v>
      </c>
      <c r="I165" s="106">
        <f t="shared" si="49"/>
        <v>0.54140127388535031</v>
      </c>
      <c r="J165" s="86">
        <v>0</v>
      </c>
      <c r="K165" s="87">
        <v>0</v>
      </c>
      <c r="L165" s="87">
        <v>312</v>
      </c>
      <c r="M165" s="87">
        <v>195</v>
      </c>
      <c r="N165" s="90">
        <v>185</v>
      </c>
      <c r="O165" s="90">
        <v>0</v>
      </c>
      <c r="P165" s="86">
        <f t="shared" si="67"/>
        <v>0</v>
      </c>
      <c r="Q165" s="87">
        <f t="shared" si="68"/>
        <v>0</v>
      </c>
      <c r="R165" s="87">
        <f t="shared" si="69"/>
        <v>1126.3199999999997</v>
      </c>
      <c r="S165" s="88">
        <f t="shared" si="70"/>
        <v>703.94999999999993</v>
      </c>
      <c r="T165" s="89">
        <f t="shared" si="71"/>
        <v>667.84999999999991</v>
      </c>
      <c r="U165" s="89">
        <f t="shared" si="50"/>
        <v>0</v>
      </c>
      <c r="V165" s="86">
        <v>133</v>
      </c>
      <c r="W165" s="87">
        <v>139</v>
      </c>
      <c r="X165" s="87">
        <v>32</v>
      </c>
      <c r="Y165" s="87">
        <v>84</v>
      </c>
      <c r="Z165" s="90">
        <v>190</v>
      </c>
      <c r="AA165" s="90">
        <v>114</v>
      </c>
      <c r="AB165" s="91">
        <f t="shared" si="51"/>
        <v>0.42356687898089174</v>
      </c>
      <c r="AC165" s="91">
        <f t="shared" si="52"/>
        <v>0.4426751592356688</v>
      </c>
      <c r="AD165" s="91">
        <f t="shared" si="53"/>
        <v>0.10191082802547771</v>
      </c>
      <c r="AE165" s="91">
        <f t="shared" si="54"/>
        <v>0.26751592356687898</v>
      </c>
      <c r="AF165" s="91">
        <f t="shared" si="55"/>
        <v>0.60509554140127386</v>
      </c>
      <c r="AG165" s="91">
        <f t="shared" si="56"/>
        <v>0.36305732484076431</v>
      </c>
      <c r="AH165" s="92">
        <v>1237.73</v>
      </c>
      <c r="AI165" s="93">
        <v>1055.9099999999996</v>
      </c>
      <c r="AJ165" s="93">
        <v>1055.9099999999996</v>
      </c>
      <c r="AK165" s="93">
        <v>241.88999999999982</v>
      </c>
      <c r="AL165" s="94">
        <v>514.70999999999901</v>
      </c>
      <c r="AM165" s="94">
        <v>332.62</v>
      </c>
      <c r="AN165" s="94" t="s">
        <v>780</v>
      </c>
      <c r="AO165" s="111">
        <v>0</v>
      </c>
      <c r="AP165" s="112">
        <v>0</v>
      </c>
      <c r="AQ165" s="112">
        <v>10565.82</v>
      </c>
      <c r="AR165" s="112">
        <v>6476.2500000000009</v>
      </c>
      <c r="AS165" s="113">
        <v>5949.6</v>
      </c>
      <c r="AT165" s="113">
        <v>0</v>
      </c>
      <c r="AU165" s="111">
        <v>5609.5999999999995</v>
      </c>
      <c r="AV165" s="112">
        <v>5601.0799999999908</v>
      </c>
      <c r="AW165" s="112">
        <v>1265.889999999999</v>
      </c>
      <c r="AX165" s="112">
        <v>3118.17</v>
      </c>
      <c r="AY165" s="113">
        <v>6649.2299999999896</v>
      </c>
      <c r="AZ165" s="113">
        <v>4097.8100000000004</v>
      </c>
    </row>
    <row r="166" spans="1:52" x14ac:dyDescent="0.25">
      <c r="A166" s="101" t="s">
        <v>928</v>
      </c>
      <c r="B166" s="102" t="s">
        <v>283</v>
      </c>
      <c r="C166" s="102"/>
      <c r="D166" s="102" t="s">
        <v>1049</v>
      </c>
      <c r="E166" s="103">
        <v>3.5800000000000018</v>
      </c>
      <c r="F166" s="104">
        <v>200</v>
      </c>
      <c r="G166" s="105">
        <f t="shared" si="48"/>
        <v>100</v>
      </c>
      <c r="H166" s="105">
        <v>252</v>
      </c>
      <c r="I166" s="106">
        <f t="shared" si="49"/>
        <v>0.3968253968253968</v>
      </c>
      <c r="J166" s="86">
        <v>0</v>
      </c>
      <c r="K166" s="87">
        <v>0</v>
      </c>
      <c r="L166" s="87">
        <v>0</v>
      </c>
      <c r="M166" s="87">
        <v>234</v>
      </c>
      <c r="N166" s="90"/>
      <c r="O166" s="90">
        <v>249</v>
      </c>
      <c r="P166" s="86">
        <f t="shared" si="67"/>
        <v>0</v>
      </c>
      <c r="Q166" s="87">
        <f t="shared" si="68"/>
        <v>0</v>
      </c>
      <c r="R166" s="87">
        <f t="shared" si="69"/>
        <v>0</v>
      </c>
      <c r="S166" s="88">
        <f t="shared" si="70"/>
        <v>837.72000000000048</v>
      </c>
      <c r="T166" s="89">
        <f t="shared" si="71"/>
        <v>0</v>
      </c>
      <c r="U166" s="89">
        <f t="shared" si="50"/>
        <v>891.42000000000041</v>
      </c>
      <c r="V166" s="86">
        <v>71</v>
      </c>
      <c r="W166" s="87">
        <v>74</v>
      </c>
      <c r="X166" s="87">
        <v>142</v>
      </c>
      <c r="Y166" s="87">
        <v>46</v>
      </c>
      <c r="Z166" s="90">
        <v>178</v>
      </c>
      <c r="AA166" s="90">
        <v>143</v>
      </c>
      <c r="AB166" s="91">
        <f t="shared" si="51"/>
        <v>0.28174603174603174</v>
      </c>
      <c r="AC166" s="91">
        <f t="shared" si="52"/>
        <v>0.29365079365079366</v>
      </c>
      <c r="AD166" s="91">
        <f t="shared" si="53"/>
        <v>0.56349206349206349</v>
      </c>
      <c r="AE166" s="91">
        <f t="shared" si="54"/>
        <v>0.18253968253968253</v>
      </c>
      <c r="AF166" s="91">
        <f t="shared" si="55"/>
        <v>0.70634920634920639</v>
      </c>
      <c r="AG166" s="91">
        <f t="shared" si="56"/>
        <v>0.56746031746031744</v>
      </c>
      <c r="AH166" s="92">
        <v>103.01</v>
      </c>
      <c r="AI166" s="93">
        <v>72.049999999999983</v>
      </c>
      <c r="AJ166" s="93">
        <v>72.050000000000011</v>
      </c>
      <c r="AK166" s="93">
        <v>124.66999999999999</v>
      </c>
      <c r="AL166" s="94">
        <v>72.779999999999902</v>
      </c>
      <c r="AM166" s="94">
        <v>626.099999999999</v>
      </c>
      <c r="AN166" s="94" t="s">
        <v>779</v>
      </c>
      <c r="AO166" s="111">
        <v>0</v>
      </c>
      <c r="AP166" s="112">
        <v>0</v>
      </c>
      <c r="AQ166" s="112">
        <v>0</v>
      </c>
      <c r="AR166" s="112">
        <v>4038.84</v>
      </c>
      <c r="AS166" s="113">
        <v>0</v>
      </c>
      <c r="AT166" s="113">
        <v>4168.26</v>
      </c>
      <c r="AU166" s="111">
        <v>0</v>
      </c>
      <c r="AV166" s="112">
        <v>0</v>
      </c>
      <c r="AW166" s="112">
        <v>0</v>
      </c>
      <c r="AX166" s="112">
        <v>0</v>
      </c>
      <c r="AY166" s="113">
        <v>0</v>
      </c>
      <c r="AZ166" s="113">
        <v>0</v>
      </c>
    </row>
    <row r="167" spans="1:52" x14ac:dyDescent="0.25">
      <c r="A167" s="101" t="s">
        <v>929</v>
      </c>
      <c r="B167" s="102" t="s">
        <v>358</v>
      </c>
      <c r="C167" s="102"/>
      <c r="D167" s="102" t="s">
        <v>1048</v>
      </c>
      <c r="E167" s="103">
        <v>3.4699999999999989</v>
      </c>
      <c r="F167" s="104">
        <v>1000</v>
      </c>
      <c r="G167" s="105">
        <f t="shared" si="48"/>
        <v>500</v>
      </c>
      <c r="H167" s="105">
        <v>789</v>
      </c>
      <c r="I167" s="106">
        <f t="shared" si="49"/>
        <v>0.63371356147021551</v>
      </c>
      <c r="J167" s="86">
        <v>610.71428571428567</v>
      </c>
      <c r="K167" s="87">
        <v>0</v>
      </c>
      <c r="L167" s="87">
        <v>135.71428571428569</v>
      </c>
      <c r="M167" s="87">
        <v>210.71428571428569</v>
      </c>
      <c r="N167" s="90"/>
      <c r="O167" s="90">
        <v>0</v>
      </c>
      <c r="P167" s="86">
        <f t="shared" si="67"/>
        <v>2119.1785714285706</v>
      </c>
      <c r="Q167" s="87">
        <f t="shared" si="68"/>
        <v>0</v>
      </c>
      <c r="R167" s="87">
        <f t="shared" si="69"/>
        <v>470.92857142857122</v>
      </c>
      <c r="S167" s="88">
        <f t="shared" si="70"/>
        <v>731.1785714285711</v>
      </c>
      <c r="T167" s="89">
        <f t="shared" si="71"/>
        <v>0</v>
      </c>
      <c r="U167" s="89">
        <f t="shared" si="50"/>
        <v>0</v>
      </c>
      <c r="V167" s="86">
        <v>111</v>
      </c>
      <c r="W167" s="87">
        <v>190</v>
      </c>
      <c r="X167" s="87">
        <v>254</v>
      </c>
      <c r="Y167" s="87">
        <v>458</v>
      </c>
      <c r="Z167" s="90">
        <v>179</v>
      </c>
      <c r="AA167" s="90">
        <v>0</v>
      </c>
      <c r="AB167" s="91">
        <f t="shared" si="51"/>
        <v>0.14068441064638784</v>
      </c>
      <c r="AC167" s="91">
        <f t="shared" si="52"/>
        <v>0.24081115335868186</v>
      </c>
      <c r="AD167" s="91">
        <f t="shared" si="53"/>
        <v>0.32192648922686945</v>
      </c>
      <c r="AE167" s="91">
        <f t="shared" si="54"/>
        <v>0.5804816223067174</v>
      </c>
      <c r="AF167" s="91">
        <f t="shared" si="55"/>
        <v>0.22686945500633712</v>
      </c>
      <c r="AG167" s="91">
        <f t="shared" si="56"/>
        <v>0</v>
      </c>
      <c r="AH167" s="92">
        <v>168.78</v>
      </c>
      <c r="AI167" s="93">
        <v>555.73999999999933</v>
      </c>
      <c r="AJ167" s="93">
        <v>555.73999999999933</v>
      </c>
      <c r="AK167" s="93">
        <v>790.9099999999986</v>
      </c>
      <c r="AL167" s="94">
        <v>1226.6400000000001</v>
      </c>
      <c r="AM167" s="94">
        <v>0</v>
      </c>
      <c r="AN167" s="94" t="s">
        <v>779</v>
      </c>
      <c r="AO167" s="111">
        <v>11540.740000000002</v>
      </c>
      <c r="AP167" s="112">
        <v>0</v>
      </c>
      <c r="AQ167" s="112">
        <v>2539.16</v>
      </c>
      <c r="AR167" s="112">
        <v>3942.38</v>
      </c>
      <c r="AS167" s="113">
        <v>0</v>
      </c>
      <c r="AT167" s="113">
        <v>0</v>
      </c>
      <c r="AU167" s="111">
        <v>0</v>
      </c>
      <c r="AV167" s="112">
        <v>0</v>
      </c>
      <c r="AW167" s="112">
        <v>0</v>
      </c>
      <c r="AX167" s="112">
        <v>0</v>
      </c>
      <c r="AY167" s="113">
        <v>0</v>
      </c>
      <c r="AZ167" s="113">
        <v>0</v>
      </c>
    </row>
    <row r="168" spans="1:52" x14ac:dyDescent="0.25">
      <c r="A168" s="101" t="s">
        <v>366</v>
      </c>
      <c r="B168" s="102" t="s">
        <v>367</v>
      </c>
      <c r="C168" s="102"/>
      <c r="D168" s="102" t="s">
        <v>1048</v>
      </c>
      <c r="E168" s="103">
        <v>3.4499999999999993</v>
      </c>
      <c r="F168" s="104">
        <v>400</v>
      </c>
      <c r="G168" s="105">
        <f t="shared" si="48"/>
        <v>200</v>
      </c>
      <c r="H168" s="105">
        <v>470</v>
      </c>
      <c r="I168" s="106">
        <f t="shared" si="49"/>
        <v>0.42553191489361702</v>
      </c>
      <c r="J168" s="86">
        <v>138</v>
      </c>
      <c r="K168" s="87">
        <v>182</v>
      </c>
      <c r="L168" s="87">
        <v>154</v>
      </c>
      <c r="M168" s="87">
        <v>613</v>
      </c>
      <c r="N168" s="90">
        <v>600</v>
      </c>
      <c r="O168" s="90">
        <v>59</v>
      </c>
      <c r="P168" s="86">
        <f t="shared" si="67"/>
        <v>476.09999999999991</v>
      </c>
      <c r="Q168" s="87">
        <f t="shared" si="68"/>
        <v>627.89999999999986</v>
      </c>
      <c r="R168" s="87">
        <f t="shared" si="69"/>
        <v>531.29999999999984</v>
      </c>
      <c r="S168" s="88">
        <f t="shared" si="70"/>
        <v>2114.8499999999995</v>
      </c>
      <c r="T168" s="89">
        <f t="shared" si="71"/>
        <v>2069.9999999999995</v>
      </c>
      <c r="U168" s="89">
        <f t="shared" si="50"/>
        <v>203.54999999999995</v>
      </c>
      <c r="V168" s="86">
        <v>118</v>
      </c>
      <c r="W168" s="87">
        <v>62</v>
      </c>
      <c r="X168" s="87">
        <v>202</v>
      </c>
      <c r="Y168" s="87">
        <v>50</v>
      </c>
      <c r="Z168" s="90">
        <v>155</v>
      </c>
      <c r="AA168" s="90">
        <v>182</v>
      </c>
      <c r="AB168" s="91">
        <f t="shared" si="51"/>
        <v>0.25106382978723402</v>
      </c>
      <c r="AC168" s="91">
        <f t="shared" si="52"/>
        <v>0.13191489361702127</v>
      </c>
      <c r="AD168" s="91">
        <f t="shared" si="53"/>
        <v>0.4297872340425532</v>
      </c>
      <c r="AE168" s="91">
        <f t="shared" si="54"/>
        <v>0.10638297872340426</v>
      </c>
      <c r="AF168" s="91">
        <f t="shared" si="55"/>
        <v>0.32978723404255317</v>
      </c>
      <c r="AG168" s="91">
        <f t="shared" si="56"/>
        <v>0.38723404255319149</v>
      </c>
      <c r="AH168" s="92">
        <v>593.38</v>
      </c>
      <c r="AI168" s="93">
        <v>355.70999999999992</v>
      </c>
      <c r="AJ168" s="93">
        <v>355.70999999999992</v>
      </c>
      <c r="AK168" s="93">
        <v>991.72999999999968</v>
      </c>
      <c r="AL168" s="94">
        <v>260.06</v>
      </c>
      <c r="AM168" s="94">
        <v>570.24</v>
      </c>
      <c r="AN168" s="94" t="s">
        <v>779</v>
      </c>
      <c r="AO168" s="111">
        <v>2678.5</v>
      </c>
      <c r="AP168" s="112">
        <v>3477.43</v>
      </c>
      <c r="AQ168" s="112">
        <v>2913</v>
      </c>
      <c r="AR168" s="112">
        <v>12103.02</v>
      </c>
      <c r="AS168" s="113">
        <v>11942.01</v>
      </c>
      <c r="AT168" s="113">
        <v>1156.56</v>
      </c>
      <c r="AU168" s="111">
        <v>2929.78</v>
      </c>
      <c r="AV168" s="112">
        <v>1551.689999999998</v>
      </c>
      <c r="AW168" s="112">
        <v>4888.3099999999977</v>
      </c>
      <c r="AX168" s="112">
        <v>1224.56</v>
      </c>
      <c r="AY168" s="113">
        <v>3658.76</v>
      </c>
      <c r="AZ168" s="113">
        <v>4151.49999999999</v>
      </c>
    </row>
    <row r="169" spans="1:52" x14ac:dyDescent="0.25">
      <c r="A169" s="101" t="s">
        <v>443</v>
      </c>
      <c r="B169" s="102" t="s">
        <v>444</v>
      </c>
      <c r="C169" s="102"/>
      <c r="D169" s="102" t="s">
        <v>1048</v>
      </c>
      <c r="E169" s="103">
        <v>3.4300000000000033</v>
      </c>
      <c r="F169" s="104">
        <v>500</v>
      </c>
      <c r="G169" s="105">
        <f t="shared" si="48"/>
        <v>250</v>
      </c>
      <c r="H169" s="105">
        <v>2287</v>
      </c>
      <c r="I169" s="106">
        <f t="shared" si="49"/>
        <v>0.10931351114997814</v>
      </c>
      <c r="J169" s="86">
        <v>95</v>
      </c>
      <c r="K169" s="87">
        <v>46</v>
      </c>
      <c r="L169" s="87">
        <v>0</v>
      </c>
      <c r="M169" s="87">
        <v>38</v>
      </c>
      <c r="N169" s="90"/>
      <c r="O169" s="90">
        <v>0</v>
      </c>
      <c r="P169" s="86">
        <f t="shared" si="67"/>
        <v>325.85000000000031</v>
      </c>
      <c r="Q169" s="87">
        <f t="shared" si="68"/>
        <v>157.78000000000014</v>
      </c>
      <c r="R169" s="87">
        <f t="shared" si="69"/>
        <v>0</v>
      </c>
      <c r="S169" s="88">
        <f t="shared" si="70"/>
        <v>130.34000000000012</v>
      </c>
      <c r="T169" s="89">
        <f t="shared" si="71"/>
        <v>0</v>
      </c>
      <c r="U169" s="89">
        <f t="shared" si="50"/>
        <v>0</v>
      </c>
      <c r="V169" s="86">
        <v>740</v>
      </c>
      <c r="W169" s="87">
        <v>352</v>
      </c>
      <c r="X169" s="87">
        <v>589</v>
      </c>
      <c r="Y169" s="87">
        <v>210</v>
      </c>
      <c r="Z169" s="90">
        <v>31</v>
      </c>
      <c r="AA169" s="90">
        <v>36</v>
      </c>
      <c r="AB169" s="91">
        <f t="shared" si="51"/>
        <v>0.32356799300393529</v>
      </c>
      <c r="AC169" s="91">
        <f t="shared" si="52"/>
        <v>0.15391342369916922</v>
      </c>
      <c r="AD169" s="91">
        <f t="shared" si="53"/>
        <v>0.25754263226934848</v>
      </c>
      <c r="AE169" s="91">
        <f t="shared" si="54"/>
        <v>9.1823349365981632E-2</v>
      </c>
      <c r="AF169" s="91">
        <f t="shared" si="55"/>
        <v>1.355487538259729E-2</v>
      </c>
      <c r="AG169" s="91">
        <f t="shared" si="56"/>
        <v>1.5741145605596852E-2</v>
      </c>
      <c r="AH169" s="92">
        <v>1808.2</v>
      </c>
      <c r="AI169" s="93">
        <v>1470.8899999999969</v>
      </c>
      <c r="AJ169" s="93">
        <v>1470.8899999999969</v>
      </c>
      <c r="AK169" s="93">
        <v>1635.969999999995</v>
      </c>
      <c r="AL169" s="94">
        <v>575.85999999999899</v>
      </c>
      <c r="AM169" s="94">
        <v>119.229999999999</v>
      </c>
      <c r="AN169" s="94" t="s">
        <v>779</v>
      </c>
      <c r="AO169" s="111">
        <v>2768.3</v>
      </c>
      <c r="AP169" s="112">
        <v>1355.16</v>
      </c>
      <c r="AQ169" s="112">
        <v>0</v>
      </c>
      <c r="AR169" s="112">
        <v>1121.76</v>
      </c>
      <c r="AS169" s="113">
        <v>0</v>
      </c>
      <c r="AT169" s="113">
        <v>0</v>
      </c>
      <c r="AU169" s="111">
        <v>21182.819999999989</v>
      </c>
      <c r="AV169" s="112">
        <v>10492.419999999996</v>
      </c>
      <c r="AW169" s="112">
        <v>16888.489999999976</v>
      </c>
      <c r="AX169" s="112">
        <v>6071.1399999999903</v>
      </c>
      <c r="AY169" s="113">
        <v>902</v>
      </c>
      <c r="AZ169" s="113">
        <v>1181.95</v>
      </c>
    </row>
    <row r="170" spans="1:52" x14ac:dyDescent="0.25">
      <c r="A170" s="101" t="s">
        <v>128</v>
      </c>
      <c r="B170" s="102" t="s">
        <v>129</v>
      </c>
      <c r="C170" s="102"/>
      <c r="D170" s="102" t="s">
        <v>1048</v>
      </c>
      <c r="E170" s="103">
        <v>3.42</v>
      </c>
      <c r="F170" s="104">
        <v>400</v>
      </c>
      <c r="G170" s="105">
        <f t="shared" si="48"/>
        <v>200</v>
      </c>
      <c r="H170" s="105">
        <v>1492</v>
      </c>
      <c r="I170" s="106">
        <f t="shared" si="49"/>
        <v>0.13404825737265416</v>
      </c>
      <c r="J170" s="86">
        <v>0</v>
      </c>
      <c r="K170" s="87">
        <v>0</v>
      </c>
      <c r="L170" s="87">
        <v>0</v>
      </c>
      <c r="M170" s="87">
        <v>50</v>
      </c>
      <c r="N170" s="90">
        <v>105</v>
      </c>
      <c r="O170" s="90">
        <v>50</v>
      </c>
      <c r="P170" s="86">
        <f t="shared" si="67"/>
        <v>0</v>
      </c>
      <c r="Q170" s="87">
        <f t="shared" si="68"/>
        <v>0</v>
      </c>
      <c r="R170" s="87">
        <f t="shared" si="69"/>
        <v>0</v>
      </c>
      <c r="S170" s="88">
        <f t="shared" si="70"/>
        <v>171</v>
      </c>
      <c r="T170" s="89">
        <f t="shared" si="71"/>
        <v>359.09999999999997</v>
      </c>
      <c r="U170" s="89">
        <f t="shared" si="50"/>
        <v>171</v>
      </c>
      <c r="V170" s="86">
        <v>35</v>
      </c>
      <c r="W170" s="87">
        <v>99</v>
      </c>
      <c r="X170" s="87">
        <v>61</v>
      </c>
      <c r="Y170" s="87">
        <v>64</v>
      </c>
      <c r="Z170" s="90">
        <v>214</v>
      </c>
      <c r="AA170" s="90">
        <v>131</v>
      </c>
      <c r="AB170" s="91">
        <f t="shared" si="51"/>
        <v>2.3458445040214475E-2</v>
      </c>
      <c r="AC170" s="91">
        <f t="shared" si="52"/>
        <v>6.635388739946381E-2</v>
      </c>
      <c r="AD170" s="91">
        <f t="shared" si="53"/>
        <v>4.0884718498659517E-2</v>
      </c>
      <c r="AE170" s="91">
        <f t="shared" si="54"/>
        <v>4.2895442359249331E-2</v>
      </c>
      <c r="AF170" s="91">
        <f t="shared" si="55"/>
        <v>0.14343163538873996</v>
      </c>
      <c r="AG170" s="91">
        <f t="shared" si="56"/>
        <v>8.7801608579088475E-2</v>
      </c>
      <c r="AH170" s="92">
        <v>57.17</v>
      </c>
      <c r="AI170" s="93">
        <v>125.03999999999999</v>
      </c>
      <c r="AJ170" s="93">
        <v>125.03999999999998</v>
      </c>
      <c r="AK170" s="93">
        <v>63.28</v>
      </c>
      <c r="AL170" s="94">
        <v>73.900000000000006</v>
      </c>
      <c r="AM170" s="94">
        <v>50.05</v>
      </c>
      <c r="AN170" s="94" t="s">
        <v>779</v>
      </c>
      <c r="AO170" s="111">
        <v>0</v>
      </c>
      <c r="AP170" s="112">
        <v>0</v>
      </c>
      <c r="AQ170" s="112">
        <v>0</v>
      </c>
      <c r="AR170" s="112">
        <v>256.5</v>
      </c>
      <c r="AS170" s="113">
        <v>538.01</v>
      </c>
      <c r="AT170" s="113">
        <v>252</v>
      </c>
      <c r="AU170" s="111">
        <v>237.42</v>
      </c>
      <c r="AV170" s="112">
        <v>634.88999999999908</v>
      </c>
      <c r="AW170" s="112">
        <v>377.42999999999978</v>
      </c>
      <c r="AX170" s="112">
        <v>403.5</v>
      </c>
      <c r="AY170" s="113">
        <v>1346.73999999999</v>
      </c>
      <c r="AZ170" s="113">
        <v>808.80999999999904</v>
      </c>
    </row>
    <row r="171" spans="1:52" x14ac:dyDescent="0.25">
      <c r="A171" s="101" t="s">
        <v>121</v>
      </c>
      <c r="B171" s="102" t="s">
        <v>122</v>
      </c>
      <c r="C171" s="102"/>
      <c r="D171" s="102" t="s">
        <v>1048</v>
      </c>
      <c r="E171" s="103">
        <v>3.410000000000001</v>
      </c>
      <c r="F171" s="104">
        <v>15</v>
      </c>
      <c r="G171" s="105">
        <f t="shared" si="48"/>
        <v>7.5</v>
      </c>
      <c r="H171" s="105">
        <v>26</v>
      </c>
      <c r="I171" s="106">
        <f t="shared" si="49"/>
        <v>0.28846153846153844</v>
      </c>
      <c r="J171" s="86">
        <v>50</v>
      </c>
      <c r="K171" s="87">
        <v>0</v>
      </c>
      <c r="L171" s="87">
        <v>0</v>
      </c>
      <c r="M171" s="87">
        <v>0</v>
      </c>
      <c r="N171" s="90">
        <v>140</v>
      </c>
      <c r="O171" s="90">
        <v>100</v>
      </c>
      <c r="P171" s="86">
        <f t="shared" si="67"/>
        <v>170.50000000000006</v>
      </c>
      <c r="Q171" s="87">
        <f t="shared" si="68"/>
        <v>0</v>
      </c>
      <c r="R171" s="87">
        <f t="shared" si="69"/>
        <v>0</v>
      </c>
      <c r="S171" s="88">
        <f t="shared" si="70"/>
        <v>0</v>
      </c>
      <c r="T171" s="89">
        <f t="shared" si="71"/>
        <v>477.40000000000015</v>
      </c>
      <c r="U171" s="89">
        <f t="shared" si="50"/>
        <v>341.00000000000011</v>
      </c>
      <c r="V171" s="86">
        <v>0</v>
      </c>
      <c r="W171" s="87">
        <v>0</v>
      </c>
      <c r="X171" s="87">
        <v>0</v>
      </c>
      <c r="Y171" s="87">
        <v>0</v>
      </c>
      <c r="Z171" s="90">
        <v>0</v>
      </c>
      <c r="AA171" s="90">
        <v>0</v>
      </c>
      <c r="AB171" s="91">
        <f t="shared" si="51"/>
        <v>0</v>
      </c>
      <c r="AC171" s="91">
        <f t="shared" si="52"/>
        <v>0</v>
      </c>
      <c r="AD171" s="91">
        <f t="shared" si="53"/>
        <v>0</v>
      </c>
      <c r="AE171" s="91">
        <f t="shared" si="54"/>
        <v>0</v>
      </c>
      <c r="AF171" s="91">
        <f t="shared" si="55"/>
        <v>0</v>
      </c>
      <c r="AG171" s="91">
        <f t="shared" si="56"/>
        <v>0</v>
      </c>
      <c r="AH171" s="92">
        <v>0</v>
      </c>
      <c r="AI171" s="93">
        <v>0</v>
      </c>
      <c r="AJ171" s="93">
        <v>0</v>
      </c>
      <c r="AK171" s="93">
        <v>0</v>
      </c>
      <c r="AL171" s="94">
        <v>0</v>
      </c>
      <c r="AM171" s="94">
        <v>0</v>
      </c>
      <c r="AN171" s="94" t="s">
        <v>779</v>
      </c>
      <c r="AO171" s="111">
        <v>234.5</v>
      </c>
      <c r="AP171" s="112">
        <v>0</v>
      </c>
      <c r="AQ171" s="112">
        <v>0</v>
      </c>
      <c r="AR171" s="112">
        <v>0</v>
      </c>
      <c r="AS171" s="113">
        <v>604.79999999999995</v>
      </c>
      <c r="AT171" s="113">
        <v>486</v>
      </c>
      <c r="AU171" s="111">
        <v>0</v>
      </c>
      <c r="AV171" s="112">
        <v>0</v>
      </c>
      <c r="AW171" s="112">
        <v>0</v>
      </c>
      <c r="AX171" s="112">
        <v>0</v>
      </c>
      <c r="AY171" s="113">
        <v>0</v>
      </c>
      <c r="AZ171" s="113">
        <v>0</v>
      </c>
    </row>
    <row r="172" spans="1:52" x14ac:dyDescent="0.25">
      <c r="A172" s="101" t="s">
        <v>130</v>
      </c>
      <c r="B172" s="102" t="s">
        <v>131</v>
      </c>
      <c r="C172" s="102"/>
      <c r="D172" s="102" t="s">
        <v>1048</v>
      </c>
      <c r="E172" s="103">
        <v>3.3999999999999995</v>
      </c>
      <c r="F172" s="104">
        <v>4000</v>
      </c>
      <c r="G172" s="105">
        <f t="shared" si="48"/>
        <v>2000</v>
      </c>
      <c r="H172" s="105">
        <v>8505</v>
      </c>
      <c r="I172" s="106">
        <f t="shared" si="49"/>
        <v>0.23515579071134626</v>
      </c>
      <c r="J172" s="86">
        <v>0</v>
      </c>
      <c r="K172" s="87">
        <v>500</v>
      </c>
      <c r="L172" s="87">
        <v>900</v>
      </c>
      <c r="M172" s="87">
        <v>1300</v>
      </c>
      <c r="N172" s="90">
        <v>329</v>
      </c>
      <c r="O172" s="90">
        <v>880</v>
      </c>
      <c r="P172" s="86">
        <f t="shared" si="67"/>
        <v>0</v>
      </c>
      <c r="Q172" s="87">
        <f t="shared" si="68"/>
        <v>1699.9999999999998</v>
      </c>
      <c r="R172" s="87">
        <f t="shared" si="69"/>
        <v>3059.9999999999995</v>
      </c>
      <c r="S172" s="88">
        <f t="shared" si="70"/>
        <v>4419.9999999999991</v>
      </c>
      <c r="T172" s="89">
        <f t="shared" si="71"/>
        <v>1118.5999999999999</v>
      </c>
      <c r="U172" s="89">
        <f t="shared" si="50"/>
        <v>2991.9999999999995</v>
      </c>
      <c r="V172" s="86">
        <v>0</v>
      </c>
      <c r="W172" s="87">
        <v>0</v>
      </c>
      <c r="X172" s="87">
        <v>0</v>
      </c>
      <c r="Y172" s="87">
        <v>0</v>
      </c>
      <c r="Z172" s="90">
        <v>0</v>
      </c>
      <c r="AA172" s="90">
        <v>457</v>
      </c>
      <c r="AB172" s="91">
        <f t="shared" si="51"/>
        <v>0</v>
      </c>
      <c r="AC172" s="91">
        <f t="shared" si="52"/>
        <v>0</v>
      </c>
      <c r="AD172" s="91">
        <f t="shared" si="53"/>
        <v>0</v>
      </c>
      <c r="AE172" s="91">
        <f t="shared" si="54"/>
        <v>0</v>
      </c>
      <c r="AF172" s="91">
        <f t="shared" si="55"/>
        <v>0</v>
      </c>
      <c r="AG172" s="91">
        <f t="shared" si="56"/>
        <v>5.3733098177542619E-2</v>
      </c>
      <c r="AH172" s="92">
        <v>0</v>
      </c>
      <c r="AI172" s="93">
        <v>0</v>
      </c>
      <c r="AJ172" s="93">
        <v>0</v>
      </c>
      <c r="AK172" s="93">
        <v>0</v>
      </c>
      <c r="AL172" s="94">
        <v>0</v>
      </c>
      <c r="AM172" s="94">
        <v>1185.1599999999901</v>
      </c>
      <c r="AN172" s="94" t="s">
        <v>779</v>
      </c>
      <c r="AO172" s="111">
        <v>0</v>
      </c>
      <c r="AP172" s="112">
        <v>2010</v>
      </c>
      <c r="AQ172" s="112">
        <v>3582</v>
      </c>
      <c r="AR172" s="112">
        <v>5225</v>
      </c>
      <c r="AS172" s="113">
        <v>1306.3399999999999</v>
      </c>
      <c r="AT172" s="113">
        <v>3565</v>
      </c>
      <c r="AU172" s="111">
        <v>0</v>
      </c>
      <c r="AV172" s="112">
        <v>0</v>
      </c>
      <c r="AW172" s="112">
        <v>0</v>
      </c>
      <c r="AX172" s="112">
        <v>0</v>
      </c>
      <c r="AY172" s="113">
        <v>0</v>
      </c>
      <c r="AZ172" s="113">
        <v>3967.49999999999</v>
      </c>
    </row>
    <row r="173" spans="1:52" x14ac:dyDescent="0.25">
      <c r="A173" s="101" t="s">
        <v>337</v>
      </c>
      <c r="B173" s="102" t="s">
        <v>338</v>
      </c>
      <c r="C173" s="102"/>
      <c r="D173" s="102" t="s">
        <v>1048</v>
      </c>
      <c r="E173" s="103">
        <v>3.370000000000001</v>
      </c>
      <c r="F173" s="104">
        <v>200</v>
      </c>
      <c r="G173" s="105">
        <f t="shared" si="48"/>
        <v>100</v>
      </c>
      <c r="H173" s="105">
        <v>197</v>
      </c>
      <c r="I173" s="106">
        <f t="shared" si="49"/>
        <v>0.50761421319796951</v>
      </c>
      <c r="J173" s="86">
        <v>0</v>
      </c>
      <c r="K173" s="87">
        <v>0</v>
      </c>
      <c r="L173" s="87">
        <v>0</v>
      </c>
      <c r="M173" s="87">
        <v>30</v>
      </c>
      <c r="N173" s="90">
        <v>100</v>
      </c>
      <c r="O173" s="90">
        <v>0</v>
      </c>
      <c r="P173" s="86">
        <f t="shared" si="67"/>
        <v>0</v>
      </c>
      <c r="Q173" s="87">
        <f t="shared" si="68"/>
        <v>0</v>
      </c>
      <c r="R173" s="87">
        <f t="shared" si="69"/>
        <v>0</v>
      </c>
      <c r="S173" s="88">
        <f t="shared" si="70"/>
        <v>101.10000000000002</v>
      </c>
      <c r="T173" s="89">
        <f t="shared" si="71"/>
        <v>337.00000000000011</v>
      </c>
      <c r="U173" s="89">
        <f t="shared" si="50"/>
        <v>0</v>
      </c>
      <c r="V173" s="86">
        <v>66</v>
      </c>
      <c r="W173" s="87">
        <v>104</v>
      </c>
      <c r="X173" s="87">
        <v>33</v>
      </c>
      <c r="Y173" s="87">
        <v>65</v>
      </c>
      <c r="Z173" s="90">
        <v>42</v>
      </c>
      <c r="AA173" s="90">
        <v>131</v>
      </c>
      <c r="AB173" s="91">
        <f t="shared" si="51"/>
        <v>0.3350253807106599</v>
      </c>
      <c r="AC173" s="91">
        <f t="shared" si="52"/>
        <v>0.52791878172588835</v>
      </c>
      <c r="AD173" s="91">
        <f t="shared" si="53"/>
        <v>0.16751269035532995</v>
      </c>
      <c r="AE173" s="91">
        <f t="shared" si="54"/>
        <v>0.32994923857868019</v>
      </c>
      <c r="AF173" s="91">
        <f t="shared" si="55"/>
        <v>0.21319796954314721</v>
      </c>
      <c r="AG173" s="91">
        <f t="shared" si="56"/>
        <v>0.6649746192893401</v>
      </c>
      <c r="AH173" s="92">
        <v>33.290000000000013</v>
      </c>
      <c r="AI173" s="93">
        <v>77.599999999999994</v>
      </c>
      <c r="AJ173" s="93">
        <v>77.599999999999994</v>
      </c>
      <c r="AK173" s="93">
        <v>133.86999999999989</v>
      </c>
      <c r="AL173" s="94">
        <v>127.32</v>
      </c>
      <c r="AM173" s="94">
        <v>203.039999999999</v>
      </c>
      <c r="AN173" s="94" t="s">
        <v>779</v>
      </c>
      <c r="AO173" s="111">
        <v>0</v>
      </c>
      <c r="AP173" s="112">
        <v>0</v>
      </c>
      <c r="AQ173" s="112">
        <v>0</v>
      </c>
      <c r="AR173" s="112">
        <v>491.1</v>
      </c>
      <c r="AS173" s="113">
        <v>1637</v>
      </c>
      <c r="AT173" s="113">
        <v>0</v>
      </c>
      <c r="AU173" s="111">
        <v>1112.79</v>
      </c>
      <c r="AV173" s="112">
        <v>1778.2600000000002</v>
      </c>
      <c r="AW173" s="112">
        <v>673.49999999999989</v>
      </c>
      <c r="AX173" s="112">
        <v>1190.3900000000001</v>
      </c>
      <c r="AY173" s="113">
        <v>708.2</v>
      </c>
      <c r="AZ173" s="113">
        <v>2343.28999999999</v>
      </c>
    </row>
    <row r="174" spans="1:52" x14ac:dyDescent="0.25">
      <c r="A174" s="101" t="s">
        <v>604</v>
      </c>
      <c r="B174" s="102" t="s">
        <v>605</v>
      </c>
      <c r="C174" s="102"/>
      <c r="D174" s="102" t="s">
        <v>1048</v>
      </c>
      <c r="E174" s="103">
        <v>3.3499999999999943</v>
      </c>
      <c r="F174" s="104">
        <v>300</v>
      </c>
      <c r="G174" s="105">
        <f t="shared" si="48"/>
        <v>150</v>
      </c>
      <c r="H174" s="105">
        <v>846</v>
      </c>
      <c r="I174" s="106">
        <f t="shared" si="49"/>
        <v>0.1773049645390071</v>
      </c>
      <c r="J174" s="86">
        <v>0</v>
      </c>
      <c r="K174" s="87">
        <v>164</v>
      </c>
      <c r="L174" s="87">
        <v>230</v>
      </c>
      <c r="M174" s="87">
        <v>262</v>
      </c>
      <c r="N174" s="90">
        <v>33</v>
      </c>
      <c r="O174" s="90">
        <v>130</v>
      </c>
      <c r="P174" s="86">
        <f t="shared" si="67"/>
        <v>0</v>
      </c>
      <c r="Q174" s="87">
        <f t="shared" si="68"/>
        <v>549.39999999999907</v>
      </c>
      <c r="R174" s="87">
        <f t="shared" si="69"/>
        <v>770.49999999999864</v>
      </c>
      <c r="S174" s="88">
        <f t="shared" si="70"/>
        <v>877.69999999999845</v>
      </c>
      <c r="T174" s="89">
        <f t="shared" si="71"/>
        <v>110.54999999999981</v>
      </c>
      <c r="U174" s="89">
        <f t="shared" si="50"/>
        <v>435.49999999999926</v>
      </c>
      <c r="V174" s="86">
        <v>127</v>
      </c>
      <c r="W174" s="87">
        <v>204</v>
      </c>
      <c r="X174" s="87">
        <v>35</v>
      </c>
      <c r="Y174" s="87">
        <v>316</v>
      </c>
      <c r="Z174" s="90">
        <v>273</v>
      </c>
      <c r="AA174" s="90">
        <v>106</v>
      </c>
      <c r="AB174" s="91">
        <f t="shared" si="51"/>
        <v>0.15011820330969267</v>
      </c>
      <c r="AC174" s="91">
        <f t="shared" si="52"/>
        <v>0.24113475177304963</v>
      </c>
      <c r="AD174" s="91">
        <f t="shared" si="53"/>
        <v>4.1371158392434985E-2</v>
      </c>
      <c r="AE174" s="91">
        <f t="shared" si="54"/>
        <v>0.37352245862884159</v>
      </c>
      <c r="AF174" s="91">
        <f t="shared" si="55"/>
        <v>0.32269503546099293</v>
      </c>
      <c r="AG174" s="91">
        <f t="shared" si="56"/>
        <v>0.12529550827423167</v>
      </c>
      <c r="AH174" s="92">
        <v>450.32000000000011</v>
      </c>
      <c r="AI174" s="93">
        <v>574.70999999999958</v>
      </c>
      <c r="AJ174" s="93">
        <v>574.70999999999958</v>
      </c>
      <c r="AK174" s="93">
        <v>250.19999999999979</v>
      </c>
      <c r="AL174" s="94">
        <v>1003.22</v>
      </c>
      <c r="AM174" s="94">
        <v>264.66000000000003</v>
      </c>
      <c r="AN174" s="94" t="s">
        <v>780</v>
      </c>
      <c r="AO174" s="111">
        <v>0</v>
      </c>
      <c r="AP174" s="112">
        <v>11280.62</v>
      </c>
      <c r="AQ174" s="112">
        <v>15763.99</v>
      </c>
      <c r="AR174" s="112">
        <v>17822.080000000002</v>
      </c>
      <c r="AS174" s="113">
        <v>4744.32</v>
      </c>
      <c r="AT174" s="113">
        <v>8858.2000000000007</v>
      </c>
      <c r="AU174" s="111">
        <v>9483.15</v>
      </c>
      <c r="AV174" s="112">
        <v>14780.309999999987</v>
      </c>
      <c r="AW174" s="112">
        <v>2532.1999999999998</v>
      </c>
      <c r="AX174" s="112">
        <v>22677.31</v>
      </c>
      <c r="AY174" s="113">
        <v>19340.89</v>
      </c>
      <c r="AZ174" s="113">
        <v>7484.45999999999</v>
      </c>
    </row>
    <row r="175" spans="1:52" x14ac:dyDescent="0.25">
      <c r="A175" s="101" t="s">
        <v>930</v>
      </c>
      <c r="B175" s="102" t="s">
        <v>264</v>
      </c>
      <c r="C175" s="102"/>
      <c r="D175" s="102" t="s">
        <v>1048</v>
      </c>
      <c r="E175" s="103">
        <v>3.3100000000000005</v>
      </c>
      <c r="F175" s="104">
        <v>500</v>
      </c>
      <c r="G175" s="105">
        <f t="shared" si="48"/>
        <v>250</v>
      </c>
      <c r="H175" s="105">
        <v>456</v>
      </c>
      <c r="I175" s="106">
        <f t="shared" si="49"/>
        <v>0.54824561403508776</v>
      </c>
      <c r="J175" s="86">
        <v>0</v>
      </c>
      <c r="K175" s="87">
        <v>0</v>
      </c>
      <c r="L175" s="87">
        <v>0</v>
      </c>
      <c r="M175" s="87">
        <v>50</v>
      </c>
      <c r="N175" s="90">
        <v>100</v>
      </c>
      <c r="O175" s="90">
        <v>110</v>
      </c>
      <c r="P175" s="86">
        <f t="shared" si="67"/>
        <v>0</v>
      </c>
      <c r="Q175" s="87">
        <f t="shared" si="68"/>
        <v>0</v>
      </c>
      <c r="R175" s="87">
        <f t="shared" si="69"/>
        <v>0</v>
      </c>
      <c r="S175" s="88">
        <f t="shared" si="70"/>
        <v>165.50000000000003</v>
      </c>
      <c r="T175" s="89">
        <f t="shared" si="71"/>
        <v>331.00000000000006</v>
      </c>
      <c r="U175" s="89">
        <f t="shared" si="50"/>
        <v>364.10000000000008</v>
      </c>
      <c r="V175" s="86">
        <v>132</v>
      </c>
      <c r="W175" s="87">
        <v>196</v>
      </c>
      <c r="X175" s="87">
        <v>117</v>
      </c>
      <c r="Y175" s="87">
        <v>0</v>
      </c>
      <c r="Z175" s="90">
        <v>50</v>
      </c>
      <c r="AA175" s="90">
        <v>172</v>
      </c>
      <c r="AB175" s="91">
        <f t="shared" si="51"/>
        <v>0.28947368421052633</v>
      </c>
      <c r="AC175" s="91">
        <f t="shared" si="52"/>
        <v>0.42982456140350878</v>
      </c>
      <c r="AD175" s="91">
        <f t="shared" si="53"/>
        <v>0.25657894736842107</v>
      </c>
      <c r="AE175" s="91">
        <f t="shared" si="54"/>
        <v>0</v>
      </c>
      <c r="AF175" s="91">
        <f t="shared" si="55"/>
        <v>0.10964912280701754</v>
      </c>
      <c r="AG175" s="91">
        <f t="shared" si="56"/>
        <v>0.37719298245614036</v>
      </c>
      <c r="AH175" s="92">
        <v>209.41</v>
      </c>
      <c r="AI175" s="93">
        <v>264.91999999999928</v>
      </c>
      <c r="AJ175" s="93">
        <v>264.91999999999933</v>
      </c>
      <c r="AK175" s="93">
        <v>156.1799999999995</v>
      </c>
      <c r="AL175" s="94">
        <v>165.50000000000003</v>
      </c>
      <c r="AM175" s="94">
        <v>461.09</v>
      </c>
      <c r="AN175" s="94" t="s">
        <v>779</v>
      </c>
      <c r="AO175" s="111">
        <v>0</v>
      </c>
      <c r="AP175" s="112">
        <v>0</v>
      </c>
      <c r="AQ175" s="112">
        <v>0</v>
      </c>
      <c r="AR175" s="112">
        <v>580.5</v>
      </c>
      <c r="AS175" s="113">
        <v>1147.5</v>
      </c>
      <c r="AT175" s="113">
        <v>1288.3</v>
      </c>
      <c r="AU175" s="111">
        <v>0</v>
      </c>
      <c r="AV175" s="112">
        <v>0</v>
      </c>
      <c r="AW175" s="112">
        <v>0</v>
      </c>
      <c r="AX175" s="112">
        <v>0</v>
      </c>
      <c r="AY175" s="113">
        <v>0</v>
      </c>
      <c r="AZ175" s="113">
        <v>0</v>
      </c>
    </row>
    <row r="176" spans="1:52" x14ac:dyDescent="0.25">
      <c r="A176" s="101" t="s">
        <v>793</v>
      </c>
      <c r="B176" s="102" t="s">
        <v>836</v>
      </c>
      <c r="C176" s="102"/>
      <c r="D176" s="102" t="s">
        <v>1048</v>
      </c>
      <c r="E176" s="103">
        <v>3.2939887074006853</v>
      </c>
      <c r="F176" s="104">
        <v>1000</v>
      </c>
      <c r="G176" s="105">
        <f t="shared" si="48"/>
        <v>500</v>
      </c>
      <c r="H176" s="105">
        <v>5279</v>
      </c>
      <c r="I176" s="106">
        <f t="shared" si="49"/>
        <v>9.4714908126539113E-2</v>
      </c>
      <c r="J176" s="86">
        <v>0</v>
      </c>
      <c r="K176" s="86">
        <v>0</v>
      </c>
      <c r="L176" s="86">
        <v>0</v>
      </c>
      <c r="M176" s="86">
        <v>0</v>
      </c>
      <c r="N176" s="86">
        <v>0</v>
      </c>
      <c r="O176" s="90">
        <v>578</v>
      </c>
      <c r="P176" s="86"/>
      <c r="Q176" s="87"/>
      <c r="R176" s="87"/>
      <c r="S176" s="88"/>
      <c r="T176" s="89"/>
      <c r="U176" s="89">
        <f t="shared" si="50"/>
        <v>1903.9254728775961</v>
      </c>
      <c r="V176" s="86"/>
      <c r="W176" s="87"/>
      <c r="X176" s="87"/>
      <c r="Y176" s="87"/>
      <c r="Z176" s="90"/>
      <c r="AA176" s="90"/>
      <c r="AB176" s="91">
        <f t="shared" si="51"/>
        <v>0</v>
      </c>
      <c r="AC176" s="91">
        <f t="shared" si="52"/>
        <v>0</v>
      </c>
      <c r="AD176" s="91">
        <f t="shared" si="53"/>
        <v>0</v>
      </c>
      <c r="AE176" s="91">
        <f t="shared" si="54"/>
        <v>0</v>
      </c>
      <c r="AF176" s="91">
        <f t="shared" si="55"/>
        <v>0</v>
      </c>
      <c r="AG176" s="91">
        <f t="shared" si="56"/>
        <v>0</v>
      </c>
      <c r="AH176" s="92"/>
      <c r="AI176" s="93"/>
      <c r="AJ176" s="93"/>
      <c r="AK176" s="93"/>
      <c r="AL176" s="94"/>
      <c r="AM176" s="94"/>
      <c r="AN176" s="94" t="s">
        <v>779</v>
      </c>
      <c r="AO176" s="111">
        <v>0</v>
      </c>
      <c r="AP176" s="112">
        <v>0</v>
      </c>
      <c r="AQ176" s="112">
        <v>0</v>
      </c>
      <c r="AR176" s="112">
        <v>0</v>
      </c>
      <c r="AS176" s="113">
        <v>0</v>
      </c>
      <c r="AT176" s="113">
        <v>1953.64</v>
      </c>
      <c r="AU176" s="111">
        <v>552.78000000000009</v>
      </c>
      <c r="AV176" s="112">
        <v>600.96999999999923</v>
      </c>
      <c r="AW176" s="112">
        <v>441.68999999999954</v>
      </c>
      <c r="AX176" s="112">
        <v>71.790000000000006</v>
      </c>
      <c r="AY176" s="113">
        <v>0</v>
      </c>
      <c r="AZ176" s="113">
        <v>0</v>
      </c>
    </row>
    <row r="177" spans="1:52" x14ac:dyDescent="0.25">
      <c r="A177" s="101" t="s">
        <v>78</v>
      </c>
      <c r="B177" s="102" t="s">
        <v>79</v>
      </c>
      <c r="C177" s="102"/>
      <c r="D177" s="102" t="s">
        <v>1048</v>
      </c>
      <c r="E177" s="103">
        <v>3.2800000000000002</v>
      </c>
      <c r="F177" s="104">
        <v>4000</v>
      </c>
      <c r="G177" s="105">
        <f t="shared" si="48"/>
        <v>2000</v>
      </c>
      <c r="H177" s="105">
        <v>2207</v>
      </c>
      <c r="I177" s="106">
        <f t="shared" si="49"/>
        <v>0.90620752152242867</v>
      </c>
      <c r="J177" s="86">
        <v>4000</v>
      </c>
      <c r="K177" s="87">
        <v>0</v>
      </c>
      <c r="L177" s="87">
        <v>500</v>
      </c>
      <c r="M177" s="87">
        <v>70</v>
      </c>
      <c r="N177" s="90"/>
      <c r="O177" s="90">
        <v>0</v>
      </c>
      <c r="P177" s="86">
        <f>+J177*E177</f>
        <v>13120.000000000002</v>
      </c>
      <c r="Q177" s="87">
        <f>+K177*E177</f>
        <v>0</v>
      </c>
      <c r="R177" s="87">
        <f>+L177*E177</f>
        <v>1640.0000000000002</v>
      </c>
      <c r="S177" s="88">
        <f>+M177*E177</f>
        <v>229.60000000000002</v>
      </c>
      <c r="T177" s="89">
        <f>+N177*E177</f>
        <v>0</v>
      </c>
      <c r="U177" s="89">
        <f t="shared" si="50"/>
        <v>0</v>
      </c>
      <c r="V177" s="86">
        <v>4</v>
      </c>
      <c r="W177" s="87">
        <v>7</v>
      </c>
      <c r="X177" s="87">
        <v>4</v>
      </c>
      <c r="Y177" s="87">
        <v>0</v>
      </c>
      <c r="Z177" s="90">
        <v>3</v>
      </c>
      <c r="AA177" s="90">
        <v>0</v>
      </c>
      <c r="AB177" s="91">
        <f t="shared" si="51"/>
        <v>1.8124150430448573E-3</v>
      </c>
      <c r="AC177" s="91">
        <f t="shared" si="52"/>
        <v>3.1717263253285004E-3</v>
      </c>
      <c r="AD177" s="91">
        <f t="shared" si="53"/>
        <v>1.8124150430448573E-3</v>
      </c>
      <c r="AE177" s="91">
        <f t="shared" si="54"/>
        <v>0</v>
      </c>
      <c r="AF177" s="91">
        <f t="shared" si="55"/>
        <v>1.3593112822836431E-3</v>
      </c>
      <c r="AG177" s="91">
        <f t="shared" si="56"/>
        <v>0</v>
      </c>
      <c r="AH177" s="92">
        <v>13</v>
      </c>
      <c r="AI177" s="93">
        <v>22.75</v>
      </c>
      <c r="AJ177" s="93">
        <v>22.75</v>
      </c>
      <c r="AK177" s="93">
        <v>13</v>
      </c>
      <c r="AL177" s="94">
        <v>9.84</v>
      </c>
      <c r="AM177" s="94">
        <v>0</v>
      </c>
      <c r="AN177" s="94" t="s">
        <v>779</v>
      </c>
      <c r="AO177" s="111">
        <v>14135</v>
      </c>
      <c r="AP177" s="112">
        <v>0</v>
      </c>
      <c r="AQ177" s="112">
        <v>1780</v>
      </c>
      <c r="AR177" s="112">
        <v>247.8</v>
      </c>
      <c r="AS177" s="113">
        <v>0</v>
      </c>
      <c r="AT177" s="113">
        <v>0</v>
      </c>
      <c r="AU177" s="111">
        <v>27.28</v>
      </c>
      <c r="AV177" s="112">
        <v>47.74</v>
      </c>
      <c r="AW177" s="112">
        <v>27.28</v>
      </c>
      <c r="AX177" s="112">
        <v>0</v>
      </c>
      <c r="AY177" s="113">
        <v>20.46</v>
      </c>
      <c r="AZ177" s="113">
        <v>0</v>
      </c>
    </row>
    <row r="178" spans="1:52" x14ac:dyDescent="0.25">
      <c r="A178" s="101" t="s">
        <v>931</v>
      </c>
      <c r="B178" s="102" t="s">
        <v>225</v>
      </c>
      <c r="C178" s="102"/>
      <c r="D178" s="102" t="s">
        <v>1048</v>
      </c>
      <c r="E178" s="103">
        <v>3.2799999999999994</v>
      </c>
      <c r="F178" s="104">
        <v>8000</v>
      </c>
      <c r="G178" s="105">
        <f t="shared" si="48"/>
        <v>4000</v>
      </c>
      <c r="H178" s="105">
        <v>13542</v>
      </c>
      <c r="I178" s="106">
        <f t="shared" si="49"/>
        <v>0.29537734455767245</v>
      </c>
      <c r="J178" s="86">
        <v>1400</v>
      </c>
      <c r="K178" s="87">
        <v>1636</v>
      </c>
      <c r="L178" s="87">
        <v>321</v>
      </c>
      <c r="M178" s="87">
        <v>2231</v>
      </c>
      <c r="N178" s="90"/>
      <c r="O178" s="90">
        <v>259</v>
      </c>
      <c r="P178" s="86">
        <f>+J178*E178</f>
        <v>4591.9999999999991</v>
      </c>
      <c r="Q178" s="87">
        <f>+K178*E178</f>
        <v>5366.079999999999</v>
      </c>
      <c r="R178" s="87">
        <f>+L178*E178</f>
        <v>1052.8799999999999</v>
      </c>
      <c r="S178" s="88">
        <f>+M178*E178</f>
        <v>7317.6799999999985</v>
      </c>
      <c r="T178" s="89">
        <f>+N178*E178</f>
        <v>0</v>
      </c>
      <c r="U178" s="89">
        <f t="shared" si="50"/>
        <v>849.51999999999987</v>
      </c>
      <c r="V178" s="86">
        <v>165</v>
      </c>
      <c r="W178" s="87">
        <v>1621</v>
      </c>
      <c r="X178" s="87">
        <v>1529</v>
      </c>
      <c r="Y178" s="87">
        <v>295</v>
      </c>
      <c r="Z178" s="90">
        <v>2275</v>
      </c>
      <c r="AA178" s="90">
        <v>57</v>
      </c>
      <c r="AB178" s="91">
        <f t="shared" si="51"/>
        <v>1.2184315463003987E-2</v>
      </c>
      <c r="AC178" s="91">
        <f t="shared" si="52"/>
        <v>0.11970166888199675</v>
      </c>
      <c r="AD178" s="91">
        <f t="shared" si="53"/>
        <v>0.11290798995717029</v>
      </c>
      <c r="AE178" s="91">
        <f t="shared" si="54"/>
        <v>2.1784079161128341E-2</v>
      </c>
      <c r="AF178" s="91">
        <f t="shared" si="55"/>
        <v>0.1679958647171762</v>
      </c>
      <c r="AG178" s="91">
        <f t="shared" si="56"/>
        <v>4.2091271599468318E-3</v>
      </c>
      <c r="AH178" s="92">
        <v>593.18000000000006</v>
      </c>
      <c r="AI178" s="93">
        <v>5971.659999999968</v>
      </c>
      <c r="AJ178" s="93">
        <v>5971.659999999968</v>
      </c>
      <c r="AK178" s="93">
        <v>6318.659999999988</v>
      </c>
      <c r="AL178" s="94">
        <v>827.30999999999904</v>
      </c>
      <c r="AM178" s="94">
        <v>126.36</v>
      </c>
      <c r="AN178" s="94" t="s">
        <v>779</v>
      </c>
      <c r="AO178" s="111">
        <v>0</v>
      </c>
      <c r="AP178" s="112">
        <v>0</v>
      </c>
      <c r="AQ178" s="112">
        <v>0</v>
      </c>
      <c r="AR178" s="112">
        <v>0</v>
      </c>
      <c r="AS178" s="113">
        <v>0</v>
      </c>
      <c r="AT178" s="113">
        <v>0</v>
      </c>
      <c r="AU178" s="111">
        <v>0</v>
      </c>
      <c r="AV178" s="112">
        <v>0</v>
      </c>
      <c r="AW178" s="112">
        <v>0</v>
      </c>
      <c r="AX178" s="112">
        <v>0</v>
      </c>
      <c r="AY178" s="113">
        <v>0</v>
      </c>
      <c r="AZ178" s="113">
        <v>0</v>
      </c>
    </row>
    <row r="179" spans="1:52" x14ac:dyDescent="0.25">
      <c r="A179" s="101" t="s">
        <v>813</v>
      </c>
      <c r="B179" s="102" t="s">
        <v>856</v>
      </c>
      <c r="C179" s="102"/>
      <c r="D179" s="102" t="s">
        <v>1048</v>
      </c>
      <c r="E179" s="103">
        <v>3.2705263157894677</v>
      </c>
      <c r="F179" s="104">
        <v>2000</v>
      </c>
      <c r="G179" s="105">
        <f t="shared" si="48"/>
        <v>1000</v>
      </c>
      <c r="H179" s="105">
        <v>8972</v>
      </c>
      <c r="I179" s="106">
        <f t="shared" si="49"/>
        <v>0.11145786892554614</v>
      </c>
      <c r="J179" s="86">
        <v>0</v>
      </c>
      <c r="K179" s="86">
        <v>0</v>
      </c>
      <c r="L179" s="86">
        <v>0</v>
      </c>
      <c r="M179" s="86">
        <v>0</v>
      </c>
      <c r="N179" s="86">
        <v>0</v>
      </c>
      <c r="O179" s="90">
        <v>883</v>
      </c>
      <c r="P179" s="86"/>
      <c r="Q179" s="87"/>
      <c r="R179" s="87"/>
      <c r="S179" s="88"/>
      <c r="T179" s="89"/>
      <c r="U179" s="89">
        <f t="shared" si="50"/>
        <v>2887.8747368421</v>
      </c>
      <c r="V179" s="86"/>
      <c r="W179" s="87"/>
      <c r="X179" s="87"/>
      <c r="Y179" s="87"/>
      <c r="Z179" s="90"/>
      <c r="AA179" s="90"/>
      <c r="AB179" s="91">
        <f t="shared" si="51"/>
        <v>0</v>
      </c>
      <c r="AC179" s="91">
        <f t="shared" si="52"/>
        <v>0</v>
      </c>
      <c r="AD179" s="91">
        <f t="shared" si="53"/>
        <v>0</v>
      </c>
      <c r="AE179" s="91">
        <f t="shared" si="54"/>
        <v>0</v>
      </c>
      <c r="AF179" s="91">
        <f t="shared" si="55"/>
        <v>0</v>
      </c>
      <c r="AG179" s="91">
        <f t="shared" si="56"/>
        <v>0</v>
      </c>
      <c r="AH179" s="92"/>
      <c r="AI179" s="93"/>
      <c r="AJ179" s="93"/>
      <c r="AK179" s="93"/>
      <c r="AL179" s="94"/>
      <c r="AM179" s="94"/>
      <c r="AN179" s="94" t="s">
        <v>780</v>
      </c>
      <c r="AO179" s="111">
        <v>137934.07999999999</v>
      </c>
      <c r="AP179" s="112">
        <v>321779.88</v>
      </c>
      <c r="AQ179" s="112">
        <v>203277.83000000005</v>
      </c>
      <c r="AR179" s="112">
        <v>65872.240000000005</v>
      </c>
      <c r="AS179" s="113">
        <v>26324.880000000001</v>
      </c>
      <c r="AT179" s="113">
        <v>59669.380000000005</v>
      </c>
      <c r="AU179" s="111">
        <v>0</v>
      </c>
      <c r="AV179" s="112">
        <v>87466.069999999934</v>
      </c>
      <c r="AW179" s="112">
        <v>147767.45999999967</v>
      </c>
      <c r="AX179" s="112">
        <v>179174.00000000501</v>
      </c>
      <c r="AY179" s="113">
        <v>261724.230000007</v>
      </c>
      <c r="AZ179" s="113">
        <v>124548.62999999701</v>
      </c>
    </row>
    <row r="180" spans="1:52" x14ac:dyDescent="0.25">
      <c r="A180" s="101" t="s">
        <v>333</v>
      </c>
      <c r="B180" s="102" t="s">
        <v>334</v>
      </c>
      <c r="C180" s="102"/>
      <c r="D180" s="102" t="s">
        <v>1048</v>
      </c>
      <c r="E180" s="103">
        <v>3.1899999999999995</v>
      </c>
      <c r="F180" s="104">
        <v>2000</v>
      </c>
      <c r="G180" s="105">
        <f t="shared" si="48"/>
        <v>1000</v>
      </c>
      <c r="H180" s="105">
        <v>3806</v>
      </c>
      <c r="I180" s="106">
        <f t="shared" si="49"/>
        <v>0.26274303730951132</v>
      </c>
      <c r="J180" s="86">
        <v>496</v>
      </c>
      <c r="K180" s="87">
        <v>0</v>
      </c>
      <c r="L180" s="87">
        <v>0</v>
      </c>
      <c r="M180" s="87">
        <v>0</v>
      </c>
      <c r="N180" s="90"/>
      <c r="O180" s="90">
        <v>0</v>
      </c>
      <c r="P180" s="86">
        <f>+J180*E180</f>
        <v>1582.2399999999998</v>
      </c>
      <c r="Q180" s="87">
        <f>+K180*E180</f>
        <v>0</v>
      </c>
      <c r="R180" s="87">
        <f>+L180*E180</f>
        <v>0</v>
      </c>
      <c r="S180" s="88">
        <f>+M180*E180</f>
        <v>0</v>
      </c>
      <c r="T180" s="89">
        <f>+N180*E180</f>
        <v>0</v>
      </c>
      <c r="U180" s="89">
        <f t="shared" si="50"/>
        <v>0</v>
      </c>
      <c r="V180" s="86">
        <v>976</v>
      </c>
      <c r="W180" s="87">
        <v>-5</v>
      </c>
      <c r="X180" s="87">
        <v>0</v>
      </c>
      <c r="Y180" s="87">
        <v>0</v>
      </c>
      <c r="Z180" s="90">
        <v>0</v>
      </c>
      <c r="AA180" s="90">
        <v>0</v>
      </c>
      <c r="AB180" s="91">
        <f t="shared" si="51"/>
        <v>0.25643720441408302</v>
      </c>
      <c r="AC180" s="91">
        <f t="shared" si="52"/>
        <v>-1.3137151865475565E-3</v>
      </c>
      <c r="AD180" s="91">
        <f t="shared" si="53"/>
        <v>0</v>
      </c>
      <c r="AE180" s="91">
        <f t="shared" si="54"/>
        <v>0</v>
      </c>
      <c r="AF180" s="91">
        <f t="shared" si="55"/>
        <v>0</v>
      </c>
      <c r="AG180" s="91">
        <f t="shared" si="56"/>
        <v>0</v>
      </c>
      <c r="AH180" s="92">
        <v>2521.4900000000011</v>
      </c>
      <c r="AI180" s="93">
        <v>1154.8099999999961</v>
      </c>
      <c r="AJ180" s="93">
        <v>1154.8099999999961</v>
      </c>
      <c r="AK180" s="93">
        <v>0</v>
      </c>
      <c r="AL180" s="94">
        <v>0</v>
      </c>
      <c r="AM180" s="94">
        <v>0</v>
      </c>
      <c r="AN180" s="94" t="s">
        <v>779</v>
      </c>
      <c r="AO180" s="111">
        <v>7400.32</v>
      </c>
      <c r="AP180" s="112">
        <v>0</v>
      </c>
      <c r="AQ180" s="112">
        <v>0</v>
      </c>
      <c r="AR180" s="112">
        <v>0</v>
      </c>
      <c r="AS180" s="113">
        <v>0</v>
      </c>
      <c r="AT180" s="113">
        <v>0</v>
      </c>
      <c r="AU180" s="111">
        <v>17073.650000000001</v>
      </c>
      <c r="AV180" s="112">
        <v>1129.7599999999886</v>
      </c>
      <c r="AW180" s="112">
        <v>0</v>
      </c>
      <c r="AX180" s="112">
        <v>0</v>
      </c>
      <c r="AY180" s="113">
        <v>0</v>
      </c>
      <c r="AZ180" s="113">
        <v>0</v>
      </c>
    </row>
    <row r="181" spans="1:52" x14ac:dyDescent="0.25">
      <c r="A181" s="101" t="s">
        <v>387</v>
      </c>
      <c r="B181" s="102" t="s">
        <v>388</v>
      </c>
      <c r="C181" s="102"/>
      <c r="D181" s="102" t="s">
        <v>1048</v>
      </c>
      <c r="E181" s="103">
        <v>3.1500000000000021</v>
      </c>
      <c r="F181" s="104">
        <v>612.80000000000007</v>
      </c>
      <c r="G181" s="105">
        <f t="shared" si="48"/>
        <v>306.40000000000003</v>
      </c>
      <c r="H181" s="105">
        <v>3064</v>
      </c>
      <c r="I181" s="106">
        <f t="shared" si="49"/>
        <v>0.1</v>
      </c>
      <c r="J181" s="86">
        <v>0</v>
      </c>
      <c r="K181" s="87">
        <v>200</v>
      </c>
      <c r="L181" s="87">
        <v>0</v>
      </c>
      <c r="M181" s="87">
        <v>0</v>
      </c>
      <c r="N181" s="90"/>
      <c r="O181" s="90">
        <v>0</v>
      </c>
      <c r="P181" s="86">
        <f>+J181*E181</f>
        <v>0</v>
      </c>
      <c r="Q181" s="87">
        <f>+K181*E181</f>
        <v>630.00000000000045</v>
      </c>
      <c r="R181" s="87">
        <f>+L181*E181</f>
        <v>0</v>
      </c>
      <c r="S181" s="88">
        <f>+M181*E181</f>
        <v>0</v>
      </c>
      <c r="T181" s="89">
        <f>+N181*E181</f>
        <v>0</v>
      </c>
      <c r="U181" s="89">
        <f t="shared" si="50"/>
        <v>0</v>
      </c>
      <c r="V181" s="86">
        <v>22</v>
      </c>
      <c r="W181" s="87">
        <v>26</v>
      </c>
      <c r="X181" s="87">
        <v>11</v>
      </c>
      <c r="Y181" s="87">
        <v>28</v>
      </c>
      <c r="Z181" s="90">
        <v>22</v>
      </c>
      <c r="AA181" s="90">
        <v>22</v>
      </c>
      <c r="AB181" s="91">
        <f t="shared" si="51"/>
        <v>7.1801566579634468E-3</v>
      </c>
      <c r="AC181" s="91">
        <f t="shared" si="52"/>
        <v>8.4856396866840739E-3</v>
      </c>
      <c r="AD181" s="91">
        <f t="shared" si="53"/>
        <v>3.5900783289817234E-3</v>
      </c>
      <c r="AE181" s="91">
        <f t="shared" si="54"/>
        <v>9.138381201044387E-3</v>
      </c>
      <c r="AF181" s="91">
        <f t="shared" si="55"/>
        <v>7.1801566579634468E-3</v>
      </c>
      <c r="AG181" s="91">
        <f t="shared" si="56"/>
        <v>7.1801566579634468E-3</v>
      </c>
      <c r="AH181" s="92">
        <v>48.99</v>
      </c>
      <c r="AI181" s="93">
        <v>349.90999999999997</v>
      </c>
      <c r="AJ181" s="93">
        <v>349.90999999999997</v>
      </c>
      <c r="AK181" s="93">
        <v>80.31</v>
      </c>
      <c r="AL181" s="94">
        <v>117.49999999999901</v>
      </c>
      <c r="AM181" s="94">
        <v>72.45</v>
      </c>
      <c r="AN181" s="94" t="s">
        <v>779</v>
      </c>
      <c r="AO181" s="111">
        <v>0</v>
      </c>
      <c r="AP181" s="112">
        <v>4356</v>
      </c>
      <c r="AQ181" s="112">
        <v>0</v>
      </c>
      <c r="AR181" s="112">
        <v>0</v>
      </c>
      <c r="AS181" s="113">
        <v>0</v>
      </c>
      <c r="AT181" s="113">
        <v>0</v>
      </c>
      <c r="AU181" s="111">
        <v>585.34999999999991</v>
      </c>
      <c r="AV181" s="112">
        <v>693.09</v>
      </c>
      <c r="AW181" s="112">
        <v>257.09999999999997</v>
      </c>
      <c r="AX181" s="112">
        <v>689.34</v>
      </c>
      <c r="AY181" s="113">
        <v>570.43999999999903</v>
      </c>
      <c r="AZ181" s="113">
        <v>526.75</v>
      </c>
    </row>
    <row r="182" spans="1:52" x14ac:dyDescent="0.25">
      <c r="A182" s="101" t="s">
        <v>932</v>
      </c>
      <c r="B182" s="102" t="s">
        <v>109</v>
      </c>
      <c r="C182" s="102"/>
      <c r="D182" s="102" t="s">
        <v>1048</v>
      </c>
      <c r="E182" s="103">
        <v>3.1300000000000008</v>
      </c>
      <c r="F182" s="104">
        <v>3000</v>
      </c>
      <c r="G182" s="105">
        <f t="shared" si="48"/>
        <v>1500</v>
      </c>
      <c r="H182" s="105">
        <v>22201</v>
      </c>
      <c r="I182" s="106">
        <f t="shared" si="49"/>
        <v>6.756452412053511E-2</v>
      </c>
      <c r="J182" s="86">
        <v>10000</v>
      </c>
      <c r="K182" s="87">
        <v>0</v>
      </c>
      <c r="L182" s="87">
        <v>4000</v>
      </c>
      <c r="M182" s="87">
        <v>0</v>
      </c>
      <c r="N182" s="90">
        <v>3000</v>
      </c>
      <c r="O182" s="90">
        <v>6000</v>
      </c>
      <c r="P182" s="86">
        <f>+J182*E182</f>
        <v>31300.000000000007</v>
      </c>
      <c r="Q182" s="87">
        <f>+K182*E182</f>
        <v>0</v>
      </c>
      <c r="R182" s="87">
        <f>+L182*E182</f>
        <v>12520.000000000004</v>
      </c>
      <c r="S182" s="88">
        <f>+M182*E182</f>
        <v>0</v>
      </c>
      <c r="T182" s="89">
        <f>+N182*E182</f>
        <v>9390.0000000000018</v>
      </c>
      <c r="U182" s="89">
        <f t="shared" si="50"/>
        <v>18780.000000000004</v>
      </c>
      <c r="V182" s="86">
        <v>3794</v>
      </c>
      <c r="W182" s="87">
        <v>1969</v>
      </c>
      <c r="X182" s="87">
        <v>4128</v>
      </c>
      <c r="Y182" s="87">
        <v>2797</v>
      </c>
      <c r="Z182" s="90">
        <v>2296</v>
      </c>
      <c r="AA182" s="90">
        <v>3799</v>
      </c>
      <c r="AB182" s="91">
        <f t="shared" si="51"/>
        <v>0.17089320300887348</v>
      </c>
      <c r="AC182" s="91">
        <f t="shared" si="52"/>
        <v>8.8689698662222427E-2</v>
      </c>
      <c r="AD182" s="91">
        <f t="shared" si="53"/>
        <v>0.18593757037971262</v>
      </c>
      <c r="AE182" s="91">
        <f t="shared" si="54"/>
        <v>0.1259853159767578</v>
      </c>
      <c r="AF182" s="91">
        <f t="shared" si="55"/>
        <v>0.10341876492049908</v>
      </c>
      <c r="AG182" s="91">
        <f t="shared" si="56"/>
        <v>0.17111841808927525</v>
      </c>
      <c r="AH182" s="92">
        <v>5319.0799999999981</v>
      </c>
      <c r="AI182" s="93">
        <v>1469.2399999999998</v>
      </c>
      <c r="AJ182" s="93">
        <v>1469.2399999999998</v>
      </c>
      <c r="AK182" s="93">
        <v>2565.6499999999946</v>
      </c>
      <c r="AL182" s="94">
        <v>7640.95999999997</v>
      </c>
      <c r="AM182" s="94">
        <v>10387.2499999999</v>
      </c>
      <c r="AN182" s="94" t="s">
        <v>779</v>
      </c>
      <c r="AO182" s="111">
        <v>44359.999999999993</v>
      </c>
      <c r="AP182" s="112">
        <v>0</v>
      </c>
      <c r="AQ182" s="112">
        <v>16760</v>
      </c>
      <c r="AR182" s="112">
        <v>0</v>
      </c>
      <c r="AS182" s="113">
        <v>13230</v>
      </c>
      <c r="AT182" s="113">
        <v>26340.000000000004</v>
      </c>
      <c r="AU182" s="111">
        <v>0</v>
      </c>
      <c r="AV182" s="112">
        <v>0</v>
      </c>
      <c r="AW182" s="112">
        <v>0</v>
      </c>
      <c r="AX182" s="112">
        <v>0</v>
      </c>
      <c r="AY182" s="113">
        <v>0</v>
      </c>
      <c r="AZ182" s="113">
        <v>0</v>
      </c>
    </row>
    <row r="183" spans="1:52" x14ac:dyDescent="0.25">
      <c r="A183" s="101" t="s">
        <v>809</v>
      </c>
      <c r="B183" s="102" t="s">
        <v>852</v>
      </c>
      <c r="C183" s="102"/>
      <c r="D183" s="102" t="s">
        <v>1048</v>
      </c>
      <c r="E183" s="103">
        <v>3.1035087719298247</v>
      </c>
      <c r="F183" s="104">
        <v>8000</v>
      </c>
      <c r="G183" s="105">
        <f t="shared" si="48"/>
        <v>4000</v>
      </c>
      <c r="H183" s="105">
        <v>14774</v>
      </c>
      <c r="I183" s="106">
        <f t="shared" si="49"/>
        <v>0.27074590496818735</v>
      </c>
      <c r="J183" s="86">
        <v>0</v>
      </c>
      <c r="K183" s="86">
        <v>0</v>
      </c>
      <c r="L183" s="86">
        <v>0</v>
      </c>
      <c r="M183" s="86">
        <v>0</v>
      </c>
      <c r="N183" s="86">
        <v>0</v>
      </c>
      <c r="O183" s="90">
        <v>149</v>
      </c>
      <c r="P183" s="86"/>
      <c r="Q183" s="87"/>
      <c r="R183" s="87"/>
      <c r="S183" s="88"/>
      <c r="T183" s="89"/>
      <c r="U183" s="89">
        <f t="shared" si="50"/>
        <v>462.42280701754385</v>
      </c>
      <c r="V183" s="86"/>
      <c r="W183" s="87"/>
      <c r="X183" s="87"/>
      <c r="Y183" s="87"/>
      <c r="Z183" s="90"/>
      <c r="AA183" s="90"/>
      <c r="AB183" s="91">
        <f t="shared" si="51"/>
        <v>0</v>
      </c>
      <c r="AC183" s="91">
        <f t="shared" si="52"/>
        <v>0</v>
      </c>
      <c r="AD183" s="91">
        <f t="shared" si="53"/>
        <v>0</v>
      </c>
      <c r="AE183" s="91">
        <f t="shared" si="54"/>
        <v>0</v>
      </c>
      <c r="AF183" s="91">
        <f t="shared" si="55"/>
        <v>0</v>
      </c>
      <c r="AG183" s="91">
        <f t="shared" si="56"/>
        <v>0</v>
      </c>
      <c r="AH183" s="92"/>
      <c r="AI183" s="93"/>
      <c r="AJ183" s="93"/>
      <c r="AK183" s="93"/>
      <c r="AL183" s="94"/>
      <c r="AM183" s="94"/>
      <c r="AN183" s="94" t="s">
        <v>780</v>
      </c>
      <c r="AO183" s="111">
        <v>76835.34</v>
      </c>
      <c r="AP183" s="112">
        <v>122500.25</v>
      </c>
      <c r="AQ183" s="112">
        <v>45805.82</v>
      </c>
      <c r="AR183" s="112">
        <v>47223.100000000006</v>
      </c>
      <c r="AS183" s="113">
        <v>29909.16</v>
      </c>
      <c r="AT183" s="113">
        <v>10194.58</v>
      </c>
      <c r="AU183" s="111">
        <v>0</v>
      </c>
      <c r="AV183" s="112">
        <v>0</v>
      </c>
      <c r="AW183" s="112">
        <v>0</v>
      </c>
      <c r="AX183" s="112">
        <v>0</v>
      </c>
      <c r="AY183" s="113">
        <v>0</v>
      </c>
      <c r="AZ183" s="113">
        <v>31352.620000000101</v>
      </c>
    </row>
    <row r="184" spans="1:52" x14ac:dyDescent="0.25">
      <c r="A184" s="101" t="s">
        <v>339</v>
      </c>
      <c r="B184" s="102" t="s">
        <v>340</v>
      </c>
      <c r="C184" s="102"/>
      <c r="D184" s="102" t="s">
        <v>1048</v>
      </c>
      <c r="E184" s="103">
        <v>3.01</v>
      </c>
      <c r="F184" s="104">
        <v>500</v>
      </c>
      <c r="G184" s="105">
        <f t="shared" si="48"/>
        <v>250</v>
      </c>
      <c r="H184" s="105">
        <v>1098</v>
      </c>
      <c r="I184" s="106">
        <f t="shared" si="49"/>
        <v>0.22768670309653916</v>
      </c>
      <c r="J184" s="86">
        <v>0</v>
      </c>
      <c r="K184" s="87">
        <v>149</v>
      </c>
      <c r="L184" s="87">
        <v>200</v>
      </c>
      <c r="M184" s="87">
        <v>410</v>
      </c>
      <c r="N184" s="90">
        <v>100</v>
      </c>
      <c r="O184" s="90">
        <v>600</v>
      </c>
      <c r="P184" s="86">
        <f t="shared" ref="P184:P195" si="72">+J184*E184</f>
        <v>0</v>
      </c>
      <c r="Q184" s="87">
        <f t="shared" ref="Q184:Q195" si="73">+K184*E184</f>
        <v>448.48999999999995</v>
      </c>
      <c r="R184" s="87">
        <f t="shared" ref="R184:R195" si="74">+L184*E184</f>
        <v>602</v>
      </c>
      <c r="S184" s="88">
        <f t="shared" ref="S184:S195" si="75">+M184*E184</f>
        <v>1234.0999999999999</v>
      </c>
      <c r="T184" s="89">
        <f t="shared" ref="T184:T195" si="76">+N184*E184</f>
        <v>301</v>
      </c>
      <c r="U184" s="89">
        <f t="shared" si="50"/>
        <v>1805.9999999999998</v>
      </c>
      <c r="V184" s="86">
        <v>32</v>
      </c>
      <c r="W184" s="87">
        <v>379</v>
      </c>
      <c r="X184" s="87">
        <v>235</v>
      </c>
      <c r="Y184" s="87">
        <v>220</v>
      </c>
      <c r="Z184" s="90">
        <v>328</v>
      </c>
      <c r="AA184" s="90">
        <v>219</v>
      </c>
      <c r="AB184" s="91">
        <f t="shared" si="51"/>
        <v>2.9143897996357013E-2</v>
      </c>
      <c r="AC184" s="91">
        <f t="shared" si="52"/>
        <v>0.34517304189435338</v>
      </c>
      <c r="AD184" s="91">
        <f t="shared" si="53"/>
        <v>0.21402550091074682</v>
      </c>
      <c r="AE184" s="91">
        <f t="shared" si="54"/>
        <v>0.20036429872495445</v>
      </c>
      <c r="AF184" s="91">
        <f t="shared" si="55"/>
        <v>0.2987249544626594</v>
      </c>
      <c r="AG184" s="91">
        <f t="shared" si="56"/>
        <v>0.19945355191256831</v>
      </c>
      <c r="AH184" s="92">
        <v>47.55</v>
      </c>
      <c r="AI184" s="93">
        <v>414.23999999999972</v>
      </c>
      <c r="AJ184" s="93">
        <v>414.23999999999978</v>
      </c>
      <c r="AK184" s="93">
        <v>318.87999999999977</v>
      </c>
      <c r="AL184" s="94">
        <v>234.35</v>
      </c>
      <c r="AM184" s="94">
        <v>409.81999999999903</v>
      </c>
      <c r="AN184" s="94" t="s">
        <v>779</v>
      </c>
      <c r="AO184" s="111">
        <v>0</v>
      </c>
      <c r="AP184" s="112">
        <v>2297.58</v>
      </c>
      <c r="AQ184" s="112">
        <v>2908</v>
      </c>
      <c r="AR184" s="112">
        <v>6204</v>
      </c>
      <c r="AS184" s="113">
        <v>1460</v>
      </c>
      <c r="AT184" s="113">
        <v>3652</v>
      </c>
      <c r="AU184" s="111">
        <v>585.47</v>
      </c>
      <c r="AV184" s="112">
        <v>6785.2299999999886</v>
      </c>
      <c r="AW184" s="112">
        <v>4188.8299999999927</v>
      </c>
      <c r="AX184" s="112">
        <v>3547.27</v>
      </c>
      <c r="AY184" s="113">
        <v>5076.84</v>
      </c>
      <c r="AZ184" s="113">
        <v>3692.6299999999901</v>
      </c>
    </row>
    <row r="185" spans="1:52" x14ac:dyDescent="0.25">
      <c r="A185" s="101" t="s">
        <v>221</v>
      </c>
      <c r="B185" s="102" t="s">
        <v>222</v>
      </c>
      <c r="C185" s="102"/>
      <c r="D185" s="102" t="s">
        <v>1048</v>
      </c>
      <c r="E185" s="103">
        <v>3</v>
      </c>
      <c r="F185" s="104">
        <v>1396.6000000000001</v>
      </c>
      <c r="G185" s="105">
        <f t="shared" si="48"/>
        <v>698.30000000000007</v>
      </c>
      <c r="H185" s="105">
        <v>6983</v>
      </c>
      <c r="I185" s="106">
        <f t="shared" si="49"/>
        <v>0.1</v>
      </c>
      <c r="J185" s="86">
        <v>0</v>
      </c>
      <c r="K185" s="87">
        <v>0</v>
      </c>
      <c r="L185" s="87">
        <v>0</v>
      </c>
      <c r="M185" s="87">
        <v>0</v>
      </c>
      <c r="N185" s="90">
        <v>500</v>
      </c>
      <c r="O185" s="90">
        <v>0</v>
      </c>
      <c r="P185" s="86">
        <f t="shared" si="72"/>
        <v>0</v>
      </c>
      <c r="Q185" s="87">
        <f t="shared" si="73"/>
        <v>0</v>
      </c>
      <c r="R185" s="87">
        <f t="shared" si="74"/>
        <v>0</v>
      </c>
      <c r="S185" s="88">
        <f t="shared" si="75"/>
        <v>0</v>
      </c>
      <c r="T185" s="89">
        <f t="shared" si="76"/>
        <v>1500</v>
      </c>
      <c r="U185" s="89">
        <f t="shared" si="50"/>
        <v>0</v>
      </c>
      <c r="V185" s="86">
        <v>289</v>
      </c>
      <c r="W185" s="87">
        <v>55</v>
      </c>
      <c r="X185" s="87">
        <v>310</v>
      </c>
      <c r="Y185" s="87">
        <v>448</v>
      </c>
      <c r="Z185" s="90">
        <v>244</v>
      </c>
      <c r="AA185" s="90">
        <v>205</v>
      </c>
      <c r="AB185" s="91">
        <f t="shared" si="51"/>
        <v>4.1386223686094799E-2</v>
      </c>
      <c r="AC185" s="91">
        <f t="shared" si="52"/>
        <v>7.8762709437204641E-3</v>
      </c>
      <c r="AD185" s="91">
        <f t="shared" si="53"/>
        <v>4.4393527137333522E-2</v>
      </c>
      <c r="AE185" s="91">
        <f t="shared" si="54"/>
        <v>6.415580695975942E-2</v>
      </c>
      <c r="AF185" s="91">
        <f t="shared" si="55"/>
        <v>3.4942002004868966E-2</v>
      </c>
      <c r="AG185" s="91">
        <f t="shared" si="56"/>
        <v>2.9357009881139911E-2</v>
      </c>
      <c r="AH185" s="92">
        <v>735.5899999999998</v>
      </c>
      <c r="AI185" s="93">
        <v>75.889999999999887</v>
      </c>
      <c r="AJ185" s="93">
        <v>75.889999999999887</v>
      </c>
      <c r="AK185" s="93">
        <v>423.40999999999917</v>
      </c>
      <c r="AL185" s="94">
        <v>448.54999999999899</v>
      </c>
      <c r="AM185" s="94">
        <v>652.41</v>
      </c>
      <c r="AN185" s="94" t="s">
        <v>779</v>
      </c>
      <c r="AO185" s="111">
        <v>0</v>
      </c>
      <c r="AP185" s="112">
        <v>0</v>
      </c>
      <c r="AQ185" s="112">
        <v>0</v>
      </c>
      <c r="AR185" s="112">
        <v>0</v>
      </c>
      <c r="AS185" s="113">
        <v>2435</v>
      </c>
      <c r="AT185" s="113">
        <v>0</v>
      </c>
      <c r="AU185" s="111">
        <v>2593.8599999999992</v>
      </c>
      <c r="AV185" s="112">
        <v>515.88999999999896</v>
      </c>
      <c r="AW185" s="112">
        <v>2903.4099999999953</v>
      </c>
      <c r="AX185" s="112">
        <v>3979.13</v>
      </c>
      <c r="AY185" s="113">
        <v>2210.14</v>
      </c>
      <c r="AZ185" s="113">
        <v>2292.8000000000002</v>
      </c>
    </row>
    <row r="186" spans="1:52" x14ac:dyDescent="0.25">
      <c r="A186" s="101" t="s">
        <v>246</v>
      </c>
      <c r="B186" s="102" t="s">
        <v>247</v>
      </c>
      <c r="C186" s="102"/>
      <c r="D186" s="102" t="s">
        <v>1049</v>
      </c>
      <c r="E186" s="103">
        <v>2.9499999999999993</v>
      </c>
      <c r="F186" s="104">
        <v>2000</v>
      </c>
      <c r="G186" s="105">
        <f t="shared" si="48"/>
        <v>1000</v>
      </c>
      <c r="H186" s="105">
        <v>12369</v>
      </c>
      <c r="I186" s="106">
        <f t="shared" si="49"/>
        <v>8.0847279489045187E-2</v>
      </c>
      <c r="J186" s="86">
        <v>0</v>
      </c>
      <c r="K186" s="87">
        <v>0</v>
      </c>
      <c r="L186" s="87">
        <v>193</v>
      </c>
      <c r="M186" s="87">
        <v>465</v>
      </c>
      <c r="N186" s="90">
        <v>483</v>
      </c>
      <c r="O186" s="90">
        <v>167</v>
      </c>
      <c r="P186" s="86">
        <f t="shared" si="72"/>
        <v>0</v>
      </c>
      <c r="Q186" s="87">
        <f t="shared" si="73"/>
        <v>0</v>
      </c>
      <c r="R186" s="87">
        <f t="shared" si="74"/>
        <v>569.34999999999991</v>
      </c>
      <c r="S186" s="88">
        <f t="shared" si="75"/>
        <v>1371.7499999999998</v>
      </c>
      <c r="T186" s="89">
        <f t="shared" si="76"/>
        <v>1424.8499999999997</v>
      </c>
      <c r="U186" s="89">
        <f t="shared" si="50"/>
        <v>492.64999999999986</v>
      </c>
      <c r="V186" s="86">
        <v>346</v>
      </c>
      <c r="W186" s="87">
        <v>199</v>
      </c>
      <c r="X186" s="87">
        <v>20</v>
      </c>
      <c r="Y186" s="87">
        <v>372</v>
      </c>
      <c r="Z186" s="90">
        <v>440</v>
      </c>
      <c r="AA186" s="90">
        <v>390</v>
      </c>
      <c r="AB186" s="91">
        <f t="shared" si="51"/>
        <v>2.7973158703209638E-2</v>
      </c>
      <c r="AC186" s="91">
        <f t="shared" si="52"/>
        <v>1.6088608618319993E-2</v>
      </c>
      <c r="AD186" s="91">
        <f t="shared" si="53"/>
        <v>1.6169455897809039E-3</v>
      </c>
      <c r="AE186" s="91">
        <f t="shared" si="54"/>
        <v>3.007518796992481E-2</v>
      </c>
      <c r="AF186" s="91">
        <f t="shared" si="55"/>
        <v>3.5572802975179882E-2</v>
      </c>
      <c r="AG186" s="91">
        <f t="shared" si="56"/>
        <v>3.1530439000727627E-2</v>
      </c>
      <c r="AH186" s="92">
        <v>1256.2300000000009</v>
      </c>
      <c r="AI186" s="93">
        <v>566.66999999999882</v>
      </c>
      <c r="AJ186" s="93">
        <v>566.66999999999882</v>
      </c>
      <c r="AK186" s="93">
        <v>42.409999999999897</v>
      </c>
      <c r="AL186" s="94">
        <v>1265.8599999999999</v>
      </c>
      <c r="AM186" s="94">
        <v>1220.26999999999</v>
      </c>
      <c r="AN186" s="94" t="s">
        <v>779</v>
      </c>
      <c r="AO186" s="111">
        <v>0</v>
      </c>
      <c r="AP186" s="112">
        <v>0</v>
      </c>
      <c r="AQ186" s="112">
        <v>1704.19</v>
      </c>
      <c r="AR186" s="112">
        <v>4120.09</v>
      </c>
      <c r="AS186" s="113">
        <v>4278.51</v>
      </c>
      <c r="AT186" s="113">
        <v>1472.35</v>
      </c>
      <c r="AU186" s="111">
        <v>4886.7299999999996</v>
      </c>
      <c r="AV186" s="112">
        <v>2656.1699999999987</v>
      </c>
      <c r="AW186" s="112">
        <v>252.41000000000003</v>
      </c>
      <c r="AX186" s="112">
        <v>4859.2</v>
      </c>
      <c r="AY186" s="113">
        <v>5455.5299999999897</v>
      </c>
      <c r="AZ186" s="113">
        <v>4662.9399999999996</v>
      </c>
    </row>
    <row r="187" spans="1:52" x14ac:dyDescent="0.25">
      <c r="A187" s="101" t="s">
        <v>507</v>
      </c>
      <c r="B187" s="102" t="s">
        <v>508</v>
      </c>
      <c r="C187" s="102"/>
      <c r="D187" s="102" t="s">
        <v>1048</v>
      </c>
      <c r="E187" s="103">
        <v>2.9200000000000017</v>
      </c>
      <c r="F187" s="104">
        <v>2000</v>
      </c>
      <c r="G187" s="105">
        <f t="shared" si="48"/>
        <v>1000</v>
      </c>
      <c r="H187" s="105">
        <v>2331</v>
      </c>
      <c r="I187" s="106">
        <f t="shared" si="49"/>
        <v>0.42900042900042901</v>
      </c>
      <c r="J187" s="86">
        <v>503</v>
      </c>
      <c r="K187" s="87">
        <v>299</v>
      </c>
      <c r="L187" s="87">
        <v>100</v>
      </c>
      <c r="M187" s="87">
        <v>195</v>
      </c>
      <c r="N187" s="90"/>
      <c r="O187" s="90">
        <v>444</v>
      </c>
      <c r="P187" s="86">
        <f t="shared" si="72"/>
        <v>1468.7600000000009</v>
      </c>
      <c r="Q187" s="87">
        <f t="shared" si="73"/>
        <v>873.0800000000005</v>
      </c>
      <c r="R187" s="87">
        <f t="shared" si="74"/>
        <v>292.00000000000017</v>
      </c>
      <c r="S187" s="88">
        <f t="shared" si="75"/>
        <v>569.40000000000032</v>
      </c>
      <c r="T187" s="89">
        <f t="shared" si="76"/>
        <v>0</v>
      </c>
      <c r="U187" s="89">
        <f t="shared" si="50"/>
        <v>1296.4800000000007</v>
      </c>
      <c r="V187" s="86">
        <v>0</v>
      </c>
      <c r="W187" s="87">
        <v>134</v>
      </c>
      <c r="X187" s="87">
        <v>515</v>
      </c>
      <c r="Y187" s="87">
        <v>0</v>
      </c>
      <c r="Z187" s="90">
        <v>0</v>
      </c>
      <c r="AA187" s="90">
        <v>0</v>
      </c>
      <c r="AB187" s="91">
        <f t="shared" si="51"/>
        <v>0</v>
      </c>
      <c r="AC187" s="91">
        <f t="shared" si="52"/>
        <v>5.7486057486057486E-2</v>
      </c>
      <c r="AD187" s="91">
        <f t="shared" si="53"/>
        <v>0.22093522093522094</v>
      </c>
      <c r="AE187" s="91">
        <f t="shared" si="54"/>
        <v>0</v>
      </c>
      <c r="AF187" s="91">
        <f t="shared" si="55"/>
        <v>0</v>
      </c>
      <c r="AG187" s="91">
        <f t="shared" si="56"/>
        <v>0</v>
      </c>
      <c r="AH187" s="92">
        <v>0</v>
      </c>
      <c r="AI187" s="93">
        <v>562.92999999999893</v>
      </c>
      <c r="AJ187" s="93">
        <v>562.92999999999893</v>
      </c>
      <c r="AK187" s="93">
        <v>1926.189999999996</v>
      </c>
      <c r="AL187" s="94">
        <v>0</v>
      </c>
      <c r="AM187" s="94">
        <v>0</v>
      </c>
      <c r="AN187" s="94" t="s">
        <v>780</v>
      </c>
      <c r="AO187" s="111">
        <v>17544.64</v>
      </c>
      <c r="AP187" s="112">
        <v>11310.15</v>
      </c>
      <c r="AQ187" s="112">
        <v>3831</v>
      </c>
      <c r="AR187" s="112">
        <v>7333.95</v>
      </c>
      <c r="AS187" s="113">
        <v>0</v>
      </c>
      <c r="AT187" s="113">
        <v>16312.56</v>
      </c>
      <c r="AU187" s="111">
        <v>0</v>
      </c>
      <c r="AV187" s="112">
        <v>5344.05</v>
      </c>
      <c r="AW187" s="112">
        <v>20301.389999999948</v>
      </c>
      <c r="AX187" s="112">
        <v>0</v>
      </c>
      <c r="AY187" s="113">
        <v>0</v>
      </c>
      <c r="AZ187" s="113">
        <v>0</v>
      </c>
    </row>
    <row r="188" spans="1:52" x14ac:dyDescent="0.25">
      <c r="A188" s="101" t="s">
        <v>330</v>
      </c>
      <c r="B188" s="102" t="s">
        <v>331</v>
      </c>
      <c r="C188" s="102"/>
      <c r="D188" s="102" t="s">
        <v>1048</v>
      </c>
      <c r="E188" s="103">
        <v>2.91</v>
      </c>
      <c r="F188" s="104">
        <v>2500</v>
      </c>
      <c r="G188" s="105">
        <f t="shared" si="48"/>
        <v>1250</v>
      </c>
      <c r="H188" s="105">
        <v>5143</v>
      </c>
      <c r="I188" s="106">
        <f t="shared" si="49"/>
        <v>0.24304880419988334</v>
      </c>
      <c r="J188" s="86">
        <v>0</v>
      </c>
      <c r="K188" s="87">
        <v>1020</v>
      </c>
      <c r="L188" s="87">
        <v>0</v>
      </c>
      <c r="M188" s="87">
        <v>893</v>
      </c>
      <c r="N188" s="90"/>
      <c r="O188" s="90">
        <v>0</v>
      </c>
      <c r="P188" s="86">
        <f t="shared" si="72"/>
        <v>0</v>
      </c>
      <c r="Q188" s="87">
        <f t="shared" si="73"/>
        <v>2968.2000000000003</v>
      </c>
      <c r="R188" s="87">
        <f t="shared" si="74"/>
        <v>0</v>
      </c>
      <c r="S188" s="88">
        <f t="shared" si="75"/>
        <v>2598.63</v>
      </c>
      <c r="T188" s="89">
        <f t="shared" si="76"/>
        <v>0</v>
      </c>
      <c r="U188" s="89">
        <f t="shared" si="50"/>
        <v>0</v>
      </c>
      <c r="V188" s="86">
        <v>0</v>
      </c>
      <c r="W188" s="87">
        <v>0</v>
      </c>
      <c r="X188" s="87">
        <v>1</v>
      </c>
      <c r="Y188" s="87">
        <v>1</v>
      </c>
      <c r="Z188" s="90">
        <v>0</v>
      </c>
      <c r="AA188" s="90">
        <v>2</v>
      </c>
      <c r="AB188" s="91">
        <f t="shared" si="51"/>
        <v>0</v>
      </c>
      <c r="AC188" s="91">
        <f t="shared" si="52"/>
        <v>0</v>
      </c>
      <c r="AD188" s="91">
        <f t="shared" si="53"/>
        <v>1.9443904335990667E-4</v>
      </c>
      <c r="AE188" s="91">
        <f t="shared" si="54"/>
        <v>1.9443904335990667E-4</v>
      </c>
      <c r="AF188" s="91">
        <f t="shared" si="55"/>
        <v>0</v>
      </c>
      <c r="AG188" s="91">
        <f t="shared" si="56"/>
        <v>3.8887808671981335E-4</v>
      </c>
      <c r="AH188" s="92">
        <v>0</v>
      </c>
      <c r="AI188" s="93">
        <v>0</v>
      </c>
      <c r="AJ188" s="93">
        <v>2.91</v>
      </c>
      <c r="AK188" s="93">
        <v>8.16</v>
      </c>
      <c r="AL188" s="94">
        <v>7.55</v>
      </c>
      <c r="AM188" s="94">
        <v>5.42</v>
      </c>
      <c r="AN188" s="94" t="s">
        <v>779</v>
      </c>
      <c r="AO188" s="111">
        <v>0</v>
      </c>
      <c r="AP188" s="112">
        <v>8861.1</v>
      </c>
      <c r="AQ188" s="112">
        <v>0</v>
      </c>
      <c r="AR188" s="112">
        <v>12189.86</v>
      </c>
      <c r="AS188" s="113">
        <v>0</v>
      </c>
      <c r="AT188" s="113">
        <v>0</v>
      </c>
      <c r="AU188" s="111">
        <v>0</v>
      </c>
      <c r="AV188" s="112">
        <v>0</v>
      </c>
      <c r="AW188" s="112">
        <v>16.53</v>
      </c>
      <c r="AX188" s="112">
        <v>16.5</v>
      </c>
      <c r="AY188" s="113">
        <v>0</v>
      </c>
      <c r="AZ188" s="113">
        <v>32.6</v>
      </c>
    </row>
    <row r="189" spans="1:52" x14ac:dyDescent="0.25">
      <c r="A189" s="101" t="s">
        <v>933</v>
      </c>
      <c r="B189" s="102" t="s">
        <v>462</v>
      </c>
      <c r="C189" s="102"/>
      <c r="D189" s="102" t="s">
        <v>1048</v>
      </c>
      <c r="E189" s="103">
        <v>2.91</v>
      </c>
      <c r="F189" s="104">
        <v>500</v>
      </c>
      <c r="G189" s="105">
        <f t="shared" si="48"/>
        <v>250</v>
      </c>
      <c r="H189" s="105">
        <v>200</v>
      </c>
      <c r="I189" s="106">
        <f t="shared" si="49"/>
        <v>1.25</v>
      </c>
      <c r="J189" s="86">
        <v>118</v>
      </c>
      <c r="K189" s="87">
        <v>0</v>
      </c>
      <c r="L189" s="87">
        <v>0</v>
      </c>
      <c r="M189" s="87">
        <v>0</v>
      </c>
      <c r="N189" s="90"/>
      <c r="O189" s="90">
        <v>0</v>
      </c>
      <c r="P189" s="86">
        <f t="shared" si="72"/>
        <v>343.38</v>
      </c>
      <c r="Q189" s="87">
        <f t="shared" si="73"/>
        <v>0</v>
      </c>
      <c r="R189" s="87">
        <f t="shared" si="74"/>
        <v>0</v>
      </c>
      <c r="S189" s="88">
        <f t="shared" si="75"/>
        <v>0</v>
      </c>
      <c r="T189" s="89">
        <f t="shared" si="76"/>
        <v>0</v>
      </c>
      <c r="U189" s="89">
        <f t="shared" si="50"/>
        <v>0</v>
      </c>
      <c r="V189" s="86">
        <v>128</v>
      </c>
      <c r="W189" s="87">
        <v>102</v>
      </c>
      <c r="X189" s="87">
        <v>47</v>
      </c>
      <c r="Y189" s="87">
        <v>20</v>
      </c>
      <c r="Z189" s="90">
        <v>0</v>
      </c>
      <c r="AA189" s="90">
        <v>-3</v>
      </c>
      <c r="AB189" s="91">
        <f t="shared" si="51"/>
        <v>0.64</v>
      </c>
      <c r="AC189" s="91">
        <f t="shared" si="52"/>
        <v>0.51</v>
      </c>
      <c r="AD189" s="91">
        <f t="shared" si="53"/>
        <v>0.23499999999999999</v>
      </c>
      <c r="AE189" s="91">
        <f t="shared" si="54"/>
        <v>0.1</v>
      </c>
      <c r="AF189" s="91">
        <f t="shared" si="55"/>
        <v>0</v>
      </c>
      <c r="AG189" s="91">
        <f t="shared" si="56"/>
        <v>-1.4999999999999999E-2</v>
      </c>
      <c r="AH189" s="92">
        <v>81.099999999999994</v>
      </c>
      <c r="AI189" s="93">
        <v>66.69</v>
      </c>
      <c r="AJ189" s="93">
        <v>66.69</v>
      </c>
      <c r="AK189" s="93">
        <v>26.269999999999989</v>
      </c>
      <c r="AL189" s="94">
        <v>11.4</v>
      </c>
      <c r="AM189" s="94">
        <v>-0.33</v>
      </c>
      <c r="AN189" s="94" t="s">
        <v>780</v>
      </c>
      <c r="AO189" s="111">
        <v>3279.74</v>
      </c>
      <c r="AP189" s="112">
        <v>0</v>
      </c>
      <c r="AQ189" s="112">
        <v>0</v>
      </c>
      <c r="AR189" s="112">
        <v>0</v>
      </c>
      <c r="AS189" s="113">
        <v>0</v>
      </c>
      <c r="AT189" s="113">
        <v>0</v>
      </c>
      <c r="AU189" s="111">
        <v>0</v>
      </c>
      <c r="AV189" s="112">
        <v>0</v>
      </c>
      <c r="AW189" s="112">
        <v>0</v>
      </c>
      <c r="AX189" s="112">
        <v>0</v>
      </c>
      <c r="AY189" s="113">
        <v>0</v>
      </c>
      <c r="AZ189" s="113">
        <v>0</v>
      </c>
    </row>
    <row r="190" spans="1:52" x14ac:dyDescent="0.25">
      <c r="A190" s="101" t="s">
        <v>934</v>
      </c>
      <c r="B190" s="102" t="s">
        <v>177</v>
      </c>
      <c r="C190" s="102"/>
      <c r="D190" s="102" t="s">
        <v>1048</v>
      </c>
      <c r="E190" s="103">
        <v>2.8899999999999997</v>
      </c>
      <c r="F190" s="104">
        <v>5000</v>
      </c>
      <c r="G190" s="105">
        <f t="shared" si="48"/>
        <v>2500</v>
      </c>
      <c r="H190" s="105">
        <v>3204</v>
      </c>
      <c r="I190" s="106">
        <f t="shared" si="49"/>
        <v>0.78027465667915108</v>
      </c>
      <c r="J190" s="86">
        <v>1320</v>
      </c>
      <c r="K190" s="87">
        <v>0</v>
      </c>
      <c r="L190" s="87">
        <v>0</v>
      </c>
      <c r="M190" s="87">
        <v>0</v>
      </c>
      <c r="N190" s="90"/>
      <c r="O190" s="90">
        <v>0</v>
      </c>
      <c r="P190" s="86">
        <f t="shared" si="72"/>
        <v>3814.7999999999997</v>
      </c>
      <c r="Q190" s="87">
        <f t="shared" si="73"/>
        <v>0</v>
      </c>
      <c r="R190" s="87">
        <f t="shared" si="74"/>
        <v>0</v>
      </c>
      <c r="S190" s="88">
        <f t="shared" si="75"/>
        <v>0</v>
      </c>
      <c r="T190" s="89">
        <f t="shared" si="76"/>
        <v>0</v>
      </c>
      <c r="U190" s="89">
        <f t="shared" si="50"/>
        <v>0</v>
      </c>
      <c r="V190" s="86">
        <v>814</v>
      </c>
      <c r="W190" s="87">
        <v>2656</v>
      </c>
      <c r="X190" s="87">
        <v>7</v>
      </c>
      <c r="Y190" s="87">
        <v>1</v>
      </c>
      <c r="Z190" s="90">
        <v>0</v>
      </c>
      <c r="AA190" s="90">
        <v>0</v>
      </c>
      <c r="AB190" s="91">
        <f t="shared" si="51"/>
        <v>0.2540574282147316</v>
      </c>
      <c r="AC190" s="91">
        <f t="shared" si="52"/>
        <v>0.82896379525593011</v>
      </c>
      <c r="AD190" s="91">
        <f t="shared" si="53"/>
        <v>2.1847690387016231E-3</v>
      </c>
      <c r="AE190" s="91">
        <f t="shared" si="54"/>
        <v>3.1210986267166043E-4</v>
      </c>
      <c r="AF190" s="91">
        <f t="shared" si="55"/>
        <v>0</v>
      </c>
      <c r="AG190" s="91">
        <f t="shared" si="56"/>
        <v>0</v>
      </c>
      <c r="AH190" s="92">
        <v>1128.97</v>
      </c>
      <c r="AI190" s="93">
        <v>5917.7999999999856</v>
      </c>
      <c r="AJ190" s="93">
        <v>5917.7999999999856</v>
      </c>
      <c r="AK190" s="93">
        <v>20.190000000000001</v>
      </c>
      <c r="AL190" s="94">
        <v>2.89</v>
      </c>
      <c r="AM190" s="94">
        <v>0</v>
      </c>
      <c r="AN190" s="94" t="s">
        <v>779</v>
      </c>
      <c r="AO190" s="111">
        <v>8373</v>
      </c>
      <c r="AP190" s="112">
        <v>0</v>
      </c>
      <c r="AQ190" s="112">
        <v>0</v>
      </c>
      <c r="AR190" s="112">
        <v>0</v>
      </c>
      <c r="AS190" s="113">
        <v>0</v>
      </c>
      <c r="AT190" s="113">
        <v>0</v>
      </c>
      <c r="AU190" s="111">
        <v>0</v>
      </c>
      <c r="AV190" s="112">
        <v>0</v>
      </c>
      <c r="AW190" s="112">
        <v>0</v>
      </c>
      <c r="AX190" s="112">
        <v>0</v>
      </c>
      <c r="AY190" s="113">
        <v>0</v>
      </c>
      <c r="AZ190" s="113">
        <v>0</v>
      </c>
    </row>
    <row r="191" spans="1:52" x14ac:dyDescent="0.25">
      <c r="A191" s="101" t="s">
        <v>571</v>
      </c>
      <c r="B191" s="102" t="s">
        <v>572</v>
      </c>
      <c r="C191" s="102"/>
      <c r="D191" s="102" t="s">
        <v>1048</v>
      </c>
      <c r="E191" s="103">
        <v>2.8799999999999955</v>
      </c>
      <c r="F191" s="104">
        <v>15000</v>
      </c>
      <c r="G191" s="105">
        <f t="shared" si="48"/>
        <v>7500</v>
      </c>
      <c r="H191" s="105">
        <v>128574</v>
      </c>
      <c r="I191" s="106">
        <f t="shared" si="49"/>
        <v>5.8332166689999534E-2</v>
      </c>
      <c r="J191" s="86">
        <v>1449</v>
      </c>
      <c r="K191" s="87">
        <v>240</v>
      </c>
      <c r="L191" s="87">
        <v>320</v>
      </c>
      <c r="M191" s="87">
        <v>240</v>
      </c>
      <c r="N191" s="90">
        <v>360</v>
      </c>
      <c r="O191" s="90">
        <v>58</v>
      </c>
      <c r="P191" s="86">
        <f t="shared" si="72"/>
        <v>4173.1199999999935</v>
      </c>
      <c r="Q191" s="87">
        <f t="shared" si="73"/>
        <v>691.19999999999891</v>
      </c>
      <c r="R191" s="87">
        <f t="shared" si="74"/>
        <v>921.59999999999854</v>
      </c>
      <c r="S191" s="88">
        <f t="shared" si="75"/>
        <v>691.19999999999891</v>
      </c>
      <c r="T191" s="89">
        <f t="shared" si="76"/>
        <v>1036.7999999999984</v>
      </c>
      <c r="U191" s="89">
        <f t="shared" si="50"/>
        <v>167.03999999999974</v>
      </c>
      <c r="V191" s="86">
        <v>1087</v>
      </c>
      <c r="W191" s="87">
        <v>1559</v>
      </c>
      <c r="X191" s="87">
        <v>828</v>
      </c>
      <c r="Y191" s="87">
        <v>613</v>
      </c>
      <c r="Z191" s="90">
        <v>288</v>
      </c>
      <c r="AA191" s="90">
        <v>358</v>
      </c>
      <c r="AB191" s="91">
        <f t="shared" si="51"/>
        <v>8.454275358937266E-3</v>
      </c>
      <c r="AC191" s="91">
        <f t="shared" si="52"/>
        <v>1.2125313049294569E-2</v>
      </c>
      <c r="AD191" s="91">
        <f t="shared" si="53"/>
        <v>6.4398712025759489E-3</v>
      </c>
      <c r="AE191" s="91">
        <f t="shared" si="54"/>
        <v>4.7676824241292956E-3</v>
      </c>
      <c r="AF191" s="91">
        <f t="shared" si="55"/>
        <v>2.2399552008959822E-3</v>
      </c>
      <c r="AG191" s="91">
        <f t="shared" si="56"/>
        <v>2.784388756669311E-3</v>
      </c>
      <c r="AH191" s="92">
        <v>756.45</v>
      </c>
      <c r="AI191" s="93">
        <v>1092.8799999999969</v>
      </c>
      <c r="AJ191" s="93">
        <v>1092.8799999999969</v>
      </c>
      <c r="AK191" s="93">
        <v>408.59999999999985</v>
      </c>
      <c r="AL191" s="94">
        <v>234.92</v>
      </c>
      <c r="AM191" s="94">
        <v>288.25</v>
      </c>
      <c r="AN191" s="94" t="s">
        <v>780</v>
      </c>
      <c r="AO191" s="111">
        <v>66500.429999999993</v>
      </c>
      <c r="AP191" s="112">
        <v>11035.2</v>
      </c>
      <c r="AQ191" s="112">
        <v>14620.800000000001</v>
      </c>
      <c r="AR191" s="112">
        <v>10896</v>
      </c>
      <c r="AS191" s="113">
        <v>16430.400000000001</v>
      </c>
      <c r="AT191" s="113">
        <v>2645.38</v>
      </c>
      <c r="AU191" s="111">
        <v>50906.94</v>
      </c>
      <c r="AV191" s="112">
        <v>72932.44999999975</v>
      </c>
      <c r="AW191" s="112">
        <v>38603.179999999986</v>
      </c>
      <c r="AX191" s="112">
        <v>28557.279999999901</v>
      </c>
      <c r="AY191" s="113">
        <v>13387.2</v>
      </c>
      <c r="AZ191" s="113">
        <v>16617.809999999899</v>
      </c>
    </row>
    <row r="192" spans="1:52" x14ac:dyDescent="0.25">
      <c r="A192" s="101" t="s">
        <v>208</v>
      </c>
      <c r="B192" s="102" t="s">
        <v>209</v>
      </c>
      <c r="C192" s="102"/>
      <c r="D192" s="102" t="s">
        <v>1048</v>
      </c>
      <c r="E192" s="103">
        <v>2.8699999999999992</v>
      </c>
      <c r="F192" s="104">
        <v>6000</v>
      </c>
      <c r="G192" s="105">
        <f t="shared" si="48"/>
        <v>3000</v>
      </c>
      <c r="H192" s="105">
        <v>3206</v>
      </c>
      <c r="I192" s="106">
        <f t="shared" si="49"/>
        <v>0.93574547723019341</v>
      </c>
      <c r="J192" s="86">
        <v>0</v>
      </c>
      <c r="K192" s="87">
        <v>3463</v>
      </c>
      <c r="L192" s="87">
        <v>2164</v>
      </c>
      <c r="M192" s="87">
        <v>4212</v>
      </c>
      <c r="N192" s="90">
        <v>1567</v>
      </c>
      <c r="O192" s="90">
        <v>441</v>
      </c>
      <c r="P192" s="86">
        <f t="shared" si="72"/>
        <v>0</v>
      </c>
      <c r="Q192" s="87">
        <f t="shared" si="73"/>
        <v>9938.8099999999977</v>
      </c>
      <c r="R192" s="87">
        <f t="shared" si="74"/>
        <v>6210.6799999999985</v>
      </c>
      <c r="S192" s="88">
        <f t="shared" si="75"/>
        <v>12088.439999999997</v>
      </c>
      <c r="T192" s="89">
        <f t="shared" si="76"/>
        <v>4497.2899999999991</v>
      </c>
      <c r="U192" s="89">
        <f t="shared" si="50"/>
        <v>1265.6699999999996</v>
      </c>
      <c r="V192" s="86">
        <v>1567</v>
      </c>
      <c r="W192" s="87">
        <v>501</v>
      </c>
      <c r="X192" s="87">
        <v>2056</v>
      </c>
      <c r="Y192" s="87">
        <v>3408</v>
      </c>
      <c r="Z192" s="90">
        <v>2887</v>
      </c>
      <c r="AA192" s="90">
        <v>2601</v>
      </c>
      <c r="AB192" s="91">
        <f t="shared" si="51"/>
        <v>0.48877105427323769</v>
      </c>
      <c r="AC192" s="91">
        <f t="shared" si="52"/>
        <v>0.15626949469744231</v>
      </c>
      <c r="AD192" s="91">
        <f t="shared" si="53"/>
        <v>0.64129756706175922</v>
      </c>
      <c r="AE192" s="91">
        <f t="shared" si="54"/>
        <v>1.0630068621334996</v>
      </c>
      <c r="AF192" s="91">
        <f t="shared" si="55"/>
        <v>0.90049906425452275</v>
      </c>
      <c r="AG192" s="91">
        <f t="shared" si="56"/>
        <v>0.81129132875857768</v>
      </c>
      <c r="AH192" s="92">
        <v>4665.6099999999997</v>
      </c>
      <c r="AI192" s="93">
        <v>590.82999999999799</v>
      </c>
      <c r="AJ192" s="93">
        <v>590.82999999999799</v>
      </c>
      <c r="AK192" s="93">
        <v>7776.2699999999941</v>
      </c>
      <c r="AL192" s="94">
        <v>10706.58</v>
      </c>
      <c r="AM192" s="94">
        <v>7724.45999999998</v>
      </c>
      <c r="AN192" s="94" t="s">
        <v>779</v>
      </c>
      <c r="AO192" s="111">
        <v>0</v>
      </c>
      <c r="AP192" s="112">
        <v>26849.479999999996</v>
      </c>
      <c r="AQ192" s="112">
        <v>15606.619999999999</v>
      </c>
      <c r="AR192" s="112">
        <v>31010.990000000005</v>
      </c>
      <c r="AS192" s="113">
        <v>11059.14</v>
      </c>
      <c r="AT192" s="113">
        <v>3294.48</v>
      </c>
      <c r="AU192" s="111">
        <v>18842.930000000011</v>
      </c>
      <c r="AV192" s="112">
        <v>5810.9299999999894</v>
      </c>
      <c r="AW192" s="112">
        <v>24385.549999999956</v>
      </c>
      <c r="AX192" s="112">
        <v>35942.11</v>
      </c>
      <c r="AY192" s="113">
        <v>29300.0799999999</v>
      </c>
      <c r="AZ192" s="113">
        <v>26588.53</v>
      </c>
    </row>
    <row r="193" spans="1:52" x14ac:dyDescent="0.25">
      <c r="A193" s="101" t="s">
        <v>935</v>
      </c>
      <c r="B193" s="102" t="s">
        <v>167</v>
      </c>
      <c r="C193" s="102"/>
      <c r="D193" s="102" t="s">
        <v>1048</v>
      </c>
      <c r="E193" s="103">
        <v>2.8699999999999992</v>
      </c>
      <c r="F193" s="104">
        <v>500</v>
      </c>
      <c r="G193" s="105">
        <f t="shared" si="48"/>
        <v>250</v>
      </c>
      <c r="H193" s="105">
        <v>503</v>
      </c>
      <c r="I193" s="106">
        <f t="shared" si="49"/>
        <v>0.49701789264413521</v>
      </c>
      <c r="J193" s="86">
        <v>59</v>
      </c>
      <c r="K193" s="87">
        <v>198</v>
      </c>
      <c r="L193" s="87">
        <v>97</v>
      </c>
      <c r="M193" s="87">
        <v>273</v>
      </c>
      <c r="N193" s="90">
        <v>311</v>
      </c>
      <c r="O193" s="90">
        <v>246</v>
      </c>
      <c r="P193" s="86">
        <f t="shared" si="72"/>
        <v>169.32999999999996</v>
      </c>
      <c r="Q193" s="87">
        <f t="shared" si="73"/>
        <v>568.25999999999988</v>
      </c>
      <c r="R193" s="87">
        <f t="shared" si="74"/>
        <v>278.38999999999993</v>
      </c>
      <c r="S193" s="88">
        <f t="shared" si="75"/>
        <v>783.50999999999976</v>
      </c>
      <c r="T193" s="89">
        <f t="shared" si="76"/>
        <v>892.56999999999971</v>
      </c>
      <c r="U193" s="89">
        <f t="shared" si="50"/>
        <v>706.01999999999975</v>
      </c>
      <c r="V193" s="86">
        <v>257</v>
      </c>
      <c r="W193" s="87">
        <v>83</v>
      </c>
      <c r="X193" s="87">
        <v>196</v>
      </c>
      <c r="Y193" s="87">
        <v>95</v>
      </c>
      <c r="Z193" s="90">
        <v>49</v>
      </c>
      <c r="AA193" s="90">
        <v>214</v>
      </c>
      <c r="AB193" s="91">
        <f t="shared" si="51"/>
        <v>0.51093439363817095</v>
      </c>
      <c r="AC193" s="91">
        <f t="shared" si="52"/>
        <v>0.16500994035785288</v>
      </c>
      <c r="AD193" s="91">
        <f t="shared" si="53"/>
        <v>0.38966202783300197</v>
      </c>
      <c r="AE193" s="91">
        <f t="shared" si="54"/>
        <v>0.18886679920477137</v>
      </c>
      <c r="AF193" s="91">
        <f t="shared" si="55"/>
        <v>9.7415506958250492E-2</v>
      </c>
      <c r="AG193" s="91">
        <f t="shared" si="56"/>
        <v>0.42544731610337971</v>
      </c>
      <c r="AH193" s="92">
        <v>609.19999999999982</v>
      </c>
      <c r="AI193" s="93">
        <v>107.66999999999999</v>
      </c>
      <c r="AJ193" s="93">
        <v>107.66999999999999</v>
      </c>
      <c r="AK193" s="93">
        <v>764.49999999999773</v>
      </c>
      <c r="AL193" s="94">
        <v>401.39999999999901</v>
      </c>
      <c r="AM193" s="94">
        <v>643.52</v>
      </c>
      <c r="AN193" s="94" t="s">
        <v>779</v>
      </c>
      <c r="AO193" s="111">
        <v>358.13</v>
      </c>
      <c r="AP193" s="112">
        <v>1175.24</v>
      </c>
      <c r="AQ193" s="112">
        <v>575.21</v>
      </c>
      <c r="AR193" s="112">
        <v>1642.69</v>
      </c>
      <c r="AS193" s="113">
        <v>1872.1599999999999</v>
      </c>
      <c r="AT193" s="113">
        <v>1487.56</v>
      </c>
      <c r="AU193" s="111">
        <v>0</v>
      </c>
      <c r="AV193" s="112">
        <v>0</v>
      </c>
      <c r="AW193" s="112">
        <v>0</v>
      </c>
      <c r="AX193" s="112">
        <v>0</v>
      </c>
      <c r="AY193" s="113">
        <v>0</v>
      </c>
      <c r="AZ193" s="113">
        <v>0</v>
      </c>
    </row>
    <row r="194" spans="1:52" x14ac:dyDescent="0.25">
      <c r="A194" s="101" t="s">
        <v>119</v>
      </c>
      <c r="B194" s="102" t="s">
        <v>120</v>
      </c>
      <c r="C194" s="102"/>
      <c r="D194" s="102" t="s">
        <v>1048</v>
      </c>
      <c r="E194" s="103">
        <v>2.8200000000000003</v>
      </c>
      <c r="F194" s="104">
        <v>500</v>
      </c>
      <c r="G194" s="105">
        <f t="shared" ref="G194:G257" si="77">F194/2</f>
        <v>250</v>
      </c>
      <c r="H194" s="105">
        <v>562</v>
      </c>
      <c r="I194" s="106">
        <f t="shared" ref="I194:I257" si="78">+G194/H194</f>
        <v>0.44483985765124556</v>
      </c>
      <c r="J194" s="86">
        <v>0</v>
      </c>
      <c r="K194" s="87">
        <v>150</v>
      </c>
      <c r="L194" s="87">
        <v>200</v>
      </c>
      <c r="M194" s="87">
        <v>250</v>
      </c>
      <c r="N194" s="90"/>
      <c r="O194" s="90">
        <v>100</v>
      </c>
      <c r="P194" s="86">
        <f t="shared" si="72"/>
        <v>0</v>
      </c>
      <c r="Q194" s="87">
        <f t="shared" si="73"/>
        <v>423.00000000000006</v>
      </c>
      <c r="R194" s="87">
        <f t="shared" si="74"/>
        <v>564</v>
      </c>
      <c r="S194" s="88">
        <f t="shared" si="75"/>
        <v>705.00000000000011</v>
      </c>
      <c r="T194" s="89">
        <f t="shared" si="76"/>
        <v>0</v>
      </c>
      <c r="U194" s="89">
        <f t="shared" ref="U194:U257" si="79">+O194*E194</f>
        <v>282</v>
      </c>
      <c r="V194" s="86">
        <v>0</v>
      </c>
      <c r="W194" s="87">
        <v>0</v>
      </c>
      <c r="X194" s="87">
        <v>31</v>
      </c>
      <c r="Y194" s="87">
        <v>240</v>
      </c>
      <c r="Z194" s="90">
        <v>164</v>
      </c>
      <c r="AA194" s="90">
        <v>160</v>
      </c>
      <c r="AB194" s="91">
        <f t="shared" ref="AB194:AB257" si="80">+IFERROR(V194/H194,"")</f>
        <v>0</v>
      </c>
      <c r="AC194" s="91">
        <f t="shared" ref="AC194:AC257" si="81">+IFERROR(W194/H194,"")</f>
        <v>0</v>
      </c>
      <c r="AD194" s="91">
        <f t="shared" ref="AD194:AD257" si="82">+IFERROR(X194/H194,"")</f>
        <v>5.5160142348754451E-2</v>
      </c>
      <c r="AE194" s="91">
        <f t="shared" ref="AE194:AE257" si="83">+IFERROR(Y194/H194,"")</f>
        <v>0.42704626334519574</v>
      </c>
      <c r="AF194" s="91">
        <f t="shared" ref="AF194:AF257" si="84">+IFERROR(Z194/H194,"")</f>
        <v>0.29181494661921709</v>
      </c>
      <c r="AG194" s="91">
        <f t="shared" ref="AG194:AG257" si="85">+IFERROR(AA194/H194,"")</f>
        <v>0.28469750889679718</v>
      </c>
      <c r="AH194" s="92">
        <v>0</v>
      </c>
      <c r="AI194" s="93">
        <v>0</v>
      </c>
      <c r="AJ194" s="93">
        <v>87.420000000000016</v>
      </c>
      <c r="AK194" s="93">
        <v>211.42999999999978</v>
      </c>
      <c r="AL194" s="94">
        <v>1675.98</v>
      </c>
      <c r="AM194" s="94">
        <v>357.20999999999901</v>
      </c>
      <c r="AN194" s="94" t="s">
        <v>779</v>
      </c>
      <c r="AO194" s="111">
        <v>0</v>
      </c>
      <c r="AP194" s="112">
        <v>711</v>
      </c>
      <c r="AQ194" s="112">
        <v>997</v>
      </c>
      <c r="AR194" s="112">
        <v>1172.5</v>
      </c>
      <c r="AS194" s="113">
        <v>0</v>
      </c>
      <c r="AT194" s="113">
        <v>471</v>
      </c>
      <c r="AU194" s="111">
        <v>0</v>
      </c>
      <c r="AV194" s="112">
        <v>0</v>
      </c>
      <c r="AW194" s="112">
        <v>362.4</v>
      </c>
      <c r="AX194" s="112">
        <v>2844.78</v>
      </c>
      <c r="AY194" s="113">
        <v>1351.5599999999899</v>
      </c>
      <c r="AZ194" s="113">
        <v>1110.48999999999</v>
      </c>
    </row>
    <row r="195" spans="1:52" x14ac:dyDescent="0.25">
      <c r="A195" s="101" t="s">
        <v>448</v>
      </c>
      <c r="B195" s="102" t="s">
        <v>449</v>
      </c>
      <c r="C195" s="102"/>
      <c r="D195" s="102" t="s">
        <v>1048</v>
      </c>
      <c r="E195" s="103">
        <v>2.8100000000000023</v>
      </c>
      <c r="F195" s="104">
        <v>3000</v>
      </c>
      <c r="G195" s="105">
        <f t="shared" si="77"/>
        <v>1500</v>
      </c>
      <c r="H195" s="105">
        <v>8376</v>
      </c>
      <c r="I195" s="106">
        <f t="shared" si="78"/>
        <v>0.17908309455587393</v>
      </c>
      <c r="J195" s="86">
        <v>50</v>
      </c>
      <c r="K195" s="87">
        <v>0</v>
      </c>
      <c r="L195" s="87">
        <v>471</v>
      </c>
      <c r="M195" s="87">
        <v>608</v>
      </c>
      <c r="N195" s="90">
        <v>3015</v>
      </c>
      <c r="O195" s="90">
        <v>1850</v>
      </c>
      <c r="P195" s="86">
        <f t="shared" si="72"/>
        <v>140.50000000000011</v>
      </c>
      <c r="Q195" s="87">
        <f t="shared" si="73"/>
        <v>0</v>
      </c>
      <c r="R195" s="87">
        <f t="shared" si="74"/>
        <v>1323.5100000000011</v>
      </c>
      <c r="S195" s="88">
        <f t="shared" si="75"/>
        <v>1708.4800000000014</v>
      </c>
      <c r="T195" s="89">
        <f t="shared" si="76"/>
        <v>8472.1500000000069</v>
      </c>
      <c r="U195" s="89">
        <f t="shared" si="79"/>
        <v>5198.5000000000045</v>
      </c>
      <c r="V195" s="86">
        <v>0</v>
      </c>
      <c r="W195" s="87">
        <v>0</v>
      </c>
      <c r="X195" s="87">
        <v>840</v>
      </c>
      <c r="Y195" s="87">
        <v>399</v>
      </c>
      <c r="Z195" s="90">
        <v>595</v>
      </c>
      <c r="AA195" s="90">
        <v>2553</v>
      </c>
      <c r="AB195" s="91">
        <f t="shared" si="80"/>
        <v>0</v>
      </c>
      <c r="AC195" s="91">
        <f t="shared" si="81"/>
        <v>0</v>
      </c>
      <c r="AD195" s="91">
        <f t="shared" si="82"/>
        <v>0.10028653295128939</v>
      </c>
      <c r="AE195" s="91">
        <f t="shared" si="83"/>
        <v>4.7636103151862466E-2</v>
      </c>
      <c r="AF195" s="91">
        <f t="shared" si="84"/>
        <v>7.1036294173829992E-2</v>
      </c>
      <c r="AG195" s="91">
        <f t="shared" si="85"/>
        <v>0.30479942693409739</v>
      </c>
      <c r="AH195" s="92">
        <v>0</v>
      </c>
      <c r="AI195" s="93">
        <v>0</v>
      </c>
      <c r="AJ195" s="93">
        <v>2360.4000000000019</v>
      </c>
      <c r="AK195" s="93">
        <v>4039.2700000000013</v>
      </c>
      <c r="AL195" s="94">
        <v>655.86999999999705</v>
      </c>
      <c r="AM195" s="94">
        <v>4618.20999999995</v>
      </c>
      <c r="AN195" s="94" t="s">
        <v>780</v>
      </c>
      <c r="AO195" s="111">
        <v>1321</v>
      </c>
      <c r="AP195" s="112">
        <v>0</v>
      </c>
      <c r="AQ195" s="112">
        <v>12363.19</v>
      </c>
      <c r="AR195" s="112">
        <v>15759.9</v>
      </c>
      <c r="AS195" s="113">
        <v>78277.850000000006</v>
      </c>
      <c r="AT195" s="113">
        <v>47055.5</v>
      </c>
      <c r="AU195" s="111">
        <v>0</v>
      </c>
      <c r="AV195" s="112">
        <v>0</v>
      </c>
      <c r="AW195" s="112">
        <v>23383.989999999976</v>
      </c>
      <c r="AX195" s="112">
        <v>11193.459999999901</v>
      </c>
      <c r="AY195" s="113">
        <v>16540.63</v>
      </c>
      <c r="AZ195" s="113">
        <v>71172.560000001002</v>
      </c>
    </row>
    <row r="196" spans="1:52" x14ac:dyDescent="0.25">
      <c r="A196" s="101" t="s">
        <v>826</v>
      </c>
      <c r="B196" s="102" t="s">
        <v>869</v>
      </c>
      <c r="C196" s="102"/>
      <c r="D196" s="102" t="s">
        <v>1048</v>
      </c>
      <c r="E196" s="103">
        <v>2.8083845029239782</v>
      </c>
      <c r="F196" s="104">
        <v>15000</v>
      </c>
      <c r="G196" s="105">
        <f t="shared" si="77"/>
        <v>7500</v>
      </c>
      <c r="H196" s="105">
        <v>27594</v>
      </c>
      <c r="I196" s="106">
        <f t="shared" si="78"/>
        <v>0.27179821700369644</v>
      </c>
      <c r="J196" s="86">
        <v>0</v>
      </c>
      <c r="K196" s="86">
        <v>0</v>
      </c>
      <c r="L196" s="86">
        <v>0</v>
      </c>
      <c r="M196" s="86">
        <v>0</v>
      </c>
      <c r="N196" s="86">
        <v>0</v>
      </c>
      <c r="O196" s="90">
        <v>3605</v>
      </c>
      <c r="P196" s="86"/>
      <c r="Q196" s="87"/>
      <c r="R196" s="87"/>
      <c r="S196" s="88"/>
      <c r="T196" s="89"/>
      <c r="U196" s="89">
        <f t="shared" si="79"/>
        <v>10124.226133040942</v>
      </c>
      <c r="V196" s="86"/>
      <c r="W196" s="87"/>
      <c r="X196" s="87"/>
      <c r="Y196" s="87"/>
      <c r="Z196" s="90"/>
      <c r="AA196" s="90"/>
      <c r="AB196" s="91">
        <f t="shared" si="80"/>
        <v>0</v>
      </c>
      <c r="AC196" s="91">
        <f t="shared" si="81"/>
        <v>0</v>
      </c>
      <c r="AD196" s="91">
        <f t="shared" si="82"/>
        <v>0</v>
      </c>
      <c r="AE196" s="91">
        <f t="shared" si="83"/>
        <v>0</v>
      </c>
      <c r="AF196" s="91">
        <f t="shared" si="84"/>
        <v>0</v>
      </c>
      <c r="AG196" s="91">
        <f t="shared" si="85"/>
        <v>0</v>
      </c>
      <c r="AH196" s="92"/>
      <c r="AI196" s="93"/>
      <c r="AJ196" s="93"/>
      <c r="AK196" s="93"/>
      <c r="AL196" s="94"/>
      <c r="AM196" s="94"/>
      <c r="AN196" s="94" t="s">
        <v>780</v>
      </c>
      <c r="AO196" s="111">
        <v>108032.83000000002</v>
      </c>
      <c r="AP196" s="112">
        <v>71837.650000000009</v>
      </c>
      <c r="AQ196" s="112">
        <v>238347.43000000005</v>
      </c>
      <c r="AR196" s="112">
        <v>110550.78000000001</v>
      </c>
      <c r="AS196" s="113">
        <v>116674.86999999997</v>
      </c>
      <c r="AT196" s="113">
        <v>114528.86999999998</v>
      </c>
      <c r="AU196" s="111">
        <v>179196.30000000101</v>
      </c>
      <c r="AV196" s="112">
        <v>141999.06999999972</v>
      </c>
      <c r="AW196" s="112">
        <v>104241.98999999993</v>
      </c>
      <c r="AX196" s="112">
        <v>210567.05</v>
      </c>
      <c r="AY196" s="113">
        <v>150843.74</v>
      </c>
      <c r="AZ196" s="113">
        <v>125804.979999997</v>
      </c>
    </row>
    <row r="197" spans="1:52" x14ac:dyDescent="0.25">
      <c r="A197" s="101" t="s">
        <v>124</v>
      </c>
      <c r="B197" s="102" t="s">
        <v>125</v>
      </c>
      <c r="C197" s="102"/>
      <c r="D197" s="102" t="s">
        <v>1048</v>
      </c>
      <c r="E197" s="103">
        <v>2.8</v>
      </c>
      <c r="F197" s="104">
        <v>6000</v>
      </c>
      <c r="G197" s="105">
        <f t="shared" si="77"/>
        <v>3000</v>
      </c>
      <c r="H197" s="105">
        <v>17740</v>
      </c>
      <c r="I197" s="106">
        <f t="shared" si="78"/>
        <v>0.16910935738444194</v>
      </c>
      <c r="J197" s="86">
        <v>485</v>
      </c>
      <c r="K197" s="87">
        <v>1690</v>
      </c>
      <c r="L197" s="87">
        <v>2138</v>
      </c>
      <c r="M197" s="87">
        <v>301</v>
      </c>
      <c r="N197" s="90">
        <v>840</v>
      </c>
      <c r="O197" s="90">
        <v>1270</v>
      </c>
      <c r="P197" s="86">
        <f t="shared" ref="P197:P203" si="86">+J197*E197</f>
        <v>1358</v>
      </c>
      <c r="Q197" s="87">
        <f t="shared" ref="Q197:Q203" si="87">+K197*E197</f>
        <v>4732</v>
      </c>
      <c r="R197" s="87">
        <f t="shared" ref="R197:R203" si="88">+L197*E197</f>
        <v>5986.4</v>
      </c>
      <c r="S197" s="88">
        <f t="shared" ref="S197:S203" si="89">+M197*E197</f>
        <v>842.8</v>
      </c>
      <c r="T197" s="89">
        <f t="shared" ref="T197:T203" si="90">+N197*E197</f>
        <v>2352</v>
      </c>
      <c r="U197" s="89">
        <f t="shared" si="79"/>
        <v>3556</v>
      </c>
      <c r="V197" s="86">
        <v>236</v>
      </c>
      <c r="W197" s="87">
        <v>488</v>
      </c>
      <c r="X197" s="87">
        <v>1463</v>
      </c>
      <c r="Y197" s="87">
        <v>2030</v>
      </c>
      <c r="Z197" s="90">
        <v>2753</v>
      </c>
      <c r="AA197" s="90">
        <v>1738</v>
      </c>
      <c r="AB197" s="91">
        <f t="shared" si="80"/>
        <v>1.3303269447576099E-2</v>
      </c>
      <c r="AC197" s="91">
        <f t="shared" si="81"/>
        <v>2.7508455467869224E-2</v>
      </c>
      <c r="AD197" s="91">
        <f t="shared" si="82"/>
        <v>8.2468996617812859E-2</v>
      </c>
      <c r="AE197" s="91">
        <f t="shared" si="83"/>
        <v>0.11443066516347238</v>
      </c>
      <c r="AF197" s="91">
        <f t="shared" si="84"/>
        <v>0.15518602029312289</v>
      </c>
      <c r="AG197" s="91">
        <f t="shared" si="85"/>
        <v>9.79706877113867E-2</v>
      </c>
      <c r="AH197" s="92">
        <v>716.29999999999961</v>
      </c>
      <c r="AI197" s="93">
        <v>1574.6799999999957</v>
      </c>
      <c r="AJ197" s="93">
        <v>1574.6799999999957</v>
      </c>
      <c r="AK197" s="93">
        <v>2584.1599999999926</v>
      </c>
      <c r="AL197" s="94">
        <v>4370.74999999995</v>
      </c>
      <c r="AM197" s="94">
        <v>3898.4299999999698</v>
      </c>
      <c r="AN197" s="94" t="s">
        <v>779</v>
      </c>
      <c r="AO197" s="111">
        <v>2303.5500000000002</v>
      </c>
      <c r="AP197" s="112">
        <v>8521.85</v>
      </c>
      <c r="AQ197" s="112">
        <v>10403.36</v>
      </c>
      <c r="AR197" s="112">
        <v>1476.3200000000002</v>
      </c>
      <c r="AS197" s="113">
        <v>4053.6</v>
      </c>
      <c r="AT197" s="113">
        <v>6054.6</v>
      </c>
      <c r="AU197" s="111">
        <v>1795.04</v>
      </c>
      <c r="AV197" s="112">
        <v>3921.9599999999991</v>
      </c>
      <c r="AW197" s="112">
        <v>9653.8299999999817</v>
      </c>
      <c r="AX197" s="112">
        <v>14250.639999999899</v>
      </c>
      <c r="AY197" s="113">
        <v>20014.1800000002</v>
      </c>
      <c r="AZ197" s="113">
        <v>12264.869999999901</v>
      </c>
    </row>
    <row r="198" spans="1:52" x14ac:dyDescent="0.25">
      <c r="A198" s="101" t="s">
        <v>411</v>
      </c>
      <c r="B198" s="102" t="s">
        <v>412</v>
      </c>
      <c r="C198" s="102"/>
      <c r="D198" s="102" t="s">
        <v>1048</v>
      </c>
      <c r="E198" s="103">
        <v>2.7899999999999991</v>
      </c>
      <c r="F198" s="104">
        <v>2000</v>
      </c>
      <c r="G198" s="105">
        <f t="shared" si="77"/>
        <v>1000</v>
      </c>
      <c r="H198" s="105">
        <v>4018</v>
      </c>
      <c r="I198" s="106">
        <f t="shared" si="78"/>
        <v>0.24888003982080636</v>
      </c>
      <c r="J198" s="86">
        <v>1775</v>
      </c>
      <c r="K198" s="87">
        <v>0</v>
      </c>
      <c r="L198" s="87">
        <v>0</v>
      </c>
      <c r="M198" s="87">
        <v>0</v>
      </c>
      <c r="N198" s="90"/>
      <c r="O198" s="90">
        <v>0</v>
      </c>
      <c r="P198" s="86">
        <f t="shared" si="86"/>
        <v>4952.2499999999982</v>
      </c>
      <c r="Q198" s="87">
        <f t="shared" si="87"/>
        <v>0</v>
      </c>
      <c r="R198" s="87">
        <f t="shared" si="88"/>
        <v>0</v>
      </c>
      <c r="S198" s="88">
        <f t="shared" si="89"/>
        <v>0</v>
      </c>
      <c r="T198" s="89">
        <f t="shared" si="90"/>
        <v>0</v>
      </c>
      <c r="U198" s="89">
        <f t="shared" si="79"/>
        <v>0</v>
      </c>
      <c r="V198" s="86">
        <v>769</v>
      </c>
      <c r="W198" s="87">
        <v>652</v>
      </c>
      <c r="X198" s="87">
        <v>1553</v>
      </c>
      <c r="Y198" s="87">
        <v>469</v>
      </c>
      <c r="Z198" s="90">
        <v>578</v>
      </c>
      <c r="AA198" s="90">
        <v>155</v>
      </c>
      <c r="AB198" s="91">
        <f t="shared" si="80"/>
        <v>0.19138875062220009</v>
      </c>
      <c r="AC198" s="91">
        <f t="shared" si="81"/>
        <v>0.16226978596316574</v>
      </c>
      <c r="AD198" s="91">
        <f t="shared" si="82"/>
        <v>0.38651070184171227</v>
      </c>
      <c r="AE198" s="91">
        <f t="shared" si="83"/>
        <v>0.11672473867595819</v>
      </c>
      <c r="AF198" s="91">
        <f t="shared" si="84"/>
        <v>0.14385266301642607</v>
      </c>
      <c r="AG198" s="91">
        <f t="shared" si="85"/>
        <v>3.8576406172224985E-2</v>
      </c>
      <c r="AH198" s="92">
        <v>592.50000000000034</v>
      </c>
      <c r="AI198" s="93">
        <v>893.9699999999998</v>
      </c>
      <c r="AJ198" s="93">
        <v>893.96999999999991</v>
      </c>
      <c r="AK198" s="93">
        <v>2199.8599999999938</v>
      </c>
      <c r="AL198" s="94">
        <v>776.9</v>
      </c>
      <c r="AM198" s="94">
        <v>371.8</v>
      </c>
      <c r="AN198" s="94" t="s">
        <v>779</v>
      </c>
      <c r="AO198" s="111">
        <v>530.25</v>
      </c>
      <c r="AP198" s="112">
        <v>0</v>
      </c>
      <c r="AQ198" s="112">
        <v>0</v>
      </c>
      <c r="AR198" s="112">
        <v>0</v>
      </c>
      <c r="AS198" s="113">
        <v>0</v>
      </c>
      <c r="AT198" s="113">
        <v>0</v>
      </c>
      <c r="AU198" s="111">
        <v>17126.260000000009</v>
      </c>
      <c r="AV198" s="112">
        <v>14980.989999999989</v>
      </c>
      <c r="AW198" s="112">
        <v>35749.75999999998</v>
      </c>
      <c r="AX198" s="112">
        <v>10810.4999999999</v>
      </c>
      <c r="AY198" s="113">
        <v>13304.1899999999</v>
      </c>
      <c r="AZ198" s="113">
        <v>3536.37</v>
      </c>
    </row>
    <row r="199" spans="1:52" x14ac:dyDescent="0.25">
      <c r="A199" s="101" t="s">
        <v>936</v>
      </c>
      <c r="B199" s="102" t="s">
        <v>404</v>
      </c>
      <c r="C199" s="102"/>
      <c r="D199" s="102" t="s">
        <v>1048</v>
      </c>
      <c r="E199" s="103">
        <v>2.7800000000000011</v>
      </c>
      <c r="F199" s="104">
        <v>500</v>
      </c>
      <c r="G199" s="105">
        <f t="shared" si="77"/>
        <v>250</v>
      </c>
      <c r="H199" s="105">
        <v>614</v>
      </c>
      <c r="I199" s="106">
        <f t="shared" si="78"/>
        <v>0.40716612377850164</v>
      </c>
      <c r="J199" s="86">
        <v>0</v>
      </c>
      <c r="K199" s="87">
        <v>0</v>
      </c>
      <c r="L199" s="87">
        <v>0</v>
      </c>
      <c r="M199" s="87">
        <v>0</v>
      </c>
      <c r="N199" s="90">
        <v>27</v>
      </c>
      <c r="O199" s="90">
        <v>0</v>
      </c>
      <c r="P199" s="86">
        <f t="shared" si="86"/>
        <v>0</v>
      </c>
      <c r="Q199" s="87">
        <f t="shared" si="87"/>
        <v>0</v>
      </c>
      <c r="R199" s="87">
        <f t="shared" si="88"/>
        <v>0</v>
      </c>
      <c r="S199" s="88">
        <f t="shared" si="89"/>
        <v>0</v>
      </c>
      <c r="T199" s="89">
        <f t="shared" si="90"/>
        <v>75.060000000000031</v>
      </c>
      <c r="U199" s="89">
        <f t="shared" si="79"/>
        <v>0</v>
      </c>
      <c r="V199" s="86">
        <v>35</v>
      </c>
      <c r="W199" s="87">
        <v>2</v>
      </c>
      <c r="X199" s="87">
        <v>17</v>
      </c>
      <c r="Y199" s="87">
        <v>0</v>
      </c>
      <c r="Z199" s="90">
        <v>0</v>
      </c>
      <c r="AA199" s="90">
        <v>8</v>
      </c>
      <c r="AB199" s="91">
        <f t="shared" si="80"/>
        <v>5.7003257328990226E-2</v>
      </c>
      <c r="AC199" s="91">
        <f t="shared" si="81"/>
        <v>3.2573289902280132E-3</v>
      </c>
      <c r="AD199" s="91">
        <f t="shared" si="82"/>
        <v>2.7687296416938109E-2</v>
      </c>
      <c r="AE199" s="91">
        <f t="shared" si="83"/>
        <v>0</v>
      </c>
      <c r="AF199" s="91">
        <f t="shared" si="84"/>
        <v>0</v>
      </c>
      <c r="AG199" s="91">
        <f t="shared" si="85"/>
        <v>1.3029315960912053E-2</v>
      </c>
      <c r="AH199" s="92">
        <v>203.95</v>
      </c>
      <c r="AI199" s="93">
        <v>6.28</v>
      </c>
      <c r="AJ199" s="93">
        <v>6.28</v>
      </c>
      <c r="AK199" s="93">
        <v>48.67</v>
      </c>
      <c r="AL199" s="94">
        <v>5.7099999999999902</v>
      </c>
      <c r="AM199" s="94">
        <v>35.64</v>
      </c>
      <c r="AN199" s="94" t="s">
        <v>779</v>
      </c>
      <c r="AO199" s="111">
        <v>0</v>
      </c>
      <c r="AP199" s="112">
        <v>0</v>
      </c>
      <c r="AQ199" s="112">
        <v>0</v>
      </c>
      <c r="AR199" s="112">
        <v>0</v>
      </c>
      <c r="AS199" s="113">
        <v>525.69000000000005</v>
      </c>
      <c r="AT199" s="113">
        <v>0</v>
      </c>
      <c r="AU199" s="111">
        <v>0</v>
      </c>
      <c r="AV199" s="112">
        <v>0</v>
      </c>
      <c r="AW199" s="112">
        <v>0</v>
      </c>
      <c r="AX199" s="112">
        <v>0</v>
      </c>
      <c r="AY199" s="113">
        <v>0</v>
      </c>
      <c r="AZ199" s="113">
        <v>0</v>
      </c>
    </row>
    <row r="200" spans="1:52" x14ac:dyDescent="0.25">
      <c r="A200" s="101" t="s">
        <v>937</v>
      </c>
      <c r="B200" s="102" t="s">
        <v>156</v>
      </c>
      <c r="C200" s="102"/>
      <c r="D200" s="102" t="s">
        <v>1048</v>
      </c>
      <c r="E200" s="103">
        <v>2.7799999999999994</v>
      </c>
      <c r="F200" s="104">
        <v>500</v>
      </c>
      <c r="G200" s="105">
        <f t="shared" si="77"/>
        <v>250</v>
      </c>
      <c r="H200" s="105">
        <v>374</v>
      </c>
      <c r="I200" s="106">
        <f t="shared" si="78"/>
        <v>0.66844919786096257</v>
      </c>
      <c r="J200" s="86">
        <v>300</v>
      </c>
      <c r="K200" s="87">
        <v>354.66666666666669</v>
      </c>
      <c r="L200" s="87">
        <v>0</v>
      </c>
      <c r="M200" s="87">
        <v>0</v>
      </c>
      <c r="N200" s="90"/>
      <c r="O200" s="90">
        <v>0</v>
      </c>
      <c r="P200" s="86">
        <f t="shared" si="86"/>
        <v>833.99999999999977</v>
      </c>
      <c r="Q200" s="87">
        <f t="shared" si="87"/>
        <v>985.97333333333313</v>
      </c>
      <c r="R200" s="87">
        <f t="shared" si="88"/>
        <v>0</v>
      </c>
      <c r="S200" s="88">
        <f t="shared" si="89"/>
        <v>0</v>
      </c>
      <c r="T200" s="89">
        <f t="shared" si="90"/>
        <v>0</v>
      </c>
      <c r="U200" s="89">
        <f t="shared" si="79"/>
        <v>0</v>
      </c>
      <c r="V200" s="86">
        <v>99</v>
      </c>
      <c r="W200" s="87">
        <v>0</v>
      </c>
      <c r="X200" s="87">
        <v>0</v>
      </c>
      <c r="Y200" s="87">
        <v>49</v>
      </c>
      <c r="Z200" s="90">
        <v>150</v>
      </c>
      <c r="AA200" s="90">
        <v>339</v>
      </c>
      <c r="AB200" s="91">
        <f t="shared" si="80"/>
        <v>0.26470588235294118</v>
      </c>
      <c r="AC200" s="91">
        <f t="shared" si="81"/>
        <v>0</v>
      </c>
      <c r="AD200" s="91">
        <f t="shared" si="82"/>
        <v>0</v>
      </c>
      <c r="AE200" s="91">
        <f t="shared" si="83"/>
        <v>0.13101604278074866</v>
      </c>
      <c r="AF200" s="91">
        <f t="shared" si="84"/>
        <v>0.40106951871657753</v>
      </c>
      <c r="AG200" s="91">
        <f t="shared" si="85"/>
        <v>0.9064171122994652</v>
      </c>
      <c r="AH200" s="92">
        <v>85.72999999999999</v>
      </c>
      <c r="AI200" s="93">
        <v>0</v>
      </c>
      <c r="AJ200" s="93">
        <v>0</v>
      </c>
      <c r="AK200" s="93">
        <v>136.21999999999997</v>
      </c>
      <c r="AL200" s="94">
        <v>64.38</v>
      </c>
      <c r="AM200" s="94">
        <v>704.79999999999905</v>
      </c>
      <c r="AN200" s="94" t="s">
        <v>779</v>
      </c>
      <c r="AO200" s="111">
        <v>2133</v>
      </c>
      <c r="AP200" s="112">
        <v>2500.4</v>
      </c>
      <c r="AQ200" s="112">
        <v>0</v>
      </c>
      <c r="AR200" s="112">
        <v>0</v>
      </c>
      <c r="AS200" s="113">
        <v>0</v>
      </c>
      <c r="AT200" s="113">
        <v>0</v>
      </c>
      <c r="AU200" s="111">
        <v>0</v>
      </c>
      <c r="AV200" s="112">
        <v>0</v>
      </c>
      <c r="AW200" s="112">
        <v>0</v>
      </c>
      <c r="AX200" s="112">
        <v>0</v>
      </c>
      <c r="AY200" s="113">
        <v>0</v>
      </c>
      <c r="AZ200" s="113">
        <v>0</v>
      </c>
    </row>
    <row r="201" spans="1:52" x14ac:dyDescent="0.25">
      <c r="A201" s="101" t="s">
        <v>938</v>
      </c>
      <c r="B201" s="102" t="s">
        <v>306</v>
      </c>
      <c r="C201" s="102"/>
      <c r="D201" s="102" t="s">
        <v>1049</v>
      </c>
      <c r="E201" s="103">
        <v>2.7699999999999996</v>
      </c>
      <c r="F201" s="104">
        <v>2000</v>
      </c>
      <c r="G201" s="105">
        <f t="shared" si="77"/>
        <v>1000</v>
      </c>
      <c r="H201" s="105">
        <v>21</v>
      </c>
      <c r="I201" s="106">
        <f t="shared" si="78"/>
        <v>47.61904761904762</v>
      </c>
      <c r="J201" s="86">
        <v>1105</v>
      </c>
      <c r="K201" s="87">
        <v>723</v>
      </c>
      <c r="L201" s="87">
        <v>2157</v>
      </c>
      <c r="M201" s="87">
        <v>1596</v>
      </c>
      <c r="N201" s="90">
        <v>416</v>
      </c>
      <c r="O201" s="90">
        <v>1506</v>
      </c>
      <c r="P201" s="86">
        <f t="shared" si="86"/>
        <v>3060.8499999999995</v>
      </c>
      <c r="Q201" s="87">
        <f t="shared" si="87"/>
        <v>2002.7099999999996</v>
      </c>
      <c r="R201" s="87">
        <f t="shared" si="88"/>
        <v>5974.8899999999994</v>
      </c>
      <c r="S201" s="88">
        <f t="shared" si="89"/>
        <v>4420.9199999999992</v>
      </c>
      <c r="T201" s="89">
        <f t="shared" si="90"/>
        <v>1152.3199999999997</v>
      </c>
      <c r="U201" s="89">
        <f t="shared" si="79"/>
        <v>4171.619999999999</v>
      </c>
      <c r="V201" s="86">
        <v>668</v>
      </c>
      <c r="W201" s="87">
        <v>404</v>
      </c>
      <c r="X201" s="87">
        <v>635</v>
      </c>
      <c r="Y201" s="87">
        <v>1912</v>
      </c>
      <c r="Z201" s="90">
        <v>1843</v>
      </c>
      <c r="AA201" s="90">
        <v>1202</v>
      </c>
      <c r="AB201" s="91">
        <f t="shared" si="80"/>
        <v>31.80952380952381</v>
      </c>
      <c r="AC201" s="91">
        <f t="shared" si="81"/>
        <v>19.238095238095237</v>
      </c>
      <c r="AD201" s="91">
        <f t="shared" si="82"/>
        <v>30.238095238095237</v>
      </c>
      <c r="AE201" s="91">
        <f t="shared" si="83"/>
        <v>91.047619047619051</v>
      </c>
      <c r="AF201" s="91">
        <f t="shared" si="84"/>
        <v>87.761904761904759</v>
      </c>
      <c r="AG201" s="91">
        <f t="shared" si="85"/>
        <v>57.238095238095241</v>
      </c>
      <c r="AH201" s="92">
        <v>476.49</v>
      </c>
      <c r="AI201" s="93">
        <v>351.24999999999955</v>
      </c>
      <c r="AJ201" s="93">
        <v>351.2499999999996</v>
      </c>
      <c r="AK201" s="93">
        <v>564.18999999999971</v>
      </c>
      <c r="AL201" s="94">
        <v>1390.22999999999</v>
      </c>
      <c r="AM201" s="94">
        <v>2145.24999999999</v>
      </c>
      <c r="AN201" s="94" t="s">
        <v>779</v>
      </c>
      <c r="AO201" s="111">
        <v>14061.170000000002</v>
      </c>
      <c r="AP201" s="112">
        <v>9010.66</v>
      </c>
      <c r="AQ201" s="112">
        <v>25622.42</v>
      </c>
      <c r="AR201" s="112">
        <v>18810.5</v>
      </c>
      <c r="AS201" s="113">
        <v>4948.46</v>
      </c>
      <c r="AT201" s="113">
        <v>17859.64</v>
      </c>
      <c r="AU201" s="111">
        <v>0</v>
      </c>
      <c r="AV201" s="112">
        <v>0</v>
      </c>
      <c r="AW201" s="112">
        <v>0</v>
      </c>
      <c r="AX201" s="112">
        <v>0</v>
      </c>
      <c r="AY201" s="113">
        <v>0</v>
      </c>
      <c r="AZ201" s="113">
        <v>0</v>
      </c>
    </row>
    <row r="202" spans="1:52" x14ac:dyDescent="0.25">
      <c r="A202" s="101" t="s">
        <v>86</v>
      </c>
      <c r="B202" s="102" t="s">
        <v>87</v>
      </c>
      <c r="C202" s="102"/>
      <c r="D202" s="102" t="s">
        <v>1048</v>
      </c>
      <c r="E202" s="103">
        <v>2.7600000000000002</v>
      </c>
      <c r="F202" s="104">
        <v>10000</v>
      </c>
      <c r="G202" s="105">
        <f t="shared" si="77"/>
        <v>5000</v>
      </c>
      <c r="H202" s="105">
        <v>20230</v>
      </c>
      <c r="I202" s="106">
        <f t="shared" si="78"/>
        <v>0.24715768660405338</v>
      </c>
      <c r="J202" s="86">
        <v>10866</v>
      </c>
      <c r="K202" s="87">
        <v>0</v>
      </c>
      <c r="L202" s="87">
        <v>0</v>
      </c>
      <c r="M202" s="87">
        <v>2402</v>
      </c>
      <c r="N202" s="90">
        <v>4799</v>
      </c>
      <c r="O202" s="90">
        <v>2046</v>
      </c>
      <c r="P202" s="86">
        <f t="shared" si="86"/>
        <v>29990.160000000003</v>
      </c>
      <c r="Q202" s="87">
        <f t="shared" si="87"/>
        <v>0</v>
      </c>
      <c r="R202" s="87">
        <f t="shared" si="88"/>
        <v>0</v>
      </c>
      <c r="S202" s="88">
        <f t="shared" si="89"/>
        <v>6629.52</v>
      </c>
      <c r="T202" s="89">
        <f t="shared" si="90"/>
        <v>13245.240000000002</v>
      </c>
      <c r="U202" s="89">
        <f t="shared" si="79"/>
        <v>5646.96</v>
      </c>
      <c r="V202" s="86">
        <v>7482</v>
      </c>
      <c r="W202" s="87">
        <v>6495</v>
      </c>
      <c r="X202" s="87">
        <v>7787</v>
      </c>
      <c r="Y202" s="87">
        <v>6280</v>
      </c>
      <c r="Z202" s="90">
        <v>2946</v>
      </c>
      <c r="AA202" s="90">
        <v>4289</v>
      </c>
      <c r="AB202" s="91">
        <f t="shared" si="80"/>
        <v>0.36984676223430546</v>
      </c>
      <c r="AC202" s="91">
        <f t="shared" si="81"/>
        <v>0.32105783489866535</v>
      </c>
      <c r="AD202" s="91">
        <f t="shared" si="82"/>
        <v>0.38492338111715274</v>
      </c>
      <c r="AE202" s="91">
        <f t="shared" si="83"/>
        <v>0.31043005437469107</v>
      </c>
      <c r="AF202" s="91">
        <f t="shared" si="84"/>
        <v>0.14562530894710826</v>
      </c>
      <c r="AG202" s="91">
        <f t="shared" si="85"/>
        <v>0.21201186356895699</v>
      </c>
      <c r="AH202" s="92">
        <v>13261.86</v>
      </c>
      <c r="AI202" s="93">
        <v>12794.619999999944</v>
      </c>
      <c r="AJ202" s="93">
        <v>12794.619999999944</v>
      </c>
      <c r="AK202" s="93">
        <v>13372.77999999995</v>
      </c>
      <c r="AL202" s="94">
        <v>5999.9700000001503</v>
      </c>
      <c r="AM202" s="94">
        <v>11232.620000000101</v>
      </c>
      <c r="AN202" s="94" t="s">
        <v>779</v>
      </c>
      <c r="AO202" s="111">
        <v>36733.420000000006</v>
      </c>
      <c r="AP202" s="112">
        <v>0</v>
      </c>
      <c r="AQ202" s="112">
        <v>0</v>
      </c>
      <c r="AR202" s="112">
        <v>7662.38</v>
      </c>
      <c r="AS202" s="113">
        <v>24202.950000000004</v>
      </c>
      <c r="AT202" s="113">
        <v>6424.44</v>
      </c>
      <c r="AU202" s="111">
        <v>38026.430000000233</v>
      </c>
      <c r="AV202" s="112">
        <v>34423.499999999869</v>
      </c>
      <c r="AW202" s="112">
        <v>39303.48999999986</v>
      </c>
      <c r="AX202" s="112">
        <v>26912.370000000399</v>
      </c>
      <c r="AY202" s="113">
        <v>16948.699999999801</v>
      </c>
      <c r="AZ202" s="113">
        <v>24871.639999999701</v>
      </c>
    </row>
    <row r="203" spans="1:52" x14ac:dyDescent="0.25">
      <c r="A203" s="101" t="s">
        <v>939</v>
      </c>
      <c r="B203" s="102" t="s">
        <v>293</v>
      </c>
      <c r="C203" s="102"/>
      <c r="D203" s="102" t="s">
        <v>1048</v>
      </c>
      <c r="E203" s="103">
        <v>2.75</v>
      </c>
      <c r="F203" s="104">
        <v>1000</v>
      </c>
      <c r="G203" s="105">
        <f t="shared" si="77"/>
        <v>500</v>
      </c>
      <c r="H203" s="105">
        <v>662</v>
      </c>
      <c r="I203" s="106">
        <f t="shared" si="78"/>
        <v>0.75528700906344415</v>
      </c>
      <c r="J203" s="86">
        <v>113</v>
      </c>
      <c r="K203" s="87">
        <v>1132</v>
      </c>
      <c r="L203" s="87">
        <v>524</v>
      </c>
      <c r="M203" s="87">
        <v>0</v>
      </c>
      <c r="N203" s="90">
        <v>120</v>
      </c>
      <c r="O203" s="90">
        <v>761</v>
      </c>
      <c r="P203" s="86">
        <f t="shared" si="86"/>
        <v>310.75</v>
      </c>
      <c r="Q203" s="87">
        <f t="shared" si="87"/>
        <v>3113</v>
      </c>
      <c r="R203" s="87">
        <f t="shared" si="88"/>
        <v>1441</v>
      </c>
      <c r="S203" s="88">
        <f t="shared" si="89"/>
        <v>0</v>
      </c>
      <c r="T203" s="89">
        <f t="shared" si="90"/>
        <v>330</v>
      </c>
      <c r="U203" s="89">
        <f t="shared" si="79"/>
        <v>2092.75</v>
      </c>
      <c r="V203" s="86">
        <v>0</v>
      </c>
      <c r="W203" s="87">
        <v>52</v>
      </c>
      <c r="X203" s="87">
        <v>325</v>
      </c>
      <c r="Y203" s="87">
        <v>792</v>
      </c>
      <c r="Z203" s="90">
        <v>599</v>
      </c>
      <c r="AA203" s="90">
        <v>69</v>
      </c>
      <c r="AB203" s="91">
        <f t="shared" si="80"/>
        <v>0</v>
      </c>
      <c r="AC203" s="91">
        <f t="shared" si="81"/>
        <v>7.8549848942598186E-2</v>
      </c>
      <c r="AD203" s="91">
        <f t="shared" si="82"/>
        <v>0.49093655589123869</v>
      </c>
      <c r="AE203" s="91">
        <f t="shared" si="83"/>
        <v>1.1963746223564955</v>
      </c>
      <c r="AF203" s="91">
        <f t="shared" si="84"/>
        <v>0.904833836858006</v>
      </c>
      <c r="AG203" s="91">
        <f t="shared" si="85"/>
        <v>0.10422960725075529</v>
      </c>
      <c r="AH203" s="92">
        <v>0</v>
      </c>
      <c r="AI203" s="93">
        <v>77.919999999999803</v>
      </c>
      <c r="AJ203" s="93">
        <v>77.919999999999803</v>
      </c>
      <c r="AK203" s="93">
        <v>377.55999999999966</v>
      </c>
      <c r="AL203" s="94">
        <v>1012.77</v>
      </c>
      <c r="AM203" s="94">
        <v>86.1</v>
      </c>
      <c r="AN203" s="94" t="s">
        <v>779</v>
      </c>
      <c r="AO203" s="111">
        <v>1203.6599999999999</v>
      </c>
      <c r="AP203" s="112">
        <v>12302.210000000001</v>
      </c>
      <c r="AQ203" s="112">
        <v>5575.39</v>
      </c>
      <c r="AR203" s="112">
        <v>0</v>
      </c>
      <c r="AS203" s="113">
        <v>1302</v>
      </c>
      <c r="AT203" s="113">
        <v>8119.96</v>
      </c>
      <c r="AU203" s="111">
        <v>0</v>
      </c>
      <c r="AV203" s="112">
        <v>0</v>
      </c>
      <c r="AW203" s="112">
        <v>0</v>
      </c>
      <c r="AX203" s="112">
        <v>0</v>
      </c>
      <c r="AY203" s="113">
        <v>0</v>
      </c>
      <c r="AZ203" s="113">
        <v>0</v>
      </c>
    </row>
    <row r="204" spans="1:52" x14ac:dyDescent="0.25">
      <c r="A204" s="101" t="s">
        <v>811</v>
      </c>
      <c r="B204" s="102" t="s">
        <v>854</v>
      </c>
      <c r="C204" s="102"/>
      <c r="D204" s="102" t="s">
        <v>1048</v>
      </c>
      <c r="E204" s="103">
        <v>2.7161654135338331</v>
      </c>
      <c r="F204" s="104">
        <v>2000</v>
      </c>
      <c r="G204" s="105">
        <f t="shared" si="77"/>
        <v>1000</v>
      </c>
      <c r="H204" s="105">
        <v>3260</v>
      </c>
      <c r="I204" s="106">
        <f t="shared" si="78"/>
        <v>0.30674846625766872</v>
      </c>
      <c r="J204" s="86">
        <v>0</v>
      </c>
      <c r="K204" s="86">
        <v>0</v>
      </c>
      <c r="L204" s="86">
        <v>0</v>
      </c>
      <c r="M204" s="86">
        <v>0</v>
      </c>
      <c r="N204" s="86">
        <v>0</v>
      </c>
      <c r="O204" s="90">
        <v>1562</v>
      </c>
      <c r="P204" s="86"/>
      <c r="Q204" s="87"/>
      <c r="R204" s="87"/>
      <c r="S204" s="88"/>
      <c r="T204" s="89"/>
      <c r="U204" s="89">
        <f t="shared" si="79"/>
        <v>4242.6503759398474</v>
      </c>
      <c r="V204" s="86"/>
      <c r="W204" s="87"/>
      <c r="X204" s="87"/>
      <c r="Y204" s="87"/>
      <c r="Z204" s="90"/>
      <c r="AA204" s="90"/>
      <c r="AB204" s="91">
        <f t="shared" si="80"/>
        <v>0</v>
      </c>
      <c r="AC204" s="91">
        <f t="shared" si="81"/>
        <v>0</v>
      </c>
      <c r="AD204" s="91">
        <f t="shared" si="82"/>
        <v>0</v>
      </c>
      <c r="AE204" s="91">
        <f t="shared" si="83"/>
        <v>0</v>
      </c>
      <c r="AF204" s="91">
        <f t="shared" si="84"/>
        <v>0</v>
      </c>
      <c r="AG204" s="91">
        <f t="shared" si="85"/>
        <v>0</v>
      </c>
      <c r="AH204" s="92"/>
      <c r="AI204" s="93"/>
      <c r="AJ204" s="93"/>
      <c r="AK204" s="93"/>
      <c r="AL204" s="94"/>
      <c r="AM204" s="94"/>
      <c r="AN204" s="94" t="s">
        <v>780</v>
      </c>
      <c r="AO204" s="111">
        <v>0</v>
      </c>
      <c r="AP204" s="112">
        <v>0</v>
      </c>
      <c r="AQ204" s="112">
        <v>0</v>
      </c>
      <c r="AR204" s="112">
        <v>0</v>
      </c>
      <c r="AS204" s="113">
        <v>12499.96</v>
      </c>
      <c r="AT204" s="113">
        <v>20236.699999999997</v>
      </c>
      <c r="AU204" s="111">
        <v>0</v>
      </c>
      <c r="AV204" s="112">
        <v>0</v>
      </c>
      <c r="AW204" s="112">
        <v>0</v>
      </c>
      <c r="AX204" s="112">
        <v>0</v>
      </c>
      <c r="AY204" s="113">
        <v>0</v>
      </c>
      <c r="AZ204" s="113">
        <v>14167.5999999999</v>
      </c>
    </row>
    <row r="205" spans="1:52" x14ac:dyDescent="0.25">
      <c r="A205" s="101" t="s">
        <v>940</v>
      </c>
      <c r="B205" s="102" t="s">
        <v>132</v>
      </c>
      <c r="C205" s="102"/>
      <c r="D205" s="102" t="s">
        <v>1048</v>
      </c>
      <c r="E205" s="103">
        <v>2.71</v>
      </c>
      <c r="F205" s="104">
        <v>400</v>
      </c>
      <c r="G205" s="105">
        <f t="shared" si="77"/>
        <v>200</v>
      </c>
      <c r="H205" s="105">
        <v>160</v>
      </c>
      <c r="I205" s="106">
        <f t="shared" si="78"/>
        <v>1.25</v>
      </c>
      <c r="J205" s="86">
        <v>0</v>
      </c>
      <c r="K205" s="87">
        <v>0</v>
      </c>
      <c r="L205" s="87">
        <v>0</v>
      </c>
      <c r="M205" s="87">
        <v>266</v>
      </c>
      <c r="N205" s="90">
        <v>202</v>
      </c>
      <c r="O205" s="90">
        <v>0</v>
      </c>
      <c r="P205" s="86">
        <f t="shared" ref="P205:P220" si="91">+J205*E205</f>
        <v>0</v>
      </c>
      <c r="Q205" s="87">
        <f t="shared" ref="Q205:Q220" si="92">+K205*E205</f>
        <v>0</v>
      </c>
      <c r="R205" s="87">
        <f t="shared" ref="R205:R220" si="93">+L205*E205</f>
        <v>0</v>
      </c>
      <c r="S205" s="88">
        <f t="shared" ref="S205:S220" si="94">+M205*E205</f>
        <v>720.86</v>
      </c>
      <c r="T205" s="89">
        <f t="shared" ref="T205:T220" si="95">+N205*E205</f>
        <v>547.41999999999996</v>
      </c>
      <c r="U205" s="89">
        <f t="shared" si="79"/>
        <v>0</v>
      </c>
      <c r="V205" s="86">
        <v>117</v>
      </c>
      <c r="W205" s="87">
        <v>169</v>
      </c>
      <c r="X205" s="87">
        <v>99</v>
      </c>
      <c r="Y205" s="87">
        <v>67</v>
      </c>
      <c r="Z205" s="90">
        <v>110</v>
      </c>
      <c r="AA205" s="90">
        <v>151</v>
      </c>
      <c r="AB205" s="91">
        <f t="shared" si="80"/>
        <v>0.73124999999999996</v>
      </c>
      <c r="AC205" s="91">
        <f t="shared" si="81"/>
        <v>1.0562499999999999</v>
      </c>
      <c r="AD205" s="91">
        <f t="shared" si="82"/>
        <v>0.61875000000000002</v>
      </c>
      <c r="AE205" s="91">
        <f t="shared" si="83"/>
        <v>0.41875000000000001</v>
      </c>
      <c r="AF205" s="91">
        <f t="shared" si="84"/>
        <v>0.6875</v>
      </c>
      <c r="AG205" s="91">
        <f t="shared" si="85"/>
        <v>0.94374999999999998</v>
      </c>
      <c r="AH205" s="92">
        <v>101.79</v>
      </c>
      <c r="AI205" s="93">
        <v>382.98</v>
      </c>
      <c r="AJ205" s="93">
        <v>382.98</v>
      </c>
      <c r="AK205" s="93">
        <v>515.14999999999986</v>
      </c>
      <c r="AL205" s="94">
        <v>145.07</v>
      </c>
      <c r="AM205" s="94">
        <v>246.45</v>
      </c>
      <c r="AN205" s="94" t="s">
        <v>779</v>
      </c>
      <c r="AO205" s="111">
        <v>0</v>
      </c>
      <c r="AP205" s="112">
        <v>0</v>
      </c>
      <c r="AQ205" s="112">
        <v>0</v>
      </c>
      <c r="AR205" s="112">
        <v>0</v>
      </c>
      <c r="AS205" s="113">
        <v>0</v>
      </c>
      <c r="AT205" s="113">
        <v>0</v>
      </c>
      <c r="AU205" s="111">
        <v>0</v>
      </c>
      <c r="AV205" s="112">
        <v>0</v>
      </c>
      <c r="AW205" s="112">
        <v>0</v>
      </c>
      <c r="AX205" s="112">
        <v>0</v>
      </c>
      <c r="AY205" s="113">
        <v>0</v>
      </c>
      <c r="AZ205" s="113">
        <v>0</v>
      </c>
    </row>
    <row r="206" spans="1:52" x14ac:dyDescent="0.25">
      <c r="A206" s="101" t="s">
        <v>150</v>
      </c>
      <c r="B206" s="102" t="s">
        <v>151</v>
      </c>
      <c r="C206" s="102"/>
      <c r="D206" s="102" t="s">
        <v>1048</v>
      </c>
      <c r="E206" s="103">
        <v>2.67</v>
      </c>
      <c r="F206" s="104">
        <v>600</v>
      </c>
      <c r="G206" s="105">
        <f t="shared" si="77"/>
        <v>300</v>
      </c>
      <c r="H206" s="105">
        <v>251</v>
      </c>
      <c r="I206" s="106">
        <f t="shared" si="78"/>
        <v>1.1952191235059761</v>
      </c>
      <c r="J206" s="86">
        <v>167</v>
      </c>
      <c r="K206" s="87">
        <v>550</v>
      </c>
      <c r="L206" s="87">
        <v>224</v>
      </c>
      <c r="M206" s="87">
        <v>289</v>
      </c>
      <c r="N206" s="90">
        <v>132</v>
      </c>
      <c r="O206" s="90">
        <v>377</v>
      </c>
      <c r="P206" s="86">
        <f t="shared" si="91"/>
        <v>445.89</v>
      </c>
      <c r="Q206" s="87">
        <f t="shared" si="92"/>
        <v>1468.5</v>
      </c>
      <c r="R206" s="87">
        <f t="shared" si="93"/>
        <v>598.07999999999993</v>
      </c>
      <c r="S206" s="88">
        <f t="shared" si="94"/>
        <v>771.63</v>
      </c>
      <c r="T206" s="89">
        <f t="shared" si="95"/>
        <v>352.44</v>
      </c>
      <c r="U206" s="89">
        <f t="shared" si="79"/>
        <v>1006.5899999999999</v>
      </c>
      <c r="V206" s="86">
        <v>230</v>
      </c>
      <c r="W206" s="87">
        <v>688</v>
      </c>
      <c r="X206" s="87">
        <v>415</v>
      </c>
      <c r="Y206" s="87">
        <v>864</v>
      </c>
      <c r="Z206" s="90">
        <v>406</v>
      </c>
      <c r="AA206" s="90">
        <v>674</v>
      </c>
      <c r="AB206" s="91">
        <f t="shared" si="80"/>
        <v>0.91633466135458164</v>
      </c>
      <c r="AC206" s="91">
        <f t="shared" si="81"/>
        <v>2.741035856573705</v>
      </c>
      <c r="AD206" s="91">
        <f t="shared" si="82"/>
        <v>1.653386454183267</v>
      </c>
      <c r="AE206" s="91">
        <f t="shared" si="83"/>
        <v>3.4422310756972112</v>
      </c>
      <c r="AF206" s="91">
        <f t="shared" si="84"/>
        <v>1.6175298804780875</v>
      </c>
      <c r="AG206" s="91">
        <f t="shared" si="85"/>
        <v>2.6852589641434261</v>
      </c>
      <c r="AH206" s="92">
        <v>572.68000000000006</v>
      </c>
      <c r="AI206" s="93">
        <v>2124.6799999999971</v>
      </c>
      <c r="AJ206" s="93">
        <v>2124.6799999999971</v>
      </c>
      <c r="AK206" s="93">
        <v>1469.4299999999998</v>
      </c>
      <c r="AL206" s="94">
        <v>2908.18</v>
      </c>
      <c r="AM206" s="94">
        <v>1666.67</v>
      </c>
      <c r="AN206" s="94" t="s">
        <v>779</v>
      </c>
      <c r="AO206" s="111">
        <v>959.04</v>
      </c>
      <c r="AP206" s="112">
        <v>3185.74</v>
      </c>
      <c r="AQ206" s="112">
        <v>1300.6300000000001</v>
      </c>
      <c r="AR206" s="112">
        <v>1674.17</v>
      </c>
      <c r="AS206" s="113">
        <v>768.48</v>
      </c>
      <c r="AT206" s="113">
        <v>2143.21</v>
      </c>
      <c r="AU206" s="111">
        <v>1878.91</v>
      </c>
      <c r="AV206" s="112">
        <v>5465.74</v>
      </c>
      <c r="AW206" s="112">
        <v>3489.4099999999949</v>
      </c>
      <c r="AX206" s="112">
        <v>6815.21</v>
      </c>
      <c r="AY206" s="113">
        <v>3195.9899999999898</v>
      </c>
      <c r="AZ206" s="113">
        <v>4952.7799999999897</v>
      </c>
    </row>
    <row r="207" spans="1:52" x14ac:dyDescent="0.25">
      <c r="A207" s="101" t="s">
        <v>941</v>
      </c>
      <c r="B207" s="102" t="s">
        <v>199</v>
      </c>
      <c r="C207" s="102"/>
      <c r="D207" s="102" t="s">
        <v>1048</v>
      </c>
      <c r="E207" s="103">
        <v>2.6499999999999995</v>
      </c>
      <c r="F207" s="104">
        <v>1000</v>
      </c>
      <c r="G207" s="105">
        <f t="shared" si="77"/>
        <v>500</v>
      </c>
      <c r="H207" s="105">
        <v>591</v>
      </c>
      <c r="I207" s="106">
        <f t="shared" si="78"/>
        <v>0.84602368866328259</v>
      </c>
      <c r="J207" s="86">
        <v>935</v>
      </c>
      <c r="K207" s="87">
        <v>634</v>
      </c>
      <c r="L207" s="87">
        <v>0</v>
      </c>
      <c r="M207" s="87">
        <v>0</v>
      </c>
      <c r="N207" s="90"/>
      <c r="O207" s="90">
        <v>160</v>
      </c>
      <c r="P207" s="86">
        <f t="shared" si="91"/>
        <v>2477.7499999999995</v>
      </c>
      <c r="Q207" s="87">
        <f t="shared" si="92"/>
        <v>1680.0999999999997</v>
      </c>
      <c r="R207" s="87">
        <f t="shared" si="93"/>
        <v>0</v>
      </c>
      <c r="S207" s="88">
        <f t="shared" si="94"/>
        <v>0</v>
      </c>
      <c r="T207" s="89">
        <f t="shared" si="95"/>
        <v>0</v>
      </c>
      <c r="U207" s="89">
        <f t="shared" si="79"/>
        <v>423.99999999999989</v>
      </c>
      <c r="V207" s="86">
        <v>515</v>
      </c>
      <c r="W207" s="87">
        <v>264</v>
      </c>
      <c r="X207" s="87">
        <v>350</v>
      </c>
      <c r="Y207" s="87">
        <v>486</v>
      </c>
      <c r="Z207" s="90">
        <v>341</v>
      </c>
      <c r="AA207" s="90">
        <v>288</v>
      </c>
      <c r="AB207" s="91">
        <f t="shared" si="80"/>
        <v>0.87140439932318103</v>
      </c>
      <c r="AC207" s="91">
        <f t="shared" si="81"/>
        <v>0.4467005076142132</v>
      </c>
      <c r="AD207" s="91">
        <f t="shared" si="82"/>
        <v>0.59221658206429784</v>
      </c>
      <c r="AE207" s="91">
        <f t="shared" si="83"/>
        <v>0.82233502538071068</v>
      </c>
      <c r="AF207" s="91">
        <f t="shared" si="84"/>
        <v>0.5769881556683587</v>
      </c>
      <c r="AG207" s="91">
        <f t="shared" si="85"/>
        <v>0.48730964467005078</v>
      </c>
      <c r="AH207" s="92">
        <v>266.16000000000003</v>
      </c>
      <c r="AI207" s="93">
        <v>135.41999999999996</v>
      </c>
      <c r="AJ207" s="93">
        <v>135.41999999999996</v>
      </c>
      <c r="AK207" s="93">
        <v>140.14999999999989</v>
      </c>
      <c r="AL207" s="94">
        <v>238.409999999999</v>
      </c>
      <c r="AM207" s="94">
        <v>181.25</v>
      </c>
      <c r="AN207" s="94" t="s">
        <v>779</v>
      </c>
      <c r="AO207" s="111">
        <v>6207</v>
      </c>
      <c r="AP207" s="112">
        <v>4236.4500000000007</v>
      </c>
      <c r="AQ207" s="112">
        <v>0</v>
      </c>
      <c r="AR207" s="112">
        <v>0</v>
      </c>
      <c r="AS207" s="113">
        <v>0</v>
      </c>
      <c r="AT207" s="113">
        <v>1062.4000000000001</v>
      </c>
      <c r="AU207" s="111">
        <v>0</v>
      </c>
      <c r="AV207" s="112">
        <v>0</v>
      </c>
      <c r="AW207" s="112">
        <v>0</v>
      </c>
      <c r="AX207" s="112">
        <v>0</v>
      </c>
      <c r="AY207" s="113">
        <v>0</v>
      </c>
      <c r="AZ207" s="113">
        <v>0</v>
      </c>
    </row>
    <row r="208" spans="1:52" x14ac:dyDescent="0.25">
      <c r="A208" s="101" t="s">
        <v>172</v>
      </c>
      <c r="B208" s="102" t="s">
        <v>173</v>
      </c>
      <c r="C208" s="102"/>
      <c r="D208" s="102" t="s">
        <v>1048</v>
      </c>
      <c r="E208" s="103">
        <v>2.6400000000000006</v>
      </c>
      <c r="F208" s="104">
        <v>200</v>
      </c>
      <c r="G208" s="105">
        <f t="shared" si="77"/>
        <v>100</v>
      </c>
      <c r="H208" s="105">
        <v>196</v>
      </c>
      <c r="I208" s="106">
        <f t="shared" si="78"/>
        <v>0.51020408163265307</v>
      </c>
      <c r="J208" s="86">
        <v>0</v>
      </c>
      <c r="K208" s="87">
        <v>0</v>
      </c>
      <c r="L208" s="87">
        <v>95</v>
      </c>
      <c r="M208" s="87">
        <v>220</v>
      </c>
      <c r="N208" s="90">
        <v>110</v>
      </c>
      <c r="O208" s="90">
        <v>0</v>
      </c>
      <c r="P208" s="86">
        <f t="shared" si="91"/>
        <v>0</v>
      </c>
      <c r="Q208" s="87">
        <f t="shared" si="92"/>
        <v>0</v>
      </c>
      <c r="R208" s="87">
        <f t="shared" si="93"/>
        <v>250.80000000000007</v>
      </c>
      <c r="S208" s="88">
        <f t="shared" si="94"/>
        <v>580.80000000000018</v>
      </c>
      <c r="T208" s="89">
        <f t="shared" si="95"/>
        <v>290.40000000000009</v>
      </c>
      <c r="U208" s="89">
        <f t="shared" si="79"/>
        <v>0</v>
      </c>
      <c r="V208" s="86">
        <v>151</v>
      </c>
      <c r="W208" s="87">
        <v>12</v>
      </c>
      <c r="X208" s="87">
        <v>0</v>
      </c>
      <c r="Y208" s="87">
        <v>45</v>
      </c>
      <c r="Z208" s="90">
        <v>36</v>
      </c>
      <c r="AA208" s="90">
        <v>156</v>
      </c>
      <c r="AB208" s="91">
        <f t="shared" si="80"/>
        <v>0.77040816326530615</v>
      </c>
      <c r="AC208" s="91">
        <f t="shared" si="81"/>
        <v>6.1224489795918366E-2</v>
      </c>
      <c r="AD208" s="91">
        <f t="shared" si="82"/>
        <v>0</v>
      </c>
      <c r="AE208" s="91">
        <f t="shared" si="83"/>
        <v>0.22959183673469388</v>
      </c>
      <c r="AF208" s="91">
        <f t="shared" si="84"/>
        <v>0.18367346938775511</v>
      </c>
      <c r="AG208" s="91">
        <f t="shared" si="85"/>
        <v>0.79591836734693877</v>
      </c>
      <c r="AH208" s="92">
        <v>284.43000000000012</v>
      </c>
      <c r="AI208" s="93">
        <v>30.72</v>
      </c>
      <c r="AJ208" s="93">
        <v>30.72</v>
      </c>
      <c r="AK208" s="93">
        <v>118.80000000000003</v>
      </c>
      <c r="AL208" s="94">
        <v>118.52999999999901</v>
      </c>
      <c r="AM208" s="94">
        <v>402.49</v>
      </c>
      <c r="AN208" s="94" t="s">
        <v>779</v>
      </c>
      <c r="AO208" s="111">
        <v>0</v>
      </c>
      <c r="AP208" s="112">
        <v>0</v>
      </c>
      <c r="AQ208" s="112">
        <v>534.54999999999995</v>
      </c>
      <c r="AR208" s="112">
        <v>1249.8</v>
      </c>
      <c r="AS208" s="113">
        <v>630.29999999999995</v>
      </c>
      <c r="AT208" s="113">
        <v>0</v>
      </c>
      <c r="AU208" s="111">
        <v>1178.3499999999999</v>
      </c>
      <c r="AV208" s="112">
        <v>101.76</v>
      </c>
      <c r="AW208" s="112">
        <v>0</v>
      </c>
      <c r="AX208" s="112">
        <v>371.88</v>
      </c>
      <c r="AY208" s="113">
        <v>284.72000000000003</v>
      </c>
      <c r="AZ208" s="113">
        <v>1282.72999999999</v>
      </c>
    </row>
    <row r="209" spans="1:52" x14ac:dyDescent="0.25">
      <c r="A209" s="101" t="s">
        <v>942</v>
      </c>
      <c r="B209" s="102" t="s">
        <v>454</v>
      </c>
      <c r="C209" s="102"/>
      <c r="D209" s="102" t="s">
        <v>1048</v>
      </c>
      <c r="E209" s="103">
        <v>2.620000000000001</v>
      </c>
      <c r="F209" s="104">
        <v>1000</v>
      </c>
      <c r="G209" s="105">
        <f t="shared" si="77"/>
        <v>500</v>
      </c>
      <c r="H209" s="105">
        <v>13382</v>
      </c>
      <c r="I209" s="106">
        <f t="shared" si="78"/>
        <v>3.7363622776864447E-2</v>
      </c>
      <c r="J209" s="86">
        <v>200</v>
      </c>
      <c r="K209" s="87">
        <v>0</v>
      </c>
      <c r="L209" s="87">
        <v>750</v>
      </c>
      <c r="M209" s="87">
        <v>290</v>
      </c>
      <c r="N209" s="90">
        <v>1000</v>
      </c>
      <c r="O209" s="90">
        <v>0</v>
      </c>
      <c r="P209" s="86">
        <f t="shared" si="91"/>
        <v>524.00000000000023</v>
      </c>
      <c r="Q209" s="87">
        <f t="shared" si="92"/>
        <v>0</v>
      </c>
      <c r="R209" s="87">
        <f t="shared" si="93"/>
        <v>1965.0000000000007</v>
      </c>
      <c r="S209" s="88">
        <f t="shared" si="94"/>
        <v>759.8000000000003</v>
      </c>
      <c r="T209" s="89">
        <f t="shared" si="95"/>
        <v>2620.0000000000009</v>
      </c>
      <c r="U209" s="89">
        <f t="shared" si="79"/>
        <v>0</v>
      </c>
      <c r="V209" s="86">
        <v>0</v>
      </c>
      <c r="W209" s="87">
        <v>332</v>
      </c>
      <c r="X209" s="87">
        <v>16</v>
      </c>
      <c r="Y209" s="87">
        <v>505</v>
      </c>
      <c r="Z209" s="90">
        <v>566</v>
      </c>
      <c r="AA209" s="90">
        <v>877</v>
      </c>
      <c r="AB209" s="91">
        <f t="shared" si="80"/>
        <v>0</v>
      </c>
      <c r="AC209" s="91">
        <f t="shared" si="81"/>
        <v>2.480944552383799E-2</v>
      </c>
      <c r="AD209" s="91">
        <f t="shared" si="82"/>
        <v>1.1956359288596622E-3</v>
      </c>
      <c r="AE209" s="91">
        <f t="shared" si="83"/>
        <v>3.7737259004633088E-2</v>
      </c>
      <c r="AF209" s="91">
        <f t="shared" si="84"/>
        <v>4.2295620983410553E-2</v>
      </c>
      <c r="AG209" s="91">
        <f t="shared" si="85"/>
        <v>6.5535794350620236E-2</v>
      </c>
      <c r="AH209" s="92">
        <v>0</v>
      </c>
      <c r="AI209" s="93">
        <v>1116.109999999996</v>
      </c>
      <c r="AJ209" s="93">
        <v>1116.1099999999958</v>
      </c>
      <c r="AK209" s="93">
        <v>45.72</v>
      </c>
      <c r="AL209" s="94">
        <v>1784.76999999999</v>
      </c>
      <c r="AM209" s="94">
        <v>2111.2799999999802</v>
      </c>
      <c r="AN209" s="94" t="s">
        <v>780</v>
      </c>
      <c r="AO209" s="111">
        <v>4172</v>
      </c>
      <c r="AP209" s="112">
        <v>0</v>
      </c>
      <c r="AQ209" s="112">
        <v>18510</v>
      </c>
      <c r="AR209" s="112">
        <v>6751.8</v>
      </c>
      <c r="AS209" s="113">
        <v>24670</v>
      </c>
      <c r="AT209" s="113">
        <v>0</v>
      </c>
      <c r="AU209" s="111">
        <v>0</v>
      </c>
      <c r="AV209" s="112">
        <v>0</v>
      </c>
      <c r="AW209" s="112">
        <v>0</v>
      </c>
      <c r="AX209" s="112">
        <v>0</v>
      </c>
      <c r="AY209" s="113">
        <v>0</v>
      </c>
      <c r="AZ209" s="113">
        <v>0</v>
      </c>
    </row>
    <row r="210" spans="1:52" x14ac:dyDescent="0.25">
      <c r="A210" s="101" t="s">
        <v>287</v>
      </c>
      <c r="B210" s="102" t="s">
        <v>288</v>
      </c>
      <c r="C210" s="102"/>
      <c r="D210" s="102" t="s">
        <v>1048</v>
      </c>
      <c r="E210" s="103">
        <v>2.6099999999999994</v>
      </c>
      <c r="F210" s="104">
        <v>4000</v>
      </c>
      <c r="G210" s="105">
        <f t="shared" si="77"/>
        <v>2000</v>
      </c>
      <c r="H210" s="105">
        <v>6983</v>
      </c>
      <c r="I210" s="106">
        <f t="shared" si="78"/>
        <v>0.28640985249892598</v>
      </c>
      <c r="J210" s="86">
        <v>640</v>
      </c>
      <c r="K210" s="87">
        <v>2210</v>
      </c>
      <c r="L210" s="87">
        <v>1099</v>
      </c>
      <c r="M210" s="87">
        <v>1540</v>
      </c>
      <c r="N210" s="90">
        <v>731</v>
      </c>
      <c r="O210" s="90">
        <v>961</v>
      </c>
      <c r="P210" s="86">
        <f t="shared" si="91"/>
        <v>1670.3999999999996</v>
      </c>
      <c r="Q210" s="87">
        <f t="shared" si="92"/>
        <v>5768.0999999999985</v>
      </c>
      <c r="R210" s="87">
        <f t="shared" si="93"/>
        <v>2868.3899999999994</v>
      </c>
      <c r="S210" s="88">
        <f t="shared" si="94"/>
        <v>4019.3999999999992</v>
      </c>
      <c r="T210" s="89">
        <f t="shared" si="95"/>
        <v>1907.9099999999996</v>
      </c>
      <c r="U210" s="89">
        <f t="shared" si="79"/>
        <v>2508.2099999999996</v>
      </c>
      <c r="V210" s="86">
        <v>2595</v>
      </c>
      <c r="W210" s="87">
        <v>2151</v>
      </c>
      <c r="X210" s="87">
        <v>1355</v>
      </c>
      <c r="Y210" s="87">
        <v>1810</v>
      </c>
      <c r="Z210" s="90">
        <v>1761</v>
      </c>
      <c r="AA210" s="90">
        <v>500</v>
      </c>
      <c r="AB210" s="91">
        <f t="shared" si="80"/>
        <v>0.37161678361735645</v>
      </c>
      <c r="AC210" s="91">
        <f t="shared" si="81"/>
        <v>0.30803379636259487</v>
      </c>
      <c r="AD210" s="91">
        <f t="shared" si="82"/>
        <v>0.19404267506802234</v>
      </c>
      <c r="AE210" s="91">
        <f t="shared" si="83"/>
        <v>0.25920091651152799</v>
      </c>
      <c r="AF210" s="91">
        <f t="shared" si="84"/>
        <v>0.25218387512530432</v>
      </c>
      <c r="AG210" s="91">
        <f t="shared" si="85"/>
        <v>7.1602463124731494E-2</v>
      </c>
      <c r="AH210" s="92">
        <v>4702.6399999999958</v>
      </c>
      <c r="AI210" s="93">
        <v>3592.3799999999942</v>
      </c>
      <c r="AJ210" s="93">
        <v>3592.3799999999942</v>
      </c>
      <c r="AK210" s="93">
        <v>2443.1399999999931</v>
      </c>
      <c r="AL210" s="94">
        <v>3336.3199999999902</v>
      </c>
      <c r="AM210" s="94">
        <v>1050</v>
      </c>
      <c r="AN210" s="94" t="s">
        <v>779</v>
      </c>
      <c r="AO210" s="111">
        <v>6583.2</v>
      </c>
      <c r="AP210" s="112">
        <v>22807.619999999995</v>
      </c>
      <c r="AQ210" s="112">
        <v>11296.14</v>
      </c>
      <c r="AR210" s="112">
        <v>16133.650000000001</v>
      </c>
      <c r="AS210" s="113">
        <v>7523.57</v>
      </c>
      <c r="AT210" s="113">
        <v>10101.599999999999</v>
      </c>
      <c r="AU210" s="111">
        <v>32008.21000000009</v>
      </c>
      <c r="AV210" s="112">
        <v>25810.209999999985</v>
      </c>
      <c r="AW210" s="112">
        <v>16493.609999999924</v>
      </c>
      <c r="AX210" s="112">
        <v>21981.749999999902</v>
      </c>
      <c r="AY210" s="113">
        <v>21743.659999999902</v>
      </c>
      <c r="AZ210" s="113">
        <v>6250</v>
      </c>
    </row>
    <row r="211" spans="1:52" x14ac:dyDescent="0.25">
      <c r="A211" s="101" t="s">
        <v>943</v>
      </c>
      <c r="B211" s="102" t="s">
        <v>359</v>
      </c>
      <c r="C211" s="102"/>
      <c r="D211" s="102" t="s">
        <v>1048</v>
      </c>
      <c r="E211" s="103">
        <v>2.5099999999999998</v>
      </c>
      <c r="F211" s="104">
        <v>1500</v>
      </c>
      <c r="G211" s="105">
        <f t="shared" si="77"/>
        <v>750</v>
      </c>
      <c r="H211" s="105">
        <v>1982</v>
      </c>
      <c r="I211" s="106">
        <f t="shared" si="78"/>
        <v>0.37840565085771949</v>
      </c>
      <c r="J211" s="86">
        <v>1200</v>
      </c>
      <c r="K211" s="87">
        <v>0</v>
      </c>
      <c r="L211" s="87">
        <v>0</v>
      </c>
      <c r="M211" s="87">
        <v>0</v>
      </c>
      <c r="N211" s="90"/>
      <c r="O211" s="90">
        <v>0</v>
      </c>
      <c r="P211" s="86">
        <f t="shared" si="91"/>
        <v>3011.9999999999995</v>
      </c>
      <c r="Q211" s="87">
        <f t="shared" si="92"/>
        <v>0</v>
      </c>
      <c r="R211" s="87">
        <f t="shared" si="93"/>
        <v>0</v>
      </c>
      <c r="S211" s="88">
        <f t="shared" si="94"/>
        <v>0</v>
      </c>
      <c r="T211" s="89">
        <f t="shared" si="95"/>
        <v>0</v>
      </c>
      <c r="U211" s="89">
        <f t="shared" si="79"/>
        <v>0</v>
      </c>
      <c r="V211" s="86">
        <v>932</v>
      </c>
      <c r="W211" s="87">
        <v>1331</v>
      </c>
      <c r="X211" s="87">
        <v>1173</v>
      </c>
      <c r="Y211" s="87">
        <v>508</v>
      </c>
      <c r="Z211" s="90">
        <v>763</v>
      </c>
      <c r="AA211" s="90">
        <v>750</v>
      </c>
      <c r="AB211" s="91">
        <f t="shared" si="80"/>
        <v>0.47023208879919276</v>
      </c>
      <c r="AC211" s="91">
        <f t="shared" si="81"/>
        <v>0.6715438950554995</v>
      </c>
      <c r="AD211" s="91">
        <f t="shared" si="82"/>
        <v>0.59182643794147327</v>
      </c>
      <c r="AE211" s="91">
        <f t="shared" si="83"/>
        <v>0.25630676084762866</v>
      </c>
      <c r="AF211" s="91">
        <f t="shared" si="84"/>
        <v>0.38496468213925328</v>
      </c>
      <c r="AG211" s="91">
        <f t="shared" si="85"/>
        <v>0.37840565085771949</v>
      </c>
      <c r="AH211" s="92">
        <v>2968.78</v>
      </c>
      <c r="AI211" s="93">
        <v>4103.1899999999914</v>
      </c>
      <c r="AJ211" s="93">
        <v>4103.1899999999914</v>
      </c>
      <c r="AK211" s="93">
        <v>3492.8699999999931</v>
      </c>
      <c r="AL211" s="94">
        <v>1715.57</v>
      </c>
      <c r="AM211" s="94">
        <v>1443.57</v>
      </c>
      <c r="AN211" s="94" t="s">
        <v>779</v>
      </c>
      <c r="AO211" s="111">
        <v>16380</v>
      </c>
      <c r="AP211" s="112">
        <v>0</v>
      </c>
      <c r="AQ211" s="112">
        <v>0</v>
      </c>
      <c r="AR211" s="112">
        <v>0</v>
      </c>
      <c r="AS211" s="113">
        <v>0</v>
      </c>
      <c r="AT211" s="113">
        <v>0</v>
      </c>
      <c r="AU211" s="111">
        <v>0</v>
      </c>
      <c r="AV211" s="112">
        <v>0</v>
      </c>
      <c r="AW211" s="112">
        <v>0</v>
      </c>
      <c r="AX211" s="112">
        <v>0</v>
      </c>
      <c r="AY211" s="113">
        <v>0</v>
      </c>
      <c r="AZ211" s="113">
        <v>0</v>
      </c>
    </row>
    <row r="212" spans="1:52" x14ac:dyDescent="0.25">
      <c r="A212" s="101" t="s">
        <v>650</v>
      </c>
      <c r="B212" s="102" t="s">
        <v>651</v>
      </c>
      <c r="C212" s="102"/>
      <c r="D212" s="102" t="s">
        <v>1048</v>
      </c>
      <c r="E212" s="103">
        <v>2.5</v>
      </c>
      <c r="F212" s="104">
        <v>400</v>
      </c>
      <c r="G212" s="105">
        <f t="shared" si="77"/>
        <v>200</v>
      </c>
      <c r="H212" s="105">
        <v>1859</v>
      </c>
      <c r="I212" s="106">
        <f t="shared" si="78"/>
        <v>0.10758472296933835</v>
      </c>
      <c r="J212" s="86">
        <v>0</v>
      </c>
      <c r="K212" s="87">
        <v>191</v>
      </c>
      <c r="L212" s="87">
        <v>409</v>
      </c>
      <c r="M212" s="87">
        <v>331</v>
      </c>
      <c r="N212" s="90">
        <v>81</v>
      </c>
      <c r="O212" s="90">
        <v>186</v>
      </c>
      <c r="P212" s="86">
        <f t="shared" si="91"/>
        <v>0</v>
      </c>
      <c r="Q212" s="87">
        <f t="shared" si="92"/>
        <v>477.5</v>
      </c>
      <c r="R212" s="87">
        <f t="shared" si="93"/>
        <v>1022.5</v>
      </c>
      <c r="S212" s="88">
        <f t="shared" si="94"/>
        <v>827.5</v>
      </c>
      <c r="T212" s="89">
        <f t="shared" si="95"/>
        <v>202.5</v>
      </c>
      <c r="U212" s="89">
        <f t="shared" si="79"/>
        <v>465</v>
      </c>
      <c r="V212" s="86">
        <v>260</v>
      </c>
      <c r="W212" s="87">
        <v>330</v>
      </c>
      <c r="X212" s="87">
        <v>54</v>
      </c>
      <c r="Y212" s="87">
        <v>129</v>
      </c>
      <c r="Z212" s="90">
        <v>127</v>
      </c>
      <c r="AA212" s="90">
        <v>527</v>
      </c>
      <c r="AB212" s="91">
        <f t="shared" si="80"/>
        <v>0.13986013986013987</v>
      </c>
      <c r="AC212" s="91">
        <f t="shared" si="81"/>
        <v>0.17751479289940827</v>
      </c>
      <c r="AD212" s="91">
        <f t="shared" si="82"/>
        <v>2.9047875201721356E-2</v>
      </c>
      <c r="AE212" s="91">
        <f t="shared" si="83"/>
        <v>6.9392146315223238E-2</v>
      </c>
      <c r="AF212" s="91">
        <f t="shared" si="84"/>
        <v>6.8316299085529858E-2</v>
      </c>
      <c r="AG212" s="91">
        <f t="shared" si="85"/>
        <v>0.28348574502420654</v>
      </c>
      <c r="AH212" s="92">
        <v>1536.6899999999989</v>
      </c>
      <c r="AI212" s="93">
        <v>2076.9699999999953</v>
      </c>
      <c r="AJ212" s="93">
        <v>2076.9699999999948</v>
      </c>
      <c r="AK212" s="93">
        <v>846.46999999999696</v>
      </c>
      <c r="AL212" s="94">
        <v>1396.69999999999</v>
      </c>
      <c r="AM212" s="94">
        <v>1031.6599999999901</v>
      </c>
      <c r="AN212" s="94" t="s">
        <v>780</v>
      </c>
      <c r="AO212" s="111">
        <v>0</v>
      </c>
      <c r="AP212" s="112">
        <v>14232.779999999999</v>
      </c>
      <c r="AQ212" s="112">
        <v>30508.190000000002</v>
      </c>
      <c r="AR212" s="112">
        <v>24183.309999999998</v>
      </c>
      <c r="AS212" s="113">
        <v>5869.9400000000005</v>
      </c>
      <c r="AT212" s="113">
        <v>13391</v>
      </c>
      <c r="AU212" s="111">
        <v>21393.37999999999</v>
      </c>
      <c r="AV212" s="112">
        <v>27219.669999999951</v>
      </c>
      <c r="AW212" s="112">
        <v>4773.1799999999894</v>
      </c>
      <c r="AX212" s="112">
        <v>11058.469999999899</v>
      </c>
      <c r="AY212" s="113">
        <v>10786.2399999999</v>
      </c>
      <c r="AZ212" s="113">
        <v>39839.569999999803</v>
      </c>
    </row>
    <row r="213" spans="1:52" x14ac:dyDescent="0.25">
      <c r="A213" s="101" t="s">
        <v>445</v>
      </c>
      <c r="B213" s="102" t="s">
        <v>446</v>
      </c>
      <c r="C213" s="102"/>
      <c r="D213" s="102" t="s">
        <v>1048</v>
      </c>
      <c r="E213" s="103">
        <v>2.4800000000000004</v>
      </c>
      <c r="F213" s="104">
        <v>243.2</v>
      </c>
      <c r="G213" s="105">
        <f t="shared" si="77"/>
        <v>121.6</v>
      </c>
      <c r="H213" s="105">
        <v>685</v>
      </c>
      <c r="I213" s="106">
        <f t="shared" si="78"/>
        <v>0.17751824817518247</v>
      </c>
      <c r="J213" s="86">
        <v>0</v>
      </c>
      <c r="K213" s="87">
        <v>0</v>
      </c>
      <c r="L213" s="87">
        <v>0</v>
      </c>
      <c r="M213" s="87">
        <v>0</v>
      </c>
      <c r="N213" s="90"/>
      <c r="O213" s="90">
        <v>500</v>
      </c>
      <c r="P213" s="86">
        <f t="shared" si="91"/>
        <v>0</v>
      </c>
      <c r="Q213" s="87">
        <f t="shared" si="92"/>
        <v>0</v>
      </c>
      <c r="R213" s="87">
        <f t="shared" si="93"/>
        <v>0</v>
      </c>
      <c r="S213" s="88">
        <f t="shared" si="94"/>
        <v>0</v>
      </c>
      <c r="T213" s="89">
        <f t="shared" si="95"/>
        <v>0</v>
      </c>
      <c r="U213" s="89">
        <f t="shared" si="79"/>
        <v>1240.0000000000002</v>
      </c>
      <c r="V213" s="86">
        <v>55</v>
      </c>
      <c r="W213" s="87">
        <v>168</v>
      </c>
      <c r="X213" s="87">
        <v>276</v>
      </c>
      <c r="Y213" s="87">
        <v>109</v>
      </c>
      <c r="Z213" s="90">
        <v>0</v>
      </c>
      <c r="AA213" s="90">
        <v>0</v>
      </c>
      <c r="AB213" s="91">
        <f t="shared" si="80"/>
        <v>8.0291970802919707E-2</v>
      </c>
      <c r="AC213" s="91">
        <f t="shared" si="81"/>
        <v>0.24525547445255474</v>
      </c>
      <c r="AD213" s="91">
        <f t="shared" si="82"/>
        <v>0.40291970802919708</v>
      </c>
      <c r="AE213" s="91">
        <f t="shared" si="83"/>
        <v>0.15912408759124089</v>
      </c>
      <c r="AF213" s="91">
        <f t="shared" si="84"/>
        <v>0</v>
      </c>
      <c r="AG213" s="91">
        <f t="shared" si="85"/>
        <v>0</v>
      </c>
      <c r="AH213" s="92">
        <v>338.54</v>
      </c>
      <c r="AI213" s="93">
        <v>867.87999999999988</v>
      </c>
      <c r="AJ213" s="93">
        <v>867.87999999999977</v>
      </c>
      <c r="AK213" s="93">
        <v>1027.3999999999996</v>
      </c>
      <c r="AL213" s="94">
        <v>271.41999999999899</v>
      </c>
      <c r="AM213" s="94">
        <v>0</v>
      </c>
      <c r="AN213" s="94" t="s">
        <v>779</v>
      </c>
      <c r="AO213" s="111">
        <v>0</v>
      </c>
      <c r="AP213" s="112">
        <v>0</v>
      </c>
      <c r="AQ213" s="112">
        <v>0</v>
      </c>
      <c r="AR213" s="112">
        <v>0</v>
      </c>
      <c r="AS213" s="113">
        <v>0</v>
      </c>
      <c r="AT213" s="113">
        <v>12455</v>
      </c>
      <c r="AU213" s="111">
        <v>1585.18</v>
      </c>
      <c r="AV213" s="112">
        <v>4456.3599999999997</v>
      </c>
      <c r="AW213" s="112">
        <v>6922.7599999999948</v>
      </c>
      <c r="AX213" s="112">
        <v>2599.6599999999899</v>
      </c>
      <c r="AY213" s="113">
        <v>0</v>
      </c>
      <c r="AZ213" s="113">
        <v>0</v>
      </c>
    </row>
    <row r="214" spans="1:52" x14ac:dyDescent="0.25">
      <c r="A214" s="101" t="s">
        <v>944</v>
      </c>
      <c r="B214" s="102" t="s">
        <v>181</v>
      </c>
      <c r="C214" s="102"/>
      <c r="D214" s="102" t="s">
        <v>1048</v>
      </c>
      <c r="E214" s="103">
        <v>2.4500000000000002</v>
      </c>
      <c r="F214" s="104">
        <v>5057</v>
      </c>
      <c r="G214" s="105">
        <f t="shared" si="77"/>
        <v>2528.5</v>
      </c>
      <c r="H214" s="105">
        <v>25285</v>
      </c>
      <c r="I214" s="106">
        <f t="shared" si="78"/>
        <v>0.1</v>
      </c>
      <c r="J214" s="86">
        <v>5013</v>
      </c>
      <c r="K214" s="87">
        <v>2814.5</v>
      </c>
      <c r="L214" s="87">
        <v>1517</v>
      </c>
      <c r="M214" s="87">
        <v>3421.5</v>
      </c>
      <c r="N214" s="90">
        <v>1171</v>
      </c>
      <c r="O214" s="90">
        <v>0</v>
      </c>
      <c r="P214" s="86">
        <f t="shared" si="91"/>
        <v>12281.85</v>
      </c>
      <c r="Q214" s="87">
        <f t="shared" si="92"/>
        <v>6895.5250000000005</v>
      </c>
      <c r="R214" s="87">
        <f t="shared" si="93"/>
        <v>3716.65</v>
      </c>
      <c r="S214" s="88">
        <f t="shared" si="94"/>
        <v>8382.6750000000011</v>
      </c>
      <c r="T214" s="89">
        <f t="shared" si="95"/>
        <v>2868.9500000000003</v>
      </c>
      <c r="U214" s="89">
        <f t="shared" si="79"/>
        <v>0</v>
      </c>
      <c r="V214" s="86">
        <v>3122</v>
      </c>
      <c r="W214" s="87">
        <v>3094</v>
      </c>
      <c r="X214" s="87">
        <v>1224</v>
      </c>
      <c r="Y214" s="87">
        <v>2248</v>
      </c>
      <c r="Z214" s="90">
        <v>2463</v>
      </c>
      <c r="AA214" s="90">
        <v>1424</v>
      </c>
      <c r="AB214" s="91">
        <f t="shared" si="80"/>
        <v>0.12347241447498516</v>
      </c>
      <c r="AC214" s="91">
        <f t="shared" si="81"/>
        <v>0.12236503856041131</v>
      </c>
      <c r="AD214" s="91">
        <f t="shared" si="82"/>
        <v>4.8408147122800081E-2</v>
      </c>
      <c r="AE214" s="91">
        <f t="shared" si="83"/>
        <v>8.8906466284358318E-2</v>
      </c>
      <c r="AF214" s="91">
        <f t="shared" si="84"/>
        <v>9.7409531342693298E-2</v>
      </c>
      <c r="AG214" s="91">
        <f t="shared" si="85"/>
        <v>5.6317975084041925E-2</v>
      </c>
      <c r="AH214" s="92">
        <v>5556.4500000000126</v>
      </c>
      <c r="AI214" s="93">
        <v>5026.7099999999928</v>
      </c>
      <c r="AJ214" s="93">
        <v>5026.7099999999937</v>
      </c>
      <c r="AK214" s="93">
        <v>4116.5399999999945</v>
      </c>
      <c r="AL214" s="94">
        <v>4619.6400000000403</v>
      </c>
      <c r="AM214" s="94">
        <v>3361.3700000000099</v>
      </c>
      <c r="AN214" s="94" t="s">
        <v>779</v>
      </c>
      <c r="AO214" s="111">
        <v>0</v>
      </c>
      <c r="AP214" s="112">
        <v>0</v>
      </c>
      <c r="AQ214" s="112">
        <v>0</v>
      </c>
      <c r="AR214" s="112">
        <v>0</v>
      </c>
      <c r="AS214" s="113">
        <v>0</v>
      </c>
      <c r="AT214" s="113">
        <v>0</v>
      </c>
      <c r="AU214" s="111">
        <v>0</v>
      </c>
      <c r="AV214" s="112">
        <v>0</v>
      </c>
      <c r="AW214" s="112">
        <v>0</v>
      </c>
      <c r="AX214" s="112">
        <v>0</v>
      </c>
      <c r="AY214" s="113">
        <v>0</v>
      </c>
      <c r="AZ214" s="113">
        <v>0</v>
      </c>
    </row>
    <row r="215" spans="1:52" x14ac:dyDescent="0.25">
      <c r="A215" s="101" t="s">
        <v>945</v>
      </c>
      <c r="B215" s="102" t="s">
        <v>524</v>
      </c>
      <c r="C215" s="102"/>
      <c r="D215" s="102" t="s">
        <v>1049</v>
      </c>
      <c r="E215" s="103">
        <v>2.4499999999999993</v>
      </c>
      <c r="F215" s="104">
        <v>4000</v>
      </c>
      <c r="G215" s="105">
        <f t="shared" si="77"/>
        <v>2000</v>
      </c>
      <c r="H215" s="105">
        <v>9377</v>
      </c>
      <c r="I215" s="106">
        <f t="shared" si="78"/>
        <v>0.21328783192918843</v>
      </c>
      <c r="J215" s="86">
        <v>7188</v>
      </c>
      <c r="K215" s="87">
        <v>7181</v>
      </c>
      <c r="L215" s="87">
        <v>300</v>
      </c>
      <c r="M215" s="87">
        <v>0</v>
      </c>
      <c r="N215" s="90"/>
      <c r="O215" s="90">
        <v>0</v>
      </c>
      <c r="P215" s="86">
        <f t="shared" si="91"/>
        <v>17610.599999999995</v>
      </c>
      <c r="Q215" s="87">
        <f t="shared" si="92"/>
        <v>17593.449999999993</v>
      </c>
      <c r="R215" s="87">
        <f t="shared" si="93"/>
        <v>734.99999999999977</v>
      </c>
      <c r="S215" s="88">
        <f t="shared" si="94"/>
        <v>0</v>
      </c>
      <c r="T215" s="89">
        <f t="shared" si="95"/>
        <v>0</v>
      </c>
      <c r="U215" s="89">
        <f t="shared" si="79"/>
        <v>0</v>
      </c>
      <c r="V215" s="86">
        <v>1924</v>
      </c>
      <c r="W215" s="87">
        <v>1125</v>
      </c>
      <c r="X215" s="87">
        <v>3517</v>
      </c>
      <c r="Y215" s="87">
        <v>2311</v>
      </c>
      <c r="Z215" s="90">
        <v>2232</v>
      </c>
      <c r="AA215" s="90">
        <v>3163</v>
      </c>
      <c r="AB215" s="91">
        <f t="shared" si="80"/>
        <v>0.20518289431587927</v>
      </c>
      <c r="AC215" s="91">
        <f t="shared" si="81"/>
        <v>0.11997440546016849</v>
      </c>
      <c r="AD215" s="91">
        <f t="shared" si="82"/>
        <v>0.37506665244747789</v>
      </c>
      <c r="AE215" s="91">
        <f t="shared" si="83"/>
        <v>0.24645408979417724</v>
      </c>
      <c r="AF215" s="91">
        <f t="shared" si="84"/>
        <v>0.23802922043297431</v>
      </c>
      <c r="AG215" s="91">
        <f t="shared" si="85"/>
        <v>0.3373147061960115</v>
      </c>
      <c r="AH215" s="92">
        <v>1977.500000000005</v>
      </c>
      <c r="AI215" s="93">
        <v>2313.2799999999984</v>
      </c>
      <c r="AJ215" s="93">
        <v>2313.2799999999979</v>
      </c>
      <c r="AK215" s="93">
        <v>4303.4199999999837</v>
      </c>
      <c r="AL215" s="94">
        <v>1940.26</v>
      </c>
      <c r="AM215" s="94">
        <v>5845.9399999999096</v>
      </c>
      <c r="AN215" s="94" t="s">
        <v>780</v>
      </c>
      <c r="AO215" s="111">
        <v>250652.94</v>
      </c>
      <c r="AP215" s="112">
        <v>250853.49999999997</v>
      </c>
      <c r="AQ215" s="112">
        <v>10475.5</v>
      </c>
      <c r="AR215" s="112">
        <v>0</v>
      </c>
      <c r="AS215" s="113">
        <v>0</v>
      </c>
      <c r="AT215" s="113">
        <v>0</v>
      </c>
      <c r="AU215" s="111">
        <v>0</v>
      </c>
      <c r="AV215" s="112">
        <v>0</v>
      </c>
      <c r="AW215" s="112">
        <v>0</v>
      </c>
      <c r="AX215" s="112">
        <v>0</v>
      </c>
      <c r="AY215" s="113">
        <v>0</v>
      </c>
      <c r="AZ215" s="113">
        <v>0</v>
      </c>
    </row>
    <row r="216" spans="1:52" x14ac:dyDescent="0.25">
      <c r="A216" s="101" t="s">
        <v>946</v>
      </c>
      <c r="B216" s="102" t="s">
        <v>190</v>
      </c>
      <c r="C216" s="102"/>
      <c r="D216" s="102" t="s">
        <v>1048</v>
      </c>
      <c r="E216" s="103">
        <v>2.38</v>
      </c>
      <c r="F216" s="104">
        <v>8340.6</v>
      </c>
      <c r="G216" s="105">
        <f t="shared" si="77"/>
        <v>4170.3</v>
      </c>
      <c r="H216" s="105">
        <v>41703</v>
      </c>
      <c r="I216" s="106">
        <f t="shared" si="78"/>
        <v>0.1</v>
      </c>
      <c r="J216" s="86">
        <v>3034</v>
      </c>
      <c r="K216" s="87">
        <v>3465</v>
      </c>
      <c r="L216" s="87">
        <v>3000</v>
      </c>
      <c r="M216" s="87">
        <v>3422</v>
      </c>
      <c r="N216" s="90">
        <v>2757</v>
      </c>
      <c r="O216" s="90">
        <v>1561</v>
      </c>
      <c r="P216" s="86">
        <f t="shared" si="91"/>
        <v>7220.92</v>
      </c>
      <c r="Q216" s="87">
        <f t="shared" si="92"/>
        <v>8246.6999999999989</v>
      </c>
      <c r="R216" s="87">
        <f t="shared" si="93"/>
        <v>7140</v>
      </c>
      <c r="S216" s="88">
        <f t="shared" si="94"/>
        <v>8144.36</v>
      </c>
      <c r="T216" s="89">
        <f t="shared" si="95"/>
        <v>6561.66</v>
      </c>
      <c r="U216" s="89">
        <f t="shared" si="79"/>
        <v>3715.18</v>
      </c>
      <c r="V216" s="86">
        <v>1840</v>
      </c>
      <c r="W216" s="87">
        <v>3778</v>
      </c>
      <c r="X216" s="87">
        <v>1639</v>
      </c>
      <c r="Y216" s="87">
        <v>3542</v>
      </c>
      <c r="Z216" s="90">
        <v>2503</v>
      </c>
      <c r="AA216" s="90">
        <v>1000</v>
      </c>
      <c r="AB216" s="91">
        <f t="shared" si="80"/>
        <v>4.4121526029302451E-2</v>
      </c>
      <c r="AC216" s="91">
        <f t="shared" si="81"/>
        <v>9.0593002901469918E-2</v>
      </c>
      <c r="AD216" s="91">
        <f t="shared" si="82"/>
        <v>3.9301728892405824E-2</v>
      </c>
      <c r="AE216" s="91">
        <f t="shared" si="83"/>
        <v>8.4933937606407217E-2</v>
      </c>
      <c r="AF216" s="91">
        <f t="shared" si="84"/>
        <v>6.0019662853991317E-2</v>
      </c>
      <c r="AG216" s="91">
        <f t="shared" si="85"/>
        <v>2.3979090233316548E-2</v>
      </c>
      <c r="AH216" s="92">
        <v>7376.4099999999944</v>
      </c>
      <c r="AI216" s="93">
        <v>17941.429999999978</v>
      </c>
      <c r="AJ216" s="93">
        <v>17941.429999999978</v>
      </c>
      <c r="AK216" s="93">
        <v>6666.2899999999954</v>
      </c>
      <c r="AL216" s="94">
        <v>11176.110000000201</v>
      </c>
      <c r="AM216" s="94">
        <v>2359.73000000001</v>
      </c>
      <c r="AN216" s="94" t="s">
        <v>779</v>
      </c>
      <c r="AO216" s="111">
        <v>16181.210000000001</v>
      </c>
      <c r="AP216" s="112">
        <v>3574</v>
      </c>
      <c r="AQ216" s="112">
        <v>8066.14</v>
      </c>
      <c r="AR216" s="112">
        <v>0</v>
      </c>
      <c r="AS216" s="113">
        <v>4347.5</v>
      </c>
      <c r="AT216" s="113">
        <v>4255.05</v>
      </c>
      <c r="AU216" s="111">
        <v>0</v>
      </c>
      <c r="AV216" s="112">
        <v>0</v>
      </c>
      <c r="AW216" s="112">
        <v>0</v>
      </c>
      <c r="AX216" s="112">
        <v>0</v>
      </c>
      <c r="AY216" s="113">
        <v>0</v>
      </c>
      <c r="AZ216" s="113">
        <v>0</v>
      </c>
    </row>
    <row r="217" spans="1:52" x14ac:dyDescent="0.25">
      <c r="A217" s="101" t="s">
        <v>161</v>
      </c>
      <c r="B217" s="102" t="s">
        <v>162</v>
      </c>
      <c r="C217" s="102"/>
      <c r="D217" s="102" t="s">
        <v>1048</v>
      </c>
      <c r="E217" s="103">
        <v>2.38</v>
      </c>
      <c r="F217" s="104">
        <v>3000</v>
      </c>
      <c r="G217" s="105">
        <f t="shared" si="77"/>
        <v>1500</v>
      </c>
      <c r="H217" s="105">
        <v>4335</v>
      </c>
      <c r="I217" s="106">
        <f t="shared" si="78"/>
        <v>0.34602076124567471</v>
      </c>
      <c r="J217" s="86">
        <v>0</v>
      </c>
      <c r="K217" s="87">
        <v>0</v>
      </c>
      <c r="L217" s="87">
        <v>0</v>
      </c>
      <c r="M217" s="87">
        <v>0</v>
      </c>
      <c r="N217" s="90"/>
      <c r="O217" s="90">
        <v>0</v>
      </c>
      <c r="P217" s="86">
        <f t="shared" si="91"/>
        <v>0</v>
      </c>
      <c r="Q217" s="87">
        <f t="shared" si="92"/>
        <v>0</v>
      </c>
      <c r="R217" s="87">
        <f t="shared" si="93"/>
        <v>0</v>
      </c>
      <c r="S217" s="88">
        <f t="shared" si="94"/>
        <v>0</v>
      </c>
      <c r="T217" s="89">
        <f t="shared" si="95"/>
        <v>0</v>
      </c>
      <c r="U217" s="89">
        <f t="shared" si="79"/>
        <v>0</v>
      </c>
      <c r="V217" s="86">
        <v>399</v>
      </c>
      <c r="W217" s="87">
        <v>0</v>
      </c>
      <c r="X217" s="87">
        <v>0</v>
      </c>
      <c r="Y217" s="87">
        <v>0</v>
      </c>
      <c r="Z217" s="90">
        <v>0</v>
      </c>
      <c r="AA217" s="90">
        <v>0</v>
      </c>
      <c r="AB217" s="91">
        <f t="shared" si="80"/>
        <v>9.2041522491349476E-2</v>
      </c>
      <c r="AC217" s="91">
        <f t="shared" si="81"/>
        <v>0</v>
      </c>
      <c r="AD217" s="91">
        <f t="shared" si="82"/>
        <v>0</v>
      </c>
      <c r="AE217" s="91">
        <f t="shared" si="83"/>
        <v>0</v>
      </c>
      <c r="AF217" s="91">
        <f t="shared" si="84"/>
        <v>0</v>
      </c>
      <c r="AG217" s="91">
        <f t="shared" si="85"/>
        <v>0</v>
      </c>
      <c r="AH217" s="92">
        <v>900.33999999999969</v>
      </c>
      <c r="AI217" s="93">
        <v>0</v>
      </c>
      <c r="AJ217" s="93">
        <v>0</v>
      </c>
      <c r="AK217" s="93">
        <v>0</v>
      </c>
      <c r="AL217" s="94">
        <v>0</v>
      </c>
      <c r="AM217" s="94">
        <v>0</v>
      </c>
      <c r="AN217" s="94" t="s">
        <v>779</v>
      </c>
      <c r="AO217" s="111">
        <v>0</v>
      </c>
      <c r="AP217" s="112">
        <v>0</v>
      </c>
      <c r="AQ217" s="112">
        <v>0</v>
      </c>
      <c r="AR217" s="112">
        <v>0</v>
      </c>
      <c r="AS217" s="113">
        <v>0</v>
      </c>
      <c r="AT217" s="113">
        <v>0</v>
      </c>
      <c r="AU217" s="111">
        <v>2843.47</v>
      </c>
      <c r="AV217" s="112">
        <v>0</v>
      </c>
      <c r="AW217" s="112">
        <v>0</v>
      </c>
      <c r="AX217" s="112">
        <v>0</v>
      </c>
      <c r="AY217" s="113">
        <v>0</v>
      </c>
      <c r="AZ217" s="113">
        <v>0</v>
      </c>
    </row>
    <row r="218" spans="1:52" x14ac:dyDescent="0.25">
      <c r="A218" s="101" t="s">
        <v>947</v>
      </c>
      <c r="B218" s="102" t="s">
        <v>493</v>
      </c>
      <c r="C218" s="102"/>
      <c r="D218" s="102" t="s">
        <v>1048</v>
      </c>
      <c r="E218" s="103">
        <v>2.3000000000000007</v>
      </c>
      <c r="F218" s="104">
        <v>500</v>
      </c>
      <c r="G218" s="105">
        <f t="shared" si="77"/>
        <v>250</v>
      </c>
      <c r="H218" s="105">
        <v>1047</v>
      </c>
      <c r="I218" s="106">
        <f t="shared" si="78"/>
        <v>0.2387774594078319</v>
      </c>
      <c r="J218" s="86">
        <v>0</v>
      </c>
      <c r="K218" s="87">
        <v>50</v>
      </c>
      <c r="L218" s="87">
        <v>608</v>
      </c>
      <c r="M218" s="87">
        <v>512</v>
      </c>
      <c r="N218" s="90">
        <v>295</v>
      </c>
      <c r="O218" s="90">
        <v>323</v>
      </c>
      <c r="P218" s="86">
        <f t="shared" si="91"/>
        <v>0</v>
      </c>
      <c r="Q218" s="87">
        <f t="shared" si="92"/>
        <v>115.00000000000003</v>
      </c>
      <c r="R218" s="87">
        <f t="shared" si="93"/>
        <v>1398.4000000000005</v>
      </c>
      <c r="S218" s="88">
        <f t="shared" si="94"/>
        <v>1177.6000000000004</v>
      </c>
      <c r="T218" s="89">
        <f t="shared" si="95"/>
        <v>678.50000000000023</v>
      </c>
      <c r="U218" s="89">
        <f t="shared" si="79"/>
        <v>742.9000000000002</v>
      </c>
      <c r="V218" s="86">
        <v>59</v>
      </c>
      <c r="W218" s="87">
        <v>230</v>
      </c>
      <c r="X218" s="87">
        <v>18</v>
      </c>
      <c r="Y218" s="87">
        <v>6</v>
      </c>
      <c r="Z218" s="90">
        <v>256</v>
      </c>
      <c r="AA218" s="90">
        <v>199</v>
      </c>
      <c r="AB218" s="91">
        <f t="shared" si="80"/>
        <v>5.6351480420248332E-2</v>
      </c>
      <c r="AC218" s="91">
        <f t="shared" si="81"/>
        <v>0.21967526265520534</v>
      </c>
      <c r="AD218" s="91">
        <f t="shared" si="82"/>
        <v>1.7191977077363897E-2</v>
      </c>
      <c r="AE218" s="91">
        <f t="shared" si="83"/>
        <v>5.7306590257879654E-3</v>
      </c>
      <c r="AF218" s="91">
        <f t="shared" si="84"/>
        <v>0.24450811843361986</v>
      </c>
      <c r="AG218" s="91">
        <f t="shared" si="85"/>
        <v>0.19006685768863418</v>
      </c>
      <c r="AH218" s="92">
        <v>233.92</v>
      </c>
      <c r="AI218" s="93">
        <v>827.9799999999982</v>
      </c>
      <c r="AJ218" s="93">
        <v>827.9799999999982</v>
      </c>
      <c r="AK218" s="93">
        <v>68.639999999999887</v>
      </c>
      <c r="AL218" s="94">
        <v>19.479999999999901</v>
      </c>
      <c r="AM218" s="94">
        <v>547.07000000000005</v>
      </c>
      <c r="AN218" s="94" t="s">
        <v>780</v>
      </c>
      <c r="AO218" s="111">
        <v>857</v>
      </c>
      <c r="AP218" s="112">
        <v>415</v>
      </c>
      <c r="AQ218" s="112">
        <v>5225.82</v>
      </c>
      <c r="AR218" s="112">
        <v>4456.3599999999997</v>
      </c>
      <c r="AS218" s="113">
        <v>2545.85</v>
      </c>
      <c r="AT218" s="113">
        <v>2784.2799999999997</v>
      </c>
      <c r="AU218" s="111">
        <v>0</v>
      </c>
      <c r="AV218" s="112">
        <v>0</v>
      </c>
      <c r="AW218" s="112">
        <v>0</v>
      </c>
      <c r="AX218" s="112">
        <v>0</v>
      </c>
      <c r="AY218" s="113">
        <v>0</v>
      </c>
      <c r="AZ218" s="113">
        <v>0</v>
      </c>
    </row>
    <row r="219" spans="1:52" x14ac:dyDescent="0.25">
      <c r="A219" s="101" t="s">
        <v>948</v>
      </c>
      <c r="B219" s="102" t="s">
        <v>562</v>
      </c>
      <c r="C219" s="102"/>
      <c r="D219" s="102" t="s">
        <v>1048</v>
      </c>
      <c r="E219" s="103">
        <v>2.2899999999999991</v>
      </c>
      <c r="F219" s="104">
        <v>800</v>
      </c>
      <c r="G219" s="105">
        <f t="shared" si="77"/>
        <v>400</v>
      </c>
      <c r="H219" s="105">
        <v>15151</v>
      </c>
      <c r="I219" s="106">
        <f t="shared" si="78"/>
        <v>2.6400897630519438E-2</v>
      </c>
      <c r="J219" s="86">
        <v>110</v>
      </c>
      <c r="K219" s="87">
        <v>0</v>
      </c>
      <c r="L219" s="87">
        <v>275</v>
      </c>
      <c r="M219" s="87">
        <v>160</v>
      </c>
      <c r="N219" s="90">
        <v>100</v>
      </c>
      <c r="O219" s="90">
        <v>300</v>
      </c>
      <c r="P219" s="86">
        <f t="shared" si="91"/>
        <v>251.89999999999992</v>
      </c>
      <c r="Q219" s="87">
        <f t="shared" si="92"/>
        <v>0</v>
      </c>
      <c r="R219" s="87">
        <f t="shared" si="93"/>
        <v>629.74999999999977</v>
      </c>
      <c r="S219" s="88">
        <f t="shared" si="94"/>
        <v>366.39999999999986</v>
      </c>
      <c r="T219" s="89">
        <f t="shared" si="95"/>
        <v>228.99999999999991</v>
      </c>
      <c r="U219" s="89">
        <f t="shared" si="79"/>
        <v>686.99999999999977</v>
      </c>
      <c r="V219" s="86">
        <v>75</v>
      </c>
      <c r="W219" s="87">
        <v>182</v>
      </c>
      <c r="X219" s="87">
        <v>321</v>
      </c>
      <c r="Y219" s="87">
        <v>140</v>
      </c>
      <c r="Z219" s="90">
        <v>13</v>
      </c>
      <c r="AA219" s="90">
        <v>424</v>
      </c>
      <c r="AB219" s="91">
        <f t="shared" si="80"/>
        <v>4.9501683057223949E-3</v>
      </c>
      <c r="AC219" s="91">
        <f t="shared" si="81"/>
        <v>1.2012408421886344E-2</v>
      </c>
      <c r="AD219" s="91">
        <f t="shared" si="82"/>
        <v>2.1186720348491849E-2</v>
      </c>
      <c r="AE219" s="91">
        <f t="shared" si="83"/>
        <v>9.2403141706818032E-3</v>
      </c>
      <c r="AF219" s="91">
        <f t="shared" si="84"/>
        <v>8.5802917299188173E-4</v>
      </c>
      <c r="AG219" s="91">
        <f t="shared" si="85"/>
        <v>2.7984951488350604E-2</v>
      </c>
      <c r="AH219" s="92">
        <v>60.38000000000001</v>
      </c>
      <c r="AI219" s="93">
        <v>78.529999999999688</v>
      </c>
      <c r="AJ219" s="93">
        <v>78.529999999999717</v>
      </c>
      <c r="AK219" s="93">
        <v>475.34999999999974</v>
      </c>
      <c r="AL219" s="94">
        <v>135.24</v>
      </c>
      <c r="AM219" s="94">
        <v>104.459999999999</v>
      </c>
      <c r="AN219" s="94" t="s">
        <v>780</v>
      </c>
      <c r="AO219" s="111">
        <v>6233.43</v>
      </c>
      <c r="AP219" s="112">
        <v>0</v>
      </c>
      <c r="AQ219" s="112">
        <v>9565.5</v>
      </c>
      <c r="AR219" s="112">
        <v>6055.4</v>
      </c>
      <c r="AS219" s="113">
        <v>3436</v>
      </c>
      <c r="AT219" s="113">
        <v>10290</v>
      </c>
      <c r="AU219" s="111">
        <v>0</v>
      </c>
      <c r="AV219" s="112">
        <v>0</v>
      </c>
      <c r="AW219" s="112">
        <v>0</v>
      </c>
      <c r="AX219" s="112">
        <v>0</v>
      </c>
      <c r="AY219" s="113">
        <v>0</v>
      </c>
      <c r="AZ219" s="113">
        <v>0</v>
      </c>
    </row>
    <row r="220" spans="1:52" x14ac:dyDescent="0.25">
      <c r="A220" s="101" t="s">
        <v>327</v>
      </c>
      <c r="B220" s="102" t="s">
        <v>328</v>
      </c>
      <c r="C220" s="102"/>
      <c r="D220" s="102" t="s">
        <v>1048</v>
      </c>
      <c r="E220" s="103">
        <v>2.25</v>
      </c>
      <c r="F220" s="104">
        <v>2000</v>
      </c>
      <c r="G220" s="105">
        <f t="shared" si="77"/>
        <v>1000</v>
      </c>
      <c r="H220" s="105">
        <v>1238</v>
      </c>
      <c r="I220" s="106">
        <f t="shared" si="78"/>
        <v>0.80775444264943452</v>
      </c>
      <c r="J220" s="86">
        <v>570</v>
      </c>
      <c r="K220" s="87">
        <v>922</v>
      </c>
      <c r="L220" s="87">
        <v>511</v>
      </c>
      <c r="M220" s="87">
        <v>0</v>
      </c>
      <c r="N220" s="90">
        <v>140</v>
      </c>
      <c r="O220" s="90">
        <v>0</v>
      </c>
      <c r="P220" s="86">
        <f t="shared" si="91"/>
        <v>1282.5</v>
      </c>
      <c r="Q220" s="87">
        <f t="shared" si="92"/>
        <v>2074.5</v>
      </c>
      <c r="R220" s="87">
        <f t="shared" si="93"/>
        <v>1149.75</v>
      </c>
      <c r="S220" s="88">
        <f t="shared" si="94"/>
        <v>0</v>
      </c>
      <c r="T220" s="89">
        <f t="shared" si="95"/>
        <v>315</v>
      </c>
      <c r="U220" s="89">
        <f t="shared" si="79"/>
        <v>0</v>
      </c>
      <c r="V220" s="86">
        <v>461</v>
      </c>
      <c r="W220" s="87">
        <v>299</v>
      </c>
      <c r="X220" s="87">
        <v>860</v>
      </c>
      <c r="Y220" s="87">
        <v>645</v>
      </c>
      <c r="Z220" s="90">
        <v>621</v>
      </c>
      <c r="AA220" s="90">
        <v>504</v>
      </c>
      <c r="AB220" s="91">
        <f t="shared" si="80"/>
        <v>0.37237479806138934</v>
      </c>
      <c r="AC220" s="91">
        <f t="shared" si="81"/>
        <v>0.24151857835218093</v>
      </c>
      <c r="AD220" s="91">
        <f t="shared" si="82"/>
        <v>0.69466882067851377</v>
      </c>
      <c r="AE220" s="91">
        <f t="shared" si="83"/>
        <v>0.52100161550888535</v>
      </c>
      <c r="AF220" s="91">
        <f t="shared" si="84"/>
        <v>0.50161550888529882</v>
      </c>
      <c r="AG220" s="91">
        <f t="shared" si="85"/>
        <v>0.40710823909531502</v>
      </c>
      <c r="AH220" s="92">
        <v>140.22</v>
      </c>
      <c r="AI220" s="93">
        <v>293.50999999999931</v>
      </c>
      <c r="AJ220" s="93">
        <v>293.50999999999942</v>
      </c>
      <c r="AK220" s="93">
        <v>561.27999999999884</v>
      </c>
      <c r="AL220" s="94">
        <v>379.51999999999902</v>
      </c>
      <c r="AM220" s="94">
        <v>973.35999999999899</v>
      </c>
      <c r="AN220" s="94" t="s">
        <v>779</v>
      </c>
      <c r="AO220" s="111">
        <v>7059.72</v>
      </c>
      <c r="AP220" s="112">
        <v>11498.919999999998</v>
      </c>
      <c r="AQ220" s="112">
        <v>6080.57</v>
      </c>
      <c r="AR220" s="112">
        <v>0</v>
      </c>
      <c r="AS220" s="113">
        <v>1673</v>
      </c>
      <c r="AT220" s="113">
        <v>0</v>
      </c>
      <c r="AU220" s="111">
        <v>5767.090000000002</v>
      </c>
      <c r="AV220" s="112">
        <v>3953.3199999999983</v>
      </c>
      <c r="AW220" s="112">
        <v>11210.399999999991</v>
      </c>
      <c r="AX220" s="112">
        <v>8302.0100000000202</v>
      </c>
      <c r="AY220" s="113">
        <v>7908.1500000000096</v>
      </c>
      <c r="AZ220" s="113">
        <v>6418.7999999999902</v>
      </c>
    </row>
    <row r="221" spans="1:52" x14ac:dyDescent="0.25">
      <c r="A221" s="101" t="s">
        <v>801</v>
      </c>
      <c r="B221" s="102" t="s">
        <v>844</v>
      </c>
      <c r="C221" s="102"/>
      <c r="D221" s="102" t="s">
        <v>1048</v>
      </c>
      <c r="E221" s="103">
        <v>2.2313042707779545</v>
      </c>
      <c r="F221" s="104">
        <v>600</v>
      </c>
      <c r="G221" s="105">
        <f t="shared" si="77"/>
        <v>300</v>
      </c>
      <c r="H221" s="105">
        <v>461</v>
      </c>
      <c r="I221" s="106">
        <f t="shared" si="78"/>
        <v>0.65075921908893708</v>
      </c>
      <c r="J221" s="86">
        <v>0</v>
      </c>
      <c r="K221" s="86">
        <v>0</v>
      </c>
      <c r="L221" s="86">
        <v>0</v>
      </c>
      <c r="M221" s="86">
        <v>0</v>
      </c>
      <c r="N221" s="86">
        <v>0</v>
      </c>
      <c r="O221" s="90">
        <v>505</v>
      </c>
      <c r="P221" s="86"/>
      <c r="Q221" s="87"/>
      <c r="R221" s="87"/>
      <c r="S221" s="88"/>
      <c r="T221" s="89"/>
      <c r="U221" s="89">
        <f t="shared" si="79"/>
        <v>1126.808656742867</v>
      </c>
      <c r="V221" s="86"/>
      <c r="W221" s="87"/>
      <c r="X221" s="87"/>
      <c r="Y221" s="87"/>
      <c r="Z221" s="90"/>
      <c r="AA221" s="90"/>
      <c r="AB221" s="91">
        <f t="shared" si="80"/>
        <v>0</v>
      </c>
      <c r="AC221" s="91">
        <f t="shared" si="81"/>
        <v>0</v>
      </c>
      <c r="AD221" s="91">
        <f t="shared" si="82"/>
        <v>0</v>
      </c>
      <c r="AE221" s="91">
        <f t="shared" si="83"/>
        <v>0</v>
      </c>
      <c r="AF221" s="91">
        <f t="shared" si="84"/>
        <v>0</v>
      </c>
      <c r="AG221" s="91">
        <f t="shared" si="85"/>
        <v>0</v>
      </c>
      <c r="AH221" s="92"/>
      <c r="AI221" s="93"/>
      <c r="AJ221" s="93"/>
      <c r="AK221" s="93"/>
      <c r="AL221" s="94"/>
      <c r="AM221" s="94"/>
      <c r="AN221" s="94" t="s">
        <v>779</v>
      </c>
      <c r="AO221" s="111">
        <v>0</v>
      </c>
      <c r="AP221" s="112">
        <v>0</v>
      </c>
      <c r="AQ221" s="112">
        <v>0</v>
      </c>
      <c r="AR221" s="112">
        <v>0</v>
      </c>
      <c r="AS221" s="113">
        <v>0</v>
      </c>
      <c r="AT221" s="113">
        <v>4923.6499999999996</v>
      </c>
      <c r="AU221" s="111">
        <v>1612.55</v>
      </c>
      <c r="AV221" s="112">
        <v>1751.8699999999988</v>
      </c>
      <c r="AW221" s="112">
        <v>2570.36</v>
      </c>
      <c r="AX221" s="112">
        <v>2441.6099999999901</v>
      </c>
      <c r="AY221" s="113">
        <v>2509.8000000000002</v>
      </c>
      <c r="AZ221" s="113">
        <v>420.31999999999903</v>
      </c>
    </row>
    <row r="222" spans="1:52" x14ac:dyDescent="0.25">
      <c r="A222" s="101" t="s">
        <v>949</v>
      </c>
      <c r="B222" s="102" t="s">
        <v>540</v>
      </c>
      <c r="C222" s="102"/>
      <c r="D222" s="102" t="s">
        <v>1049</v>
      </c>
      <c r="E222" s="103">
        <v>2.2200000000000024</v>
      </c>
      <c r="F222" s="104">
        <v>2000</v>
      </c>
      <c r="G222" s="105">
        <f t="shared" si="77"/>
        <v>1000</v>
      </c>
      <c r="H222" s="105">
        <v>7237</v>
      </c>
      <c r="I222" s="106">
        <f t="shared" si="78"/>
        <v>0.1381788033715628</v>
      </c>
      <c r="J222" s="86">
        <v>0</v>
      </c>
      <c r="K222" s="87">
        <v>0</v>
      </c>
      <c r="L222" s="87">
        <v>0</v>
      </c>
      <c r="M222" s="87">
        <v>503</v>
      </c>
      <c r="N222" s="90">
        <v>486</v>
      </c>
      <c r="O222" s="90">
        <v>341</v>
      </c>
      <c r="P222" s="86">
        <f>+J222*E222</f>
        <v>0</v>
      </c>
      <c r="Q222" s="87">
        <f>+K222*E222</f>
        <v>0</v>
      </c>
      <c r="R222" s="87">
        <f>+L222*E222</f>
        <v>0</v>
      </c>
      <c r="S222" s="88">
        <f>+M222*E222</f>
        <v>1116.6600000000012</v>
      </c>
      <c r="T222" s="89">
        <f>+N222*E222</f>
        <v>1078.9200000000012</v>
      </c>
      <c r="U222" s="89">
        <f t="shared" si="79"/>
        <v>757.02000000000078</v>
      </c>
      <c r="V222" s="86">
        <v>0</v>
      </c>
      <c r="W222" s="87">
        <v>0</v>
      </c>
      <c r="X222" s="87">
        <v>0</v>
      </c>
      <c r="Y222" s="87">
        <v>0</v>
      </c>
      <c r="Z222" s="90">
        <v>36</v>
      </c>
      <c r="AA222" s="90">
        <v>946</v>
      </c>
      <c r="AB222" s="91">
        <f t="shared" si="80"/>
        <v>0</v>
      </c>
      <c r="AC222" s="91">
        <f t="shared" si="81"/>
        <v>0</v>
      </c>
      <c r="AD222" s="91">
        <f t="shared" si="82"/>
        <v>0</v>
      </c>
      <c r="AE222" s="91">
        <f t="shared" si="83"/>
        <v>0</v>
      </c>
      <c r="AF222" s="91">
        <f t="shared" si="84"/>
        <v>4.9744369213762605E-3</v>
      </c>
      <c r="AG222" s="91">
        <f t="shared" si="85"/>
        <v>0.13071714798949841</v>
      </c>
      <c r="AH222" s="92">
        <v>0</v>
      </c>
      <c r="AI222" s="93">
        <v>0</v>
      </c>
      <c r="AJ222" s="93">
        <v>0</v>
      </c>
      <c r="AK222" s="93">
        <v>0</v>
      </c>
      <c r="AL222" s="94">
        <v>79.920000000000087</v>
      </c>
      <c r="AM222" s="94">
        <v>1618.42</v>
      </c>
      <c r="AN222" s="94" t="s">
        <v>780</v>
      </c>
      <c r="AO222" s="111">
        <v>0</v>
      </c>
      <c r="AP222" s="112">
        <v>0</v>
      </c>
      <c r="AQ222" s="112">
        <v>0</v>
      </c>
      <c r="AR222" s="112">
        <v>15639.36</v>
      </c>
      <c r="AS222" s="113">
        <v>15133.880000000001</v>
      </c>
      <c r="AT222" s="113">
        <v>10558.81</v>
      </c>
      <c r="AU222" s="111">
        <v>0</v>
      </c>
      <c r="AV222" s="112">
        <v>0</v>
      </c>
      <c r="AW222" s="112">
        <v>0</v>
      </c>
      <c r="AX222" s="112">
        <v>0</v>
      </c>
      <c r="AY222" s="113">
        <v>0</v>
      </c>
      <c r="AZ222" s="113">
        <v>0</v>
      </c>
    </row>
    <row r="223" spans="1:52" x14ac:dyDescent="0.25">
      <c r="A223" s="101" t="s">
        <v>389</v>
      </c>
      <c r="B223" s="102" t="s">
        <v>390</v>
      </c>
      <c r="C223" s="102"/>
      <c r="D223" s="102" t="s">
        <v>1048</v>
      </c>
      <c r="E223" s="103">
        <v>2.1999999999999993</v>
      </c>
      <c r="F223" s="104">
        <v>500</v>
      </c>
      <c r="G223" s="105">
        <f t="shared" si="77"/>
        <v>250</v>
      </c>
      <c r="H223" s="105">
        <v>721</v>
      </c>
      <c r="I223" s="106">
        <f t="shared" si="78"/>
        <v>0.34674063800277394</v>
      </c>
      <c r="J223" s="86">
        <v>145</v>
      </c>
      <c r="K223" s="87">
        <v>184</v>
      </c>
      <c r="L223" s="87">
        <v>50</v>
      </c>
      <c r="M223" s="87">
        <v>0</v>
      </c>
      <c r="N223" s="90"/>
      <c r="O223" s="90">
        <v>0</v>
      </c>
      <c r="P223" s="86">
        <f>+J223*E223</f>
        <v>318.99999999999989</v>
      </c>
      <c r="Q223" s="87">
        <f>+K223*E223</f>
        <v>404.79999999999984</v>
      </c>
      <c r="R223" s="87">
        <f>+L223*E223</f>
        <v>109.99999999999997</v>
      </c>
      <c r="S223" s="88">
        <f>+M223*E223</f>
        <v>0</v>
      </c>
      <c r="T223" s="89">
        <f>+N223*E223</f>
        <v>0</v>
      </c>
      <c r="U223" s="89">
        <f t="shared" si="79"/>
        <v>0</v>
      </c>
      <c r="V223" s="86">
        <v>145</v>
      </c>
      <c r="W223" s="87">
        <v>214</v>
      </c>
      <c r="X223" s="87">
        <v>156</v>
      </c>
      <c r="Y223" s="87">
        <v>179</v>
      </c>
      <c r="Z223" s="90">
        <v>221</v>
      </c>
      <c r="AA223" s="90">
        <v>56</v>
      </c>
      <c r="AB223" s="91">
        <f t="shared" si="80"/>
        <v>0.20110957004160887</v>
      </c>
      <c r="AC223" s="91">
        <f t="shared" si="81"/>
        <v>0.29680998613037446</v>
      </c>
      <c r="AD223" s="91">
        <f t="shared" si="82"/>
        <v>0.21636615811373092</v>
      </c>
      <c r="AE223" s="91">
        <f t="shared" si="83"/>
        <v>0.24826629680998613</v>
      </c>
      <c r="AF223" s="91">
        <f t="shared" si="84"/>
        <v>0.30651872399445212</v>
      </c>
      <c r="AG223" s="91">
        <f t="shared" si="85"/>
        <v>7.7669902912621352E-2</v>
      </c>
      <c r="AH223" s="92">
        <v>811.48999999999978</v>
      </c>
      <c r="AI223" s="93">
        <v>321.19999999999982</v>
      </c>
      <c r="AJ223" s="93">
        <v>321.1999999999997</v>
      </c>
      <c r="AK223" s="93">
        <v>525.31999999999971</v>
      </c>
      <c r="AL223" s="94">
        <v>331.81999999999903</v>
      </c>
      <c r="AM223" s="94">
        <v>122.54</v>
      </c>
      <c r="AN223" s="94" t="s">
        <v>779</v>
      </c>
      <c r="AO223" s="111">
        <v>1851.65</v>
      </c>
      <c r="AP223" s="112">
        <v>2346.35</v>
      </c>
      <c r="AQ223" s="112">
        <v>637</v>
      </c>
      <c r="AR223" s="112">
        <v>0</v>
      </c>
      <c r="AS223" s="113">
        <v>0</v>
      </c>
      <c r="AT223" s="113">
        <v>0</v>
      </c>
      <c r="AU223" s="111">
        <v>2827.7000000000012</v>
      </c>
      <c r="AV223" s="112">
        <v>3981.5699999999947</v>
      </c>
      <c r="AW223" s="112">
        <v>2836.2799999999966</v>
      </c>
      <c r="AX223" s="112">
        <v>2828.45</v>
      </c>
      <c r="AY223" s="113">
        <v>3307.69</v>
      </c>
      <c r="AZ223" s="113">
        <v>934.54</v>
      </c>
    </row>
    <row r="224" spans="1:52" x14ac:dyDescent="0.25">
      <c r="A224" s="101" t="s">
        <v>372</v>
      </c>
      <c r="B224" s="102" t="s">
        <v>373</v>
      </c>
      <c r="C224" s="102"/>
      <c r="D224" s="102" t="s">
        <v>1048</v>
      </c>
      <c r="E224" s="103">
        <v>2.1800000000000015</v>
      </c>
      <c r="F224" s="104">
        <v>1500</v>
      </c>
      <c r="G224" s="105">
        <f t="shared" si="77"/>
        <v>750</v>
      </c>
      <c r="H224" s="105">
        <v>1307</v>
      </c>
      <c r="I224" s="106">
        <f t="shared" si="78"/>
        <v>0.57383320581484321</v>
      </c>
      <c r="J224" s="86">
        <v>1052</v>
      </c>
      <c r="K224" s="87">
        <v>1333</v>
      </c>
      <c r="L224" s="87">
        <v>282</v>
      </c>
      <c r="M224" s="87">
        <v>0</v>
      </c>
      <c r="N224" s="90"/>
      <c r="O224" s="90">
        <v>0</v>
      </c>
      <c r="P224" s="86">
        <f>+J224*E224</f>
        <v>2293.3600000000015</v>
      </c>
      <c r="Q224" s="87">
        <f>+K224*E224</f>
        <v>2905.9400000000019</v>
      </c>
      <c r="R224" s="87">
        <f>+L224*E224</f>
        <v>614.76000000000045</v>
      </c>
      <c r="S224" s="88">
        <f>+M224*E224</f>
        <v>0</v>
      </c>
      <c r="T224" s="89">
        <f>+N224*E224</f>
        <v>0</v>
      </c>
      <c r="U224" s="89">
        <f t="shared" si="79"/>
        <v>0</v>
      </c>
      <c r="V224" s="86">
        <v>234</v>
      </c>
      <c r="W224" s="87">
        <v>491</v>
      </c>
      <c r="X224" s="87">
        <v>636</v>
      </c>
      <c r="Y224" s="87">
        <v>556</v>
      </c>
      <c r="Z224" s="90">
        <v>570</v>
      </c>
      <c r="AA224" s="90">
        <v>567</v>
      </c>
      <c r="AB224" s="91">
        <f t="shared" si="80"/>
        <v>0.17903596021423107</v>
      </c>
      <c r="AC224" s="91">
        <f t="shared" si="81"/>
        <v>0.37566947207345064</v>
      </c>
      <c r="AD224" s="91">
        <f t="shared" si="82"/>
        <v>0.486610558530987</v>
      </c>
      <c r="AE224" s="91">
        <f t="shared" si="83"/>
        <v>0.42540168324407041</v>
      </c>
      <c r="AF224" s="91">
        <f t="shared" si="84"/>
        <v>0.43611323641928079</v>
      </c>
      <c r="AG224" s="91">
        <f t="shared" si="85"/>
        <v>0.4338179035960214</v>
      </c>
      <c r="AH224" s="92">
        <v>404.92</v>
      </c>
      <c r="AI224" s="93">
        <v>1143.6399999999981</v>
      </c>
      <c r="AJ224" s="93">
        <v>1143.6399999999981</v>
      </c>
      <c r="AK224" s="93">
        <v>1309.28</v>
      </c>
      <c r="AL224" s="94">
        <v>691.86999999999898</v>
      </c>
      <c r="AM224" s="94">
        <v>672.42999999999904</v>
      </c>
      <c r="AN224" s="94" t="s">
        <v>779</v>
      </c>
      <c r="AO224" s="111">
        <v>13389.84</v>
      </c>
      <c r="AP224" s="112">
        <v>17112.559999999998</v>
      </c>
      <c r="AQ224" s="112">
        <v>3590.08</v>
      </c>
      <c r="AR224" s="112">
        <v>0</v>
      </c>
      <c r="AS224" s="113">
        <v>0</v>
      </c>
      <c r="AT224" s="113">
        <v>0</v>
      </c>
      <c r="AU224" s="111">
        <v>3466.27</v>
      </c>
      <c r="AV224" s="112">
        <v>7436.4799999999977</v>
      </c>
      <c r="AW224" s="112">
        <v>9457.5999999999949</v>
      </c>
      <c r="AX224" s="112">
        <v>7805.45999999999</v>
      </c>
      <c r="AY224" s="113">
        <v>7526.34</v>
      </c>
      <c r="AZ224" s="113">
        <v>7924.3599999999797</v>
      </c>
    </row>
    <row r="225" spans="1:52" x14ac:dyDescent="0.25">
      <c r="A225" s="101" t="s">
        <v>803</v>
      </c>
      <c r="B225" s="102" t="s">
        <v>846</v>
      </c>
      <c r="C225" s="102"/>
      <c r="D225" s="102" t="s">
        <v>1048</v>
      </c>
      <c r="E225" s="103">
        <v>2.1719078947368402</v>
      </c>
      <c r="F225" s="104">
        <v>700</v>
      </c>
      <c r="G225" s="105">
        <f t="shared" si="77"/>
        <v>350</v>
      </c>
      <c r="H225" s="105">
        <v>3453</v>
      </c>
      <c r="I225" s="106">
        <f t="shared" si="78"/>
        <v>0.10136113524471474</v>
      </c>
      <c r="J225" s="86">
        <v>0</v>
      </c>
      <c r="K225" s="86">
        <v>0</v>
      </c>
      <c r="L225" s="86">
        <v>0</v>
      </c>
      <c r="M225" s="86">
        <v>0</v>
      </c>
      <c r="N225" s="86">
        <v>0</v>
      </c>
      <c r="O225" s="90">
        <v>321</v>
      </c>
      <c r="P225" s="86"/>
      <c r="Q225" s="87"/>
      <c r="R225" s="87"/>
      <c r="S225" s="88"/>
      <c r="T225" s="89"/>
      <c r="U225" s="89">
        <f t="shared" si="79"/>
        <v>697.18243421052568</v>
      </c>
      <c r="V225" s="86"/>
      <c r="W225" s="87"/>
      <c r="X225" s="87"/>
      <c r="Y225" s="87"/>
      <c r="Z225" s="90"/>
      <c r="AA225" s="90"/>
      <c r="AB225" s="91">
        <f t="shared" si="80"/>
        <v>0</v>
      </c>
      <c r="AC225" s="91">
        <f t="shared" si="81"/>
        <v>0</v>
      </c>
      <c r="AD225" s="91">
        <f t="shared" si="82"/>
        <v>0</v>
      </c>
      <c r="AE225" s="91">
        <f t="shared" si="83"/>
        <v>0</v>
      </c>
      <c r="AF225" s="91">
        <f t="shared" si="84"/>
        <v>0</v>
      </c>
      <c r="AG225" s="91">
        <f t="shared" si="85"/>
        <v>0</v>
      </c>
      <c r="AH225" s="92"/>
      <c r="AI225" s="93"/>
      <c r="AJ225" s="93"/>
      <c r="AK225" s="93"/>
      <c r="AL225" s="94"/>
      <c r="AM225" s="94"/>
      <c r="AN225" s="94" t="s">
        <v>780</v>
      </c>
      <c r="AO225" s="111">
        <v>0</v>
      </c>
      <c r="AP225" s="112">
        <v>0</v>
      </c>
      <c r="AQ225" s="112">
        <v>0</v>
      </c>
      <c r="AR225" s="112">
        <v>0</v>
      </c>
      <c r="AS225" s="113">
        <v>0</v>
      </c>
      <c r="AT225" s="113">
        <v>8166.24</v>
      </c>
      <c r="AU225" s="111">
        <v>6781.2000000000016</v>
      </c>
      <c r="AV225" s="112">
        <v>11258.799999999985</v>
      </c>
      <c r="AW225" s="112">
        <v>10566.149999999991</v>
      </c>
      <c r="AX225" s="112">
        <v>6903.2699999999904</v>
      </c>
      <c r="AY225" s="113">
        <v>8610.3499999999804</v>
      </c>
      <c r="AZ225" s="113">
        <v>10660.7499999999</v>
      </c>
    </row>
    <row r="226" spans="1:52" x14ac:dyDescent="0.25">
      <c r="A226" s="101" t="s">
        <v>950</v>
      </c>
      <c r="B226" s="102" t="s">
        <v>135</v>
      </c>
      <c r="C226" s="102"/>
      <c r="D226" s="102" t="s">
        <v>1048</v>
      </c>
      <c r="E226" s="103">
        <v>2.16</v>
      </c>
      <c r="F226" s="104">
        <v>200</v>
      </c>
      <c r="G226" s="105">
        <f t="shared" si="77"/>
        <v>100</v>
      </c>
      <c r="H226" s="105">
        <v>69</v>
      </c>
      <c r="I226" s="106">
        <f t="shared" si="78"/>
        <v>1.4492753623188406</v>
      </c>
      <c r="J226" s="86">
        <v>100</v>
      </c>
      <c r="K226" s="87">
        <v>0</v>
      </c>
      <c r="L226" s="87">
        <v>0</v>
      </c>
      <c r="M226" s="87">
        <v>0</v>
      </c>
      <c r="N226" s="90"/>
      <c r="O226" s="90">
        <v>0</v>
      </c>
      <c r="P226" s="86">
        <f>+J226*E226</f>
        <v>216</v>
      </c>
      <c r="Q226" s="87">
        <f>+K226*E226</f>
        <v>0</v>
      </c>
      <c r="R226" s="87">
        <f>+L226*E226</f>
        <v>0</v>
      </c>
      <c r="S226" s="88">
        <f>+M226*E226</f>
        <v>0</v>
      </c>
      <c r="T226" s="89">
        <f>+N226*E226</f>
        <v>0</v>
      </c>
      <c r="U226" s="89">
        <f t="shared" si="79"/>
        <v>0</v>
      </c>
      <c r="V226" s="86">
        <v>93</v>
      </c>
      <c r="W226" s="87">
        <v>91</v>
      </c>
      <c r="X226" s="87">
        <v>38</v>
      </c>
      <c r="Y226" s="87">
        <v>141</v>
      </c>
      <c r="Z226" s="90">
        <v>74</v>
      </c>
      <c r="AA226" s="90">
        <v>92</v>
      </c>
      <c r="AB226" s="91">
        <f t="shared" si="80"/>
        <v>1.3478260869565217</v>
      </c>
      <c r="AC226" s="91">
        <f t="shared" si="81"/>
        <v>1.318840579710145</v>
      </c>
      <c r="AD226" s="91">
        <f t="shared" si="82"/>
        <v>0.55072463768115942</v>
      </c>
      <c r="AE226" s="91">
        <f t="shared" si="83"/>
        <v>2.0434782608695654</v>
      </c>
      <c r="AF226" s="91">
        <f t="shared" si="84"/>
        <v>1.0724637681159421</v>
      </c>
      <c r="AG226" s="91">
        <f t="shared" si="85"/>
        <v>1.3333333333333333</v>
      </c>
      <c r="AH226" s="92">
        <v>567.95000000000005</v>
      </c>
      <c r="AI226" s="93">
        <v>644.45000000000005</v>
      </c>
      <c r="AJ226" s="93">
        <v>644.45000000000005</v>
      </c>
      <c r="AK226" s="93">
        <v>475.13999999999885</v>
      </c>
      <c r="AL226" s="94">
        <v>895.59</v>
      </c>
      <c r="AM226" s="94">
        <v>236.60999999999899</v>
      </c>
      <c r="AN226" s="94" t="s">
        <v>779</v>
      </c>
      <c r="AO226" s="111">
        <v>375</v>
      </c>
      <c r="AP226" s="112">
        <v>0</v>
      </c>
      <c r="AQ226" s="112">
        <v>0</v>
      </c>
      <c r="AR226" s="112">
        <v>0</v>
      </c>
      <c r="AS226" s="113">
        <v>0</v>
      </c>
      <c r="AT226" s="113">
        <v>0</v>
      </c>
      <c r="AU226" s="111">
        <v>0</v>
      </c>
      <c r="AV226" s="112">
        <v>0</v>
      </c>
      <c r="AW226" s="112">
        <v>0</v>
      </c>
      <c r="AX226" s="112">
        <v>0</v>
      </c>
      <c r="AY226" s="113">
        <v>0</v>
      </c>
      <c r="AZ226" s="113">
        <v>0</v>
      </c>
    </row>
    <row r="227" spans="1:52" x14ac:dyDescent="0.25">
      <c r="A227" s="101" t="s">
        <v>824</v>
      </c>
      <c r="B227" s="102" t="s">
        <v>867</v>
      </c>
      <c r="C227" s="102"/>
      <c r="D227" s="102" t="s">
        <v>1048</v>
      </c>
      <c r="E227" s="103">
        <v>2.1567695099818458</v>
      </c>
      <c r="F227" s="104">
        <v>4000</v>
      </c>
      <c r="G227" s="105">
        <f t="shared" si="77"/>
        <v>2000</v>
      </c>
      <c r="H227" s="105">
        <v>6709</v>
      </c>
      <c r="I227" s="106">
        <f t="shared" si="78"/>
        <v>0.29810702042033088</v>
      </c>
      <c r="J227" s="86">
        <v>0</v>
      </c>
      <c r="K227" s="86">
        <v>0</v>
      </c>
      <c r="L227" s="86">
        <v>0</v>
      </c>
      <c r="M227" s="86">
        <v>0</v>
      </c>
      <c r="N227" s="86">
        <v>0</v>
      </c>
      <c r="O227" s="90">
        <v>638</v>
      </c>
      <c r="P227" s="86"/>
      <c r="Q227" s="87"/>
      <c r="R227" s="87"/>
      <c r="S227" s="88"/>
      <c r="T227" s="89"/>
      <c r="U227" s="89">
        <f t="shared" si="79"/>
        <v>1376.0189473684177</v>
      </c>
      <c r="V227" s="86"/>
      <c r="W227" s="87"/>
      <c r="X227" s="87"/>
      <c r="Y227" s="87"/>
      <c r="Z227" s="90"/>
      <c r="AA227" s="90"/>
      <c r="AB227" s="91">
        <f t="shared" si="80"/>
        <v>0</v>
      </c>
      <c r="AC227" s="91">
        <f t="shared" si="81"/>
        <v>0</v>
      </c>
      <c r="AD227" s="91">
        <f t="shared" si="82"/>
        <v>0</v>
      </c>
      <c r="AE227" s="91">
        <f t="shared" si="83"/>
        <v>0</v>
      </c>
      <c r="AF227" s="91">
        <f t="shared" si="84"/>
        <v>0</v>
      </c>
      <c r="AG227" s="91">
        <f t="shared" si="85"/>
        <v>0</v>
      </c>
      <c r="AH227" s="92"/>
      <c r="AI227" s="93"/>
      <c r="AJ227" s="93"/>
      <c r="AK227" s="93"/>
      <c r="AL227" s="94"/>
      <c r="AM227" s="94"/>
      <c r="AN227" s="94" t="s">
        <v>780</v>
      </c>
      <c r="AO227" s="111">
        <v>13143.59</v>
      </c>
      <c r="AP227" s="112">
        <v>6614.75</v>
      </c>
      <c r="AQ227" s="112">
        <v>20182.27</v>
      </c>
      <c r="AR227" s="112">
        <v>6956.1</v>
      </c>
      <c r="AS227" s="113">
        <v>22432.04</v>
      </c>
      <c r="AT227" s="113">
        <v>17019.870000000003</v>
      </c>
      <c r="AU227" s="111">
        <v>0</v>
      </c>
      <c r="AV227" s="112">
        <v>0</v>
      </c>
      <c r="AW227" s="112">
        <v>34323.909999999989</v>
      </c>
      <c r="AX227" s="112">
        <v>10247.459999999999</v>
      </c>
      <c r="AY227" s="113">
        <v>18488.949999999899</v>
      </c>
      <c r="AZ227" s="113">
        <v>18145.709999999901</v>
      </c>
    </row>
    <row r="228" spans="1:52" x14ac:dyDescent="0.25">
      <c r="A228" s="101" t="s">
        <v>550</v>
      </c>
      <c r="B228" s="102" t="s">
        <v>551</v>
      </c>
      <c r="C228" s="102"/>
      <c r="D228" s="102" t="s">
        <v>1048</v>
      </c>
      <c r="E228" s="103">
        <v>2.1300000000000026</v>
      </c>
      <c r="F228" s="104">
        <v>2000</v>
      </c>
      <c r="G228" s="105">
        <f t="shared" si="77"/>
        <v>1000</v>
      </c>
      <c r="H228" s="105">
        <v>9767</v>
      </c>
      <c r="I228" s="106">
        <f t="shared" si="78"/>
        <v>0.10238558410975734</v>
      </c>
      <c r="J228" s="86">
        <v>400</v>
      </c>
      <c r="K228" s="87">
        <v>0</v>
      </c>
      <c r="L228" s="87">
        <v>0</v>
      </c>
      <c r="M228" s="87">
        <v>0</v>
      </c>
      <c r="N228" s="90"/>
      <c r="O228" s="90">
        <v>0</v>
      </c>
      <c r="P228" s="86">
        <f t="shared" ref="P228:P249" si="96">+J228*E228</f>
        <v>852.00000000000102</v>
      </c>
      <c r="Q228" s="87">
        <f t="shared" ref="Q228:Q249" si="97">+K228*E228</f>
        <v>0</v>
      </c>
      <c r="R228" s="87">
        <f t="shared" ref="R228:R249" si="98">+L228*E228</f>
        <v>0</v>
      </c>
      <c r="S228" s="88">
        <f t="shared" ref="S228:S249" si="99">+M228*E228</f>
        <v>0</v>
      </c>
      <c r="T228" s="89">
        <f t="shared" ref="T228:T249" si="100">+N228*E228</f>
        <v>0</v>
      </c>
      <c r="U228" s="89">
        <f t="shared" si="79"/>
        <v>0</v>
      </c>
      <c r="V228" s="86">
        <v>0</v>
      </c>
      <c r="W228" s="87">
        <v>0</v>
      </c>
      <c r="X228" s="87">
        <v>295</v>
      </c>
      <c r="Y228" s="87">
        <v>104</v>
      </c>
      <c r="Z228" s="90">
        <v>0</v>
      </c>
      <c r="AA228" s="90">
        <v>0</v>
      </c>
      <c r="AB228" s="91">
        <f t="shared" si="80"/>
        <v>0</v>
      </c>
      <c r="AC228" s="91">
        <f t="shared" si="81"/>
        <v>0</v>
      </c>
      <c r="AD228" s="91">
        <f t="shared" si="82"/>
        <v>3.0203747312378418E-2</v>
      </c>
      <c r="AE228" s="91">
        <f t="shared" si="83"/>
        <v>1.0648100747414764E-2</v>
      </c>
      <c r="AF228" s="91">
        <f t="shared" si="84"/>
        <v>0</v>
      </c>
      <c r="AG228" s="91">
        <f t="shared" si="85"/>
        <v>0</v>
      </c>
      <c r="AH228" s="92">
        <v>0</v>
      </c>
      <c r="AI228" s="93">
        <v>0</v>
      </c>
      <c r="AJ228" s="93">
        <v>628.3500000000007</v>
      </c>
      <c r="AK228" s="93">
        <v>567.99</v>
      </c>
      <c r="AL228" s="94">
        <v>248.05</v>
      </c>
      <c r="AM228" s="94">
        <v>0</v>
      </c>
      <c r="AN228" s="94" t="s">
        <v>780</v>
      </c>
      <c r="AO228" s="111">
        <v>12388</v>
      </c>
      <c r="AP228" s="112">
        <v>0</v>
      </c>
      <c r="AQ228" s="112">
        <v>0</v>
      </c>
      <c r="AR228" s="112">
        <v>0</v>
      </c>
      <c r="AS228" s="113">
        <v>0</v>
      </c>
      <c r="AT228" s="113">
        <v>0</v>
      </c>
      <c r="AU228" s="111">
        <v>0</v>
      </c>
      <c r="AV228" s="112">
        <v>0</v>
      </c>
      <c r="AW228" s="112">
        <v>9786.7399999999907</v>
      </c>
      <c r="AX228" s="112">
        <v>3498.05</v>
      </c>
      <c r="AY228" s="113">
        <v>0</v>
      </c>
      <c r="AZ228" s="113">
        <v>0</v>
      </c>
    </row>
    <row r="229" spans="1:52" x14ac:dyDescent="0.25">
      <c r="A229" s="101" t="s">
        <v>206</v>
      </c>
      <c r="B229" s="102" t="s">
        <v>207</v>
      </c>
      <c r="C229" s="102"/>
      <c r="D229" s="102" t="s">
        <v>1048</v>
      </c>
      <c r="E229" s="103">
        <v>2.13</v>
      </c>
      <c r="F229" s="104">
        <v>1000</v>
      </c>
      <c r="G229" s="105">
        <f t="shared" si="77"/>
        <v>500</v>
      </c>
      <c r="H229" s="105">
        <v>614</v>
      </c>
      <c r="I229" s="106">
        <f t="shared" si="78"/>
        <v>0.81433224755700329</v>
      </c>
      <c r="J229" s="86">
        <v>400</v>
      </c>
      <c r="K229" s="87">
        <v>410</v>
      </c>
      <c r="L229" s="87">
        <v>1008</v>
      </c>
      <c r="M229" s="87">
        <v>0</v>
      </c>
      <c r="N229" s="90"/>
      <c r="O229" s="90">
        <v>96</v>
      </c>
      <c r="P229" s="86">
        <f t="shared" si="96"/>
        <v>852</v>
      </c>
      <c r="Q229" s="87">
        <f t="shared" si="97"/>
        <v>873.3</v>
      </c>
      <c r="R229" s="87">
        <f t="shared" si="98"/>
        <v>2147.04</v>
      </c>
      <c r="S229" s="88">
        <f t="shared" si="99"/>
        <v>0</v>
      </c>
      <c r="T229" s="89">
        <f t="shared" si="100"/>
        <v>0</v>
      </c>
      <c r="U229" s="89">
        <f t="shared" si="79"/>
        <v>204.48</v>
      </c>
      <c r="V229" s="86">
        <v>100</v>
      </c>
      <c r="W229" s="87">
        <v>174</v>
      </c>
      <c r="X229" s="87">
        <v>97</v>
      </c>
      <c r="Y229" s="87">
        <v>248</v>
      </c>
      <c r="Z229" s="90">
        <v>594</v>
      </c>
      <c r="AA229" s="90">
        <v>182</v>
      </c>
      <c r="AB229" s="91">
        <f t="shared" si="80"/>
        <v>0.16286644951140064</v>
      </c>
      <c r="AC229" s="91">
        <f t="shared" si="81"/>
        <v>0.28338762214983715</v>
      </c>
      <c r="AD229" s="91">
        <f t="shared" si="82"/>
        <v>0.15798045602605862</v>
      </c>
      <c r="AE229" s="91">
        <f t="shared" si="83"/>
        <v>0.40390879478827363</v>
      </c>
      <c r="AF229" s="91">
        <f t="shared" si="84"/>
        <v>0.96742671009771986</v>
      </c>
      <c r="AG229" s="91">
        <f t="shared" si="85"/>
        <v>0.29641693811074921</v>
      </c>
      <c r="AH229" s="92">
        <v>219.3</v>
      </c>
      <c r="AI229" s="93">
        <v>442.11999999999995</v>
      </c>
      <c r="AJ229" s="93">
        <v>442.12</v>
      </c>
      <c r="AK229" s="93">
        <v>692.81</v>
      </c>
      <c r="AL229" s="94">
        <v>533.09</v>
      </c>
      <c r="AM229" s="94">
        <v>320.85000000000002</v>
      </c>
      <c r="AN229" s="94" t="s">
        <v>779</v>
      </c>
      <c r="AO229" s="111">
        <v>2196</v>
      </c>
      <c r="AP229" s="112">
        <v>2237.4</v>
      </c>
      <c r="AQ229" s="112">
        <v>5367.64</v>
      </c>
      <c r="AR229" s="112">
        <v>0</v>
      </c>
      <c r="AS229" s="113">
        <v>0</v>
      </c>
      <c r="AT229" s="113">
        <v>504.96</v>
      </c>
      <c r="AU229" s="111">
        <v>761.7600000000001</v>
      </c>
      <c r="AV229" s="112">
        <v>1386.8199999999997</v>
      </c>
      <c r="AW229" s="112">
        <v>1222.81</v>
      </c>
      <c r="AX229" s="112">
        <v>1872.5799999999899</v>
      </c>
      <c r="AY229" s="113">
        <v>3919.9499999999898</v>
      </c>
      <c r="AZ229" s="113">
        <v>1299.0899999999999</v>
      </c>
    </row>
    <row r="230" spans="1:52" x14ac:dyDescent="0.25">
      <c r="A230" s="101" t="s">
        <v>188</v>
      </c>
      <c r="B230" s="102" t="s">
        <v>189</v>
      </c>
      <c r="C230" s="102"/>
      <c r="D230" s="102" t="s">
        <v>1048</v>
      </c>
      <c r="E230" s="103">
        <v>2.12</v>
      </c>
      <c r="F230" s="104">
        <v>1264.4000000000001</v>
      </c>
      <c r="G230" s="105">
        <f t="shared" si="77"/>
        <v>632.20000000000005</v>
      </c>
      <c r="H230" s="105">
        <v>6322</v>
      </c>
      <c r="I230" s="106">
        <f t="shared" si="78"/>
        <v>0.1</v>
      </c>
      <c r="J230" s="86">
        <v>2196</v>
      </c>
      <c r="K230" s="87">
        <v>200</v>
      </c>
      <c r="L230" s="87">
        <v>0</v>
      </c>
      <c r="M230" s="87">
        <v>0</v>
      </c>
      <c r="N230" s="90"/>
      <c r="O230" s="90">
        <v>0</v>
      </c>
      <c r="P230" s="86">
        <f t="shared" si="96"/>
        <v>4655.5200000000004</v>
      </c>
      <c r="Q230" s="87">
        <f t="shared" si="97"/>
        <v>424</v>
      </c>
      <c r="R230" s="87">
        <f t="shared" si="98"/>
        <v>0</v>
      </c>
      <c r="S230" s="88">
        <f t="shared" si="99"/>
        <v>0</v>
      </c>
      <c r="T230" s="89">
        <f t="shared" si="100"/>
        <v>0</v>
      </c>
      <c r="U230" s="89">
        <f t="shared" si="79"/>
        <v>0</v>
      </c>
      <c r="V230" s="86">
        <v>2293</v>
      </c>
      <c r="W230" s="87">
        <v>2299</v>
      </c>
      <c r="X230" s="87">
        <v>1319</v>
      </c>
      <c r="Y230" s="87">
        <v>1833</v>
      </c>
      <c r="Z230" s="90">
        <v>2148</v>
      </c>
      <c r="AA230" s="90">
        <v>1728</v>
      </c>
      <c r="AB230" s="91">
        <f t="shared" si="80"/>
        <v>0.36270167668459347</v>
      </c>
      <c r="AC230" s="91">
        <f t="shared" si="81"/>
        <v>0.36365074343562165</v>
      </c>
      <c r="AD230" s="91">
        <f t="shared" si="82"/>
        <v>0.20863650743435622</v>
      </c>
      <c r="AE230" s="91">
        <f t="shared" si="83"/>
        <v>0.28993989243910157</v>
      </c>
      <c r="AF230" s="91">
        <f t="shared" si="84"/>
        <v>0.33976589686807973</v>
      </c>
      <c r="AG230" s="91">
        <f t="shared" si="85"/>
        <v>0.27333122429610884</v>
      </c>
      <c r="AH230" s="92">
        <v>3400.490000000003</v>
      </c>
      <c r="AI230" s="93">
        <v>2977.0799999999949</v>
      </c>
      <c r="AJ230" s="93">
        <v>2977.0799999999949</v>
      </c>
      <c r="AK230" s="93">
        <v>481.64999999999873</v>
      </c>
      <c r="AL230" s="94">
        <v>488.14999999999799</v>
      </c>
      <c r="AM230" s="94">
        <v>730.18000000000302</v>
      </c>
      <c r="AN230" s="94" t="s">
        <v>779</v>
      </c>
      <c r="AO230" s="111">
        <v>9720.9200000000019</v>
      </c>
      <c r="AP230" s="112">
        <v>892</v>
      </c>
      <c r="AQ230" s="112">
        <v>0</v>
      </c>
      <c r="AR230" s="112">
        <v>0</v>
      </c>
      <c r="AS230" s="113">
        <v>0</v>
      </c>
      <c r="AT230" s="113">
        <v>0</v>
      </c>
      <c r="AU230" s="111">
        <v>14530.91999999996</v>
      </c>
      <c r="AV230" s="112">
        <v>14974.799999999959</v>
      </c>
      <c r="AW230" s="112">
        <v>9055.1499999999869</v>
      </c>
      <c r="AX230" s="112">
        <v>12402.65</v>
      </c>
      <c r="AY230" s="113">
        <v>14430.610000000101</v>
      </c>
      <c r="AZ230" s="113">
        <v>11888.6799999999</v>
      </c>
    </row>
    <row r="231" spans="1:52" x14ac:dyDescent="0.25">
      <c r="A231" s="101" t="s">
        <v>951</v>
      </c>
      <c r="B231" s="102" t="s">
        <v>262</v>
      </c>
      <c r="C231" s="102"/>
      <c r="D231" s="102" t="s">
        <v>1048</v>
      </c>
      <c r="E231" s="103">
        <v>2.080000000000001</v>
      </c>
      <c r="F231" s="104">
        <v>5000</v>
      </c>
      <c r="G231" s="105">
        <f t="shared" si="77"/>
        <v>2500</v>
      </c>
      <c r="H231" s="105">
        <v>3045</v>
      </c>
      <c r="I231" s="106">
        <f t="shared" si="78"/>
        <v>0.82101806239737274</v>
      </c>
      <c r="J231" s="86">
        <v>0</v>
      </c>
      <c r="K231" s="87">
        <v>809</v>
      </c>
      <c r="L231" s="87">
        <v>2109</v>
      </c>
      <c r="M231" s="87">
        <v>2036</v>
      </c>
      <c r="N231" s="90">
        <v>1074</v>
      </c>
      <c r="O231" s="90">
        <v>1399</v>
      </c>
      <c r="P231" s="86">
        <f t="shared" si="96"/>
        <v>0</v>
      </c>
      <c r="Q231" s="87">
        <f t="shared" si="97"/>
        <v>1682.7200000000007</v>
      </c>
      <c r="R231" s="87">
        <f t="shared" si="98"/>
        <v>4386.7200000000021</v>
      </c>
      <c r="S231" s="88">
        <f t="shared" si="99"/>
        <v>4234.8800000000019</v>
      </c>
      <c r="T231" s="89">
        <f t="shared" si="100"/>
        <v>2233.920000000001</v>
      </c>
      <c r="U231" s="89">
        <f t="shared" si="79"/>
        <v>2909.9200000000014</v>
      </c>
      <c r="V231" s="86">
        <v>1511</v>
      </c>
      <c r="W231" s="87">
        <v>69</v>
      </c>
      <c r="X231" s="87">
        <v>305</v>
      </c>
      <c r="Y231" s="87">
        <v>1872</v>
      </c>
      <c r="Z231" s="90">
        <v>2320</v>
      </c>
      <c r="AA231" s="90">
        <v>1475</v>
      </c>
      <c r="AB231" s="91">
        <f t="shared" si="80"/>
        <v>0.49622331691297211</v>
      </c>
      <c r="AC231" s="91">
        <f t="shared" si="81"/>
        <v>2.2660098522167486E-2</v>
      </c>
      <c r="AD231" s="91">
        <f t="shared" si="82"/>
        <v>0.10016420361247948</v>
      </c>
      <c r="AE231" s="91">
        <f t="shared" si="83"/>
        <v>0.61477832512315267</v>
      </c>
      <c r="AF231" s="91">
        <f t="shared" si="84"/>
        <v>0.76190476190476186</v>
      </c>
      <c r="AG231" s="91">
        <f t="shared" si="85"/>
        <v>0.48440065681444994</v>
      </c>
      <c r="AH231" s="92">
        <v>2558.829999999999</v>
      </c>
      <c r="AI231" s="93">
        <v>120.05999999999901</v>
      </c>
      <c r="AJ231" s="93">
        <v>120.05999999999901</v>
      </c>
      <c r="AK231" s="93">
        <v>668.79999999999961</v>
      </c>
      <c r="AL231" s="94">
        <v>3901.45999999999</v>
      </c>
      <c r="AM231" s="94">
        <v>2976.92</v>
      </c>
      <c r="AN231" s="94" t="s">
        <v>779</v>
      </c>
      <c r="AO231" s="111">
        <v>0</v>
      </c>
      <c r="AP231" s="112">
        <v>5936.26</v>
      </c>
      <c r="AQ231" s="112">
        <v>15571.160000000002</v>
      </c>
      <c r="AR231" s="112">
        <v>15103.12</v>
      </c>
      <c r="AS231" s="113">
        <v>7929.4499999999989</v>
      </c>
      <c r="AT231" s="113">
        <v>10327.189999999999</v>
      </c>
      <c r="AU231" s="111">
        <v>0</v>
      </c>
      <c r="AV231" s="112">
        <v>0</v>
      </c>
      <c r="AW231" s="112">
        <v>0</v>
      </c>
      <c r="AX231" s="112">
        <v>0</v>
      </c>
      <c r="AY231" s="113">
        <v>0</v>
      </c>
      <c r="AZ231" s="113">
        <v>0</v>
      </c>
    </row>
    <row r="232" spans="1:52" x14ac:dyDescent="0.25">
      <c r="A232" s="101" t="s">
        <v>279</v>
      </c>
      <c r="B232" s="102" t="s">
        <v>280</v>
      </c>
      <c r="C232" s="102"/>
      <c r="D232" s="102" t="s">
        <v>1048</v>
      </c>
      <c r="E232" s="103">
        <v>2.0599999999999996</v>
      </c>
      <c r="F232" s="104">
        <v>200</v>
      </c>
      <c r="G232" s="105">
        <f t="shared" si="77"/>
        <v>100</v>
      </c>
      <c r="H232" s="105">
        <v>554</v>
      </c>
      <c r="I232" s="106">
        <f t="shared" si="78"/>
        <v>0.18050541516245489</v>
      </c>
      <c r="J232" s="86">
        <v>33</v>
      </c>
      <c r="K232" s="87">
        <v>143</v>
      </c>
      <c r="L232" s="87">
        <v>44</v>
      </c>
      <c r="M232" s="87">
        <v>189</v>
      </c>
      <c r="N232" s="90">
        <v>110</v>
      </c>
      <c r="O232" s="90">
        <v>261</v>
      </c>
      <c r="P232" s="86">
        <f t="shared" si="96"/>
        <v>67.97999999999999</v>
      </c>
      <c r="Q232" s="87">
        <f t="shared" si="97"/>
        <v>294.57999999999993</v>
      </c>
      <c r="R232" s="87">
        <f t="shared" si="98"/>
        <v>90.639999999999986</v>
      </c>
      <c r="S232" s="88">
        <f t="shared" si="99"/>
        <v>389.33999999999992</v>
      </c>
      <c r="T232" s="89">
        <f t="shared" si="100"/>
        <v>226.59999999999997</v>
      </c>
      <c r="U232" s="89">
        <f t="shared" si="79"/>
        <v>537.65999999999985</v>
      </c>
      <c r="V232" s="86">
        <v>0</v>
      </c>
      <c r="W232" s="87">
        <v>0</v>
      </c>
      <c r="X232" s="87">
        <v>0</v>
      </c>
      <c r="Y232" s="87">
        <v>0</v>
      </c>
      <c r="Z232" s="90">
        <v>0</v>
      </c>
      <c r="AA232" s="90">
        <v>73</v>
      </c>
      <c r="AB232" s="91">
        <f t="shared" si="80"/>
        <v>0</v>
      </c>
      <c r="AC232" s="91">
        <f t="shared" si="81"/>
        <v>0</v>
      </c>
      <c r="AD232" s="91">
        <f t="shared" si="82"/>
        <v>0</v>
      </c>
      <c r="AE232" s="91">
        <f t="shared" si="83"/>
        <v>0</v>
      </c>
      <c r="AF232" s="91">
        <f t="shared" si="84"/>
        <v>0</v>
      </c>
      <c r="AG232" s="91">
        <f t="shared" si="85"/>
        <v>0.13176895306859207</v>
      </c>
      <c r="AH232" s="92">
        <v>0</v>
      </c>
      <c r="AI232" s="93">
        <v>0</v>
      </c>
      <c r="AJ232" s="93">
        <v>0</v>
      </c>
      <c r="AK232" s="93">
        <v>0</v>
      </c>
      <c r="AL232" s="94">
        <v>0</v>
      </c>
      <c r="AM232" s="94">
        <v>180.17</v>
      </c>
      <c r="AN232" s="94" t="s">
        <v>779</v>
      </c>
      <c r="AO232" s="111">
        <v>242.55</v>
      </c>
      <c r="AP232" s="112">
        <v>1087.8700000000001</v>
      </c>
      <c r="AQ232" s="112">
        <v>344.96</v>
      </c>
      <c r="AR232" s="112">
        <v>1472.21</v>
      </c>
      <c r="AS232" s="113">
        <v>873.91999999999985</v>
      </c>
      <c r="AT232" s="113">
        <v>2049.84</v>
      </c>
      <c r="AU232" s="111">
        <v>0</v>
      </c>
      <c r="AV232" s="112">
        <v>0</v>
      </c>
      <c r="AW232" s="112">
        <v>0</v>
      </c>
      <c r="AX232" s="112">
        <v>0</v>
      </c>
      <c r="AY232" s="113">
        <v>0</v>
      </c>
      <c r="AZ232" s="113">
        <v>748.84</v>
      </c>
    </row>
    <row r="233" spans="1:52" x14ac:dyDescent="0.25">
      <c r="A233" s="101" t="s">
        <v>952</v>
      </c>
      <c r="B233" s="102" t="s">
        <v>284</v>
      </c>
      <c r="C233" s="102"/>
      <c r="D233" s="102" t="s">
        <v>1048</v>
      </c>
      <c r="E233" s="103">
        <v>2.0500000000000007</v>
      </c>
      <c r="F233" s="104">
        <v>500</v>
      </c>
      <c r="G233" s="105">
        <f t="shared" si="77"/>
        <v>250</v>
      </c>
      <c r="H233" s="105">
        <v>678</v>
      </c>
      <c r="I233" s="106">
        <f t="shared" si="78"/>
        <v>0.36873156342182889</v>
      </c>
      <c r="J233" s="86">
        <v>350</v>
      </c>
      <c r="K233" s="87">
        <v>0</v>
      </c>
      <c r="L233" s="87">
        <v>0</v>
      </c>
      <c r="M233" s="87">
        <v>618</v>
      </c>
      <c r="N233" s="90">
        <v>400</v>
      </c>
      <c r="O233" s="90">
        <v>853</v>
      </c>
      <c r="P233" s="86">
        <f t="shared" si="96"/>
        <v>717.50000000000023</v>
      </c>
      <c r="Q233" s="87">
        <f t="shared" si="97"/>
        <v>0</v>
      </c>
      <c r="R233" s="87">
        <f t="shared" si="98"/>
        <v>0</v>
      </c>
      <c r="S233" s="88">
        <f t="shared" si="99"/>
        <v>1266.9000000000005</v>
      </c>
      <c r="T233" s="89">
        <f t="shared" si="100"/>
        <v>820.00000000000023</v>
      </c>
      <c r="U233" s="89">
        <f t="shared" si="79"/>
        <v>1748.6500000000005</v>
      </c>
      <c r="V233" s="86">
        <v>348</v>
      </c>
      <c r="W233" s="87">
        <v>266</v>
      </c>
      <c r="X233" s="87">
        <v>662</v>
      </c>
      <c r="Y233" s="87">
        <v>382</v>
      </c>
      <c r="Z233" s="90">
        <v>613</v>
      </c>
      <c r="AA233" s="90">
        <v>394</v>
      </c>
      <c r="AB233" s="91">
        <f t="shared" si="80"/>
        <v>0.51327433628318586</v>
      </c>
      <c r="AC233" s="91">
        <f t="shared" si="81"/>
        <v>0.39233038348082594</v>
      </c>
      <c r="AD233" s="91">
        <f t="shared" si="82"/>
        <v>0.97640117994100295</v>
      </c>
      <c r="AE233" s="91">
        <f t="shared" si="83"/>
        <v>0.56342182890855452</v>
      </c>
      <c r="AF233" s="91">
        <f t="shared" si="84"/>
        <v>0.90412979351032452</v>
      </c>
      <c r="AG233" s="91">
        <f t="shared" si="85"/>
        <v>0.58112094395280234</v>
      </c>
      <c r="AH233" s="92">
        <v>336.16</v>
      </c>
      <c r="AI233" s="93">
        <v>470.13999999999953</v>
      </c>
      <c r="AJ233" s="93">
        <v>470.13999999999953</v>
      </c>
      <c r="AK233" s="93">
        <v>390.21999999999883</v>
      </c>
      <c r="AL233" s="94">
        <v>227.76999999999899</v>
      </c>
      <c r="AM233" s="94">
        <v>1123.75999999999</v>
      </c>
      <c r="AN233" s="94" t="s">
        <v>779</v>
      </c>
      <c r="AO233" s="111">
        <v>2842</v>
      </c>
      <c r="AP233" s="112">
        <v>0</v>
      </c>
      <c r="AQ233" s="112">
        <v>0</v>
      </c>
      <c r="AR233" s="112">
        <v>4974.8999999999996</v>
      </c>
      <c r="AS233" s="113">
        <v>3208</v>
      </c>
      <c r="AT233" s="113">
        <v>6831.65</v>
      </c>
      <c r="AU233" s="111">
        <v>0</v>
      </c>
      <c r="AV233" s="112">
        <v>0</v>
      </c>
      <c r="AW233" s="112">
        <v>0</v>
      </c>
      <c r="AX233" s="112">
        <v>0</v>
      </c>
      <c r="AY233" s="113">
        <v>0</v>
      </c>
      <c r="AZ233" s="113">
        <v>0</v>
      </c>
    </row>
    <row r="234" spans="1:52" x14ac:dyDescent="0.25">
      <c r="A234" s="101" t="s">
        <v>437</v>
      </c>
      <c r="B234" s="102" t="s">
        <v>438</v>
      </c>
      <c r="C234" s="102"/>
      <c r="D234" s="102" t="s">
        <v>1048</v>
      </c>
      <c r="E234" s="103">
        <v>2.0299999999999976</v>
      </c>
      <c r="F234" s="104">
        <v>400</v>
      </c>
      <c r="G234" s="105">
        <f t="shared" si="77"/>
        <v>200</v>
      </c>
      <c r="H234" s="105">
        <v>589</v>
      </c>
      <c r="I234" s="106">
        <f t="shared" si="78"/>
        <v>0.3395585738539898</v>
      </c>
      <c r="J234" s="86">
        <v>0</v>
      </c>
      <c r="K234" s="87">
        <v>0</v>
      </c>
      <c r="L234" s="87">
        <v>0</v>
      </c>
      <c r="M234" s="87">
        <v>0</v>
      </c>
      <c r="N234" s="90"/>
      <c r="O234" s="90">
        <v>0</v>
      </c>
      <c r="P234" s="86">
        <f t="shared" si="96"/>
        <v>0</v>
      </c>
      <c r="Q234" s="87">
        <f t="shared" si="97"/>
        <v>0</v>
      </c>
      <c r="R234" s="87">
        <f t="shared" si="98"/>
        <v>0</v>
      </c>
      <c r="S234" s="88">
        <f t="shared" si="99"/>
        <v>0</v>
      </c>
      <c r="T234" s="89">
        <f t="shared" si="100"/>
        <v>0</v>
      </c>
      <c r="U234" s="89">
        <f t="shared" si="79"/>
        <v>0</v>
      </c>
      <c r="V234" s="86">
        <v>140</v>
      </c>
      <c r="W234" s="87">
        <v>144</v>
      </c>
      <c r="X234" s="87">
        <v>148</v>
      </c>
      <c r="Y234" s="87">
        <v>107</v>
      </c>
      <c r="Z234" s="90">
        <v>129</v>
      </c>
      <c r="AA234" s="90">
        <v>161</v>
      </c>
      <c r="AB234" s="91">
        <f t="shared" si="80"/>
        <v>0.23769100169779286</v>
      </c>
      <c r="AC234" s="91">
        <f t="shared" si="81"/>
        <v>0.24448217317487267</v>
      </c>
      <c r="AD234" s="91">
        <f t="shared" si="82"/>
        <v>0.25127334465195245</v>
      </c>
      <c r="AE234" s="91">
        <f t="shared" si="83"/>
        <v>0.18166383701188454</v>
      </c>
      <c r="AF234" s="91">
        <f t="shared" si="84"/>
        <v>0.21901528013582344</v>
      </c>
      <c r="AG234" s="91">
        <f t="shared" si="85"/>
        <v>0.27334465195246183</v>
      </c>
      <c r="AH234" s="92">
        <v>229.9</v>
      </c>
      <c r="AI234" s="93">
        <v>339.22999999999956</v>
      </c>
      <c r="AJ234" s="93">
        <v>339.22999999999962</v>
      </c>
      <c r="AK234" s="93">
        <v>633.95000000000016</v>
      </c>
      <c r="AL234" s="94">
        <v>565.65</v>
      </c>
      <c r="AM234" s="94">
        <v>336.70999999999901</v>
      </c>
      <c r="AN234" s="94" t="s">
        <v>779</v>
      </c>
      <c r="AO234" s="111">
        <v>0</v>
      </c>
      <c r="AP234" s="112">
        <v>0</v>
      </c>
      <c r="AQ234" s="112">
        <v>0</v>
      </c>
      <c r="AR234" s="112">
        <v>0</v>
      </c>
      <c r="AS234" s="113">
        <v>0</v>
      </c>
      <c r="AT234" s="113">
        <v>0</v>
      </c>
      <c r="AU234" s="111">
        <v>2609.9699999999998</v>
      </c>
      <c r="AV234" s="112">
        <v>2778.5899999999974</v>
      </c>
      <c r="AW234" s="112">
        <v>3131.4099999999962</v>
      </c>
      <c r="AX234" s="112">
        <v>2370.7399999999998</v>
      </c>
      <c r="AY234" s="113">
        <v>2624.78</v>
      </c>
      <c r="AZ234" s="113">
        <v>3052.78</v>
      </c>
    </row>
    <row r="235" spans="1:52" x14ac:dyDescent="0.25">
      <c r="A235" s="101" t="s">
        <v>370</v>
      </c>
      <c r="B235" s="102" t="s">
        <v>371</v>
      </c>
      <c r="C235" s="102"/>
      <c r="D235" s="102" t="s">
        <v>1048</v>
      </c>
      <c r="E235" s="103">
        <v>2.0200000000000014</v>
      </c>
      <c r="F235" s="104">
        <v>400</v>
      </c>
      <c r="G235" s="105">
        <f t="shared" si="77"/>
        <v>200</v>
      </c>
      <c r="H235" s="105">
        <v>354</v>
      </c>
      <c r="I235" s="106">
        <f t="shared" si="78"/>
        <v>0.56497175141242939</v>
      </c>
      <c r="J235" s="86">
        <v>0</v>
      </c>
      <c r="K235" s="87">
        <v>143</v>
      </c>
      <c r="L235" s="87">
        <v>0</v>
      </c>
      <c r="M235" s="87">
        <v>333</v>
      </c>
      <c r="N235" s="90">
        <v>201</v>
      </c>
      <c r="O235" s="90">
        <v>166</v>
      </c>
      <c r="P235" s="86">
        <f t="shared" si="96"/>
        <v>0</v>
      </c>
      <c r="Q235" s="87">
        <f t="shared" si="97"/>
        <v>288.86000000000018</v>
      </c>
      <c r="R235" s="87">
        <f t="shared" si="98"/>
        <v>0</v>
      </c>
      <c r="S235" s="88">
        <f t="shared" si="99"/>
        <v>672.66000000000042</v>
      </c>
      <c r="T235" s="89">
        <f t="shared" si="100"/>
        <v>406.02000000000027</v>
      </c>
      <c r="U235" s="89">
        <f t="shared" si="79"/>
        <v>335.32000000000022</v>
      </c>
      <c r="V235" s="86">
        <v>53</v>
      </c>
      <c r="W235" s="87">
        <v>73</v>
      </c>
      <c r="X235" s="87">
        <v>114</v>
      </c>
      <c r="Y235" s="87">
        <v>16</v>
      </c>
      <c r="Z235" s="90">
        <v>103</v>
      </c>
      <c r="AA235" s="90">
        <v>92</v>
      </c>
      <c r="AB235" s="91">
        <f t="shared" si="80"/>
        <v>0.14971751412429379</v>
      </c>
      <c r="AC235" s="91">
        <f t="shared" si="81"/>
        <v>0.20621468926553671</v>
      </c>
      <c r="AD235" s="91">
        <f t="shared" si="82"/>
        <v>0.32203389830508472</v>
      </c>
      <c r="AE235" s="91">
        <f t="shared" si="83"/>
        <v>4.519774011299435E-2</v>
      </c>
      <c r="AF235" s="91">
        <f t="shared" si="84"/>
        <v>0.29096045197740111</v>
      </c>
      <c r="AG235" s="91">
        <f t="shared" si="85"/>
        <v>0.25988700564971751</v>
      </c>
      <c r="AH235" s="92">
        <v>364.67999999999989</v>
      </c>
      <c r="AI235" s="93">
        <v>549.41</v>
      </c>
      <c r="AJ235" s="93">
        <v>549.41</v>
      </c>
      <c r="AK235" s="93">
        <v>599.99999999999977</v>
      </c>
      <c r="AL235" s="94">
        <v>65.89</v>
      </c>
      <c r="AM235" s="94">
        <v>223.18</v>
      </c>
      <c r="AN235" s="94" t="s">
        <v>779</v>
      </c>
      <c r="AO235" s="111">
        <v>0</v>
      </c>
      <c r="AP235" s="112">
        <v>1614.45</v>
      </c>
      <c r="AQ235" s="112">
        <v>0</v>
      </c>
      <c r="AR235" s="112">
        <v>3888.96</v>
      </c>
      <c r="AS235" s="113">
        <v>2390.7600000000002</v>
      </c>
      <c r="AT235" s="113">
        <v>1923.5</v>
      </c>
      <c r="AU235" s="111">
        <v>923.13999999999987</v>
      </c>
      <c r="AV235" s="112">
        <v>1268.6599999999987</v>
      </c>
      <c r="AW235" s="112">
        <v>1877.9399999999976</v>
      </c>
      <c r="AX235" s="112">
        <v>245.24999999999901</v>
      </c>
      <c r="AY235" s="113">
        <v>1518.29</v>
      </c>
      <c r="AZ235" s="113">
        <v>1295.20999999999</v>
      </c>
    </row>
    <row r="236" spans="1:52" x14ac:dyDescent="0.25">
      <c r="A236" s="101" t="s">
        <v>530</v>
      </c>
      <c r="B236" s="102" t="s">
        <v>531</v>
      </c>
      <c r="C236" s="102"/>
      <c r="D236" s="102" t="s">
        <v>1048</v>
      </c>
      <c r="E236" s="103">
        <v>2</v>
      </c>
      <c r="F236" s="104">
        <v>30000</v>
      </c>
      <c r="G236" s="105">
        <f t="shared" si="77"/>
        <v>15000</v>
      </c>
      <c r="H236" s="105">
        <v>259738</v>
      </c>
      <c r="I236" s="106">
        <f t="shared" si="78"/>
        <v>5.7750502429371138E-2</v>
      </c>
      <c r="J236" s="86">
        <v>6333</v>
      </c>
      <c r="K236" s="87">
        <v>10361</v>
      </c>
      <c r="L236" s="87">
        <v>8244</v>
      </c>
      <c r="M236" s="87">
        <v>10028</v>
      </c>
      <c r="N236" s="90">
        <v>11040</v>
      </c>
      <c r="O236" s="90">
        <v>6729</v>
      </c>
      <c r="P236" s="86">
        <f t="shared" si="96"/>
        <v>12666</v>
      </c>
      <c r="Q236" s="87">
        <f t="shared" si="97"/>
        <v>20722</v>
      </c>
      <c r="R236" s="87">
        <f t="shared" si="98"/>
        <v>16488</v>
      </c>
      <c r="S236" s="88">
        <f t="shared" si="99"/>
        <v>20056</v>
      </c>
      <c r="T236" s="89">
        <f t="shared" si="100"/>
        <v>22080</v>
      </c>
      <c r="U236" s="89">
        <f t="shared" si="79"/>
        <v>13458</v>
      </c>
      <c r="V236" s="86">
        <v>7773</v>
      </c>
      <c r="W236" s="87">
        <v>6041</v>
      </c>
      <c r="X236" s="87">
        <v>8947</v>
      </c>
      <c r="Y236" s="87">
        <v>12805</v>
      </c>
      <c r="Z236" s="90">
        <v>9980</v>
      </c>
      <c r="AA236" s="90">
        <v>11872</v>
      </c>
      <c r="AB236" s="91">
        <f t="shared" si="80"/>
        <v>2.9926310358900123E-2</v>
      </c>
      <c r="AC236" s="91">
        <f t="shared" si="81"/>
        <v>2.3258052345055402E-2</v>
      </c>
      <c r="AD236" s="91">
        <f t="shared" si="82"/>
        <v>3.4446249682372233E-2</v>
      </c>
      <c r="AE236" s="91">
        <f t="shared" si="83"/>
        <v>4.929967890720649E-2</v>
      </c>
      <c r="AF236" s="91">
        <f t="shared" si="84"/>
        <v>3.8423334283008259E-2</v>
      </c>
      <c r="AG236" s="91">
        <f t="shared" si="85"/>
        <v>4.5707597656099608E-2</v>
      </c>
      <c r="AH236" s="92">
        <v>12287.91</v>
      </c>
      <c r="AI236" s="93">
        <v>10133.45999999995</v>
      </c>
      <c r="AJ236" s="93">
        <v>10133.45999999995</v>
      </c>
      <c r="AK236" s="93">
        <v>13162.219999999978</v>
      </c>
      <c r="AL236" s="94">
        <v>20359.759999999998</v>
      </c>
      <c r="AM236" s="94">
        <v>21282.860000000099</v>
      </c>
      <c r="AN236" s="94" t="s">
        <v>780</v>
      </c>
      <c r="AO236" s="111">
        <v>175170.53</v>
      </c>
      <c r="AP236" s="112">
        <v>285578.65000000002</v>
      </c>
      <c r="AQ236" s="112">
        <v>225991.44</v>
      </c>
      <c r="AR236" s="112">
        <v>273164.32</v>
      </c>
      <c r="AS236" s="113">
        <v>300569.99</v>
      </c>
      <c r="AT236" s="113">
        <v>182371.19</v>
      </c>
      <c r="AU236" s="111">
        <v>225626.92000000019</v>
      </c>
      <c r="AV236" s="112">
        <v>175958.91000000056</v>
      </c>
      <c r="AW236" s="112">
        <v>258424.77999999918</v>
      </c>
      <c r="AX236" s="112">
        <v>370233.10999999801</v>
      </c>
      <c r="AY236" s="113">
        <v>288563.149999997</v>
      </c>
      <c r="AZ236" s="113">
        <v>344546.35999999801</v>
      </c>
    </row>
    <row r="237" spans="1:52" x14ac:dyDescent="0.25">
      <c r="A237" s="101" t="s">
        <v>953</v>
      </c>
      <c r="B237" s="102" t="s">
        <v>118</v>
      </c>
      <c r="C237" s="102"/>
      <c r="D237" s="102" t="s">
        <v>1048</v>
      </c>
      <c r="E237" s="103">
        <v>1.9699999999999998</v>
      </c>
      <c r="F237" s="104">
        <v>41</v>
      </c>
      <c r="G237" s="105">
        <f t="shared" si="77"/>
        <v>20.5</v>
      </c>
      <c r="H237" s="105">
        <v>205</v>
      </c>
      <c r="I237" s="106">
        <f t="shared" si="78"/>
        <v>0.1</v>
      </c>
      <c r="J237" s="86">
        <v>0</v>
      </c>
      <c r="K237" s="87">
        <v>268</v>
      </c>
      <c r="L237" s="87">
        <v>0</v>
      </c>
      <c r="M237" s="87">
        <v>0</v>
      </c>
      <c r="N237" s="90"/>
      <c r="O237" s="90">
        <v>100</v>
      </c>
      <c r="P237" s="86">
        <f t="shared" si="96"/>
        <v>0</v>
      </c>
      <c r="Q237" s="87">
        <f t="shared" si="97"/>
        <v>527.95999999999992</v>
      </c>
      <c r="R237" s="87">
        <f t="shared" si="98"/>
        <v>0</v>
      </c>
      <c r="S237" s="88">
        <f t="shared" si="99"/>
        <v>0</v>
      </c>
      <c r="T237" s="89">
        <f t="shared" si="100"/>
        <v>0</v>
      </c>
      <c r="U237" s="89">
        <f t="shared" si="79"/>
        <v>196.99999999999997</v>
      </c>
      <c r="V237" s="86">
        <v>28</v>
      </c>
      <c r="W237" s="87">
        <v>5</v>
      </c>
      <c r="X237" s="87">
        <v>9</v>
      </c>
      <c r="Y237" s="87">
        <v>13</v>
      </c>
      <c r="Z237" s="90">
        <v>11</v>
      </c>
      <c r="AA237" s="90">
        <v>1</v>
      </c>
      <c r="AB237" s="91">
        <f t="shared" si="80"/>
        <v>0.13658536585365855</v>
      </c>
      <c r="AC237" s="91">
        <f t="shared" si="81"/>
        <v>2.4390243902439025E-2</v>
      </c>
      <c r="AD237" s="91">
        <f t="shared" si="82"/>
        <v>4.3902439024390241E-2</v>
      </c>
      <c r="AE237" s="91">
        <f t="shared" si="83"/>
        <v>6.3414634146341464E-2</v>
      </c>
      <c r="AF237" s="91">
        <f t="shared" si="84"/>
        <v>5.3658536585365853E-2</v>
      </c>
      <c r="AG237" s="91">
        <f t="shared" si="85"/>
        <v>4.8780487804878049E-3</v>
      </c>
      <c r="AH237" s="92">
        <v>41.58</v>
      </c>
      <c r="AI237" s="93">
        <v>9.39</v>
      </c>
      <c r="AJ237" s="93">
        <v>9.39</v>
      </c>
      <c r="AK237" s="93">
        <v>13.260000000000002</v>
      </c>
      <c r="AL237" s="94">
        <v>26.3</v>
      </c>
      <c r="AM237" s="94">
        <v>1.97</v>
      </c>
      <c r="AN237" s="94" t="s">
        <v>779</v>
      </c>
      <c r="AO237" s="111">
        <v>0</v>
      </c>
      <c r="AP237" s="112">
        <v>857.32</v>
      </c>
      <c r="AQ237" s="112">
        <v>0</v>
      </c>
      <c r="AR237" s="112">
        <v>0</v>
      </c>
      <c r="AS237" s="113">
        <v>0</v>
      </c>
      <c r="AT237" s="113">
        <v>315</v>
      </c>
      <c r="AU237" s="111">
        <v>0</v>
      </c>
      <c r="AV237" s="112">
        <v>0</v>
      </c>
      <c r="AW237" s="112">
        <v>0</v>
      </c>
      <c r="AX237" s="112">
        <v>0</v>
      </c>
      <c r="AY237" s="113">
        <v>0</v>
      </c>
      <c r="AZ237" s="113">
        <v>0</v>
      </c>
    </row>
    <row r="238" spans="1:52" x14ac:dyDescent="0.25">
      <c r="A238" s="101" t="s">
        <v>544</v>
      </c>
      <c r="B238" s="102" t="s">
        <v>545</v>
      </c>
      <c r="C238" s="102"/>
      <c r="D238" s="102" t="s">
        <v>1048</v>
      </c>
      <c r="E238" s="103">
        <v>1.9699999999999989</v>
      </c>
      <c r="F238" s="104">
        <v>1000</v>
      </c>
      <c r="G238" s="105">
        <f t="shared" si="77"/>
        <v>500</v>
      </c>
      <c r="H238" s="105">
        <v>2238</v>
      </c>
      <c r="I238" s="106">
        <f t="shared" si="78"/>
        <v>0.22341376228775692</v>
      </c>
      <c r="J238" s="86">
        <v>0</v>
      </c>
      <c r="K238" s="87">
        <v>96</v>
      </c>
      <c r="L238" s="87">
        <v>191</v>
      </c>
      <c r="M238" s="87">
        <v>59</v>
      </c>
      <c r="N238" s="90">
        <v>30</v>
      </c>
      <c r="O238" s="90">
        <v>195</v>
      </c>
      <c r="P238" s="86">
        <f t="shared" si="96"/>
        <v>0</v>
      </c>
      <c r="Q238" s="87">
        <f t="shared" si="97"/>
        <v>189.11999999999989</v>
      </c>
      <c r="R238" s="87">
        <f t="shared" si="98"/>
        <v>376.26999999999975</v>
      </c>
      <c r="S238" s="88">
        <f t="shared" si="99"/>
        <v>116.22999999999993</v>
      </c>
      <c r="T238" s="89">
        <f t="shared" si="100"/>
        <v>59.099999999999966</v>
      </c>
      <c r="U238" s="89">
        <f t="shared" si="79"/>
        <v>384.14999999999975</v>
      </c>
      <c r="V238" s="86">
        <v>29</v>
      </c>
      <c r="W238" s="87">
        <v>159</v>
      </c>
      <c r="X238" s="87">
        <v>4</v>
      </c>
      <c r="Y238" s="87">
        <v>91</v>
      </c>
      <c r="Z238" s="90">
        <v>119</v>
      </c>
      <c r="AA238" s="90">
        <v>122</v>
      </c>
      <c r="AB238" s="91">
        <f t="shared" si="80"/>
        <v>1.2957998212689902E-2</v>
      </c>
      <c r="AC238" s="91">
        <f t="shared" si="81"/>
        <v>7.1045576407506708E-2</v>
      </c>
      <c r="AD238" s="91">
        <f t="shared" si="82"/>
        <v>1.7873100983020554E-3</v>
      </c>
      <c r="AE238" s="91">
        <f t="shared" si="83"/>
        <v>4.0661304736371758E-2</v>
      </c>
      <c r="AF238" s="91">
        <f t="shared" si="84"/>
        <v>5.3172475424486151E-2</v>
      </c>
      <c r="AG238" s="91">
        <f t="shared" si="85"/>
        <v>5.4512957998212687E-2</v>
      </c>
      <c r="AH238" s="92">
        <v>64.66</v>
      </c>
      <c r="AI238" s="93">
        <v>291.33000000000004</v>
      </c>
      <c r="AJ238" s="93">
        <v>291.33</v>
      </c>
      <c r="AK238" s="93">
        <v>5.54</v>
      </c>
      <c r="AL238" s="94">
        <v>175.5</v>
      </c>
      <c r="AM238" s="94">
        <v>236.85</v>
      </c>
      <c r="AN238" s="94" t="s">
        <v>780</v>
      </c>
      <c r="AO238" s="111">
        <v>0</v>
      </c>
      <c r="AP238" s="112">
        <v>2495.7199999999998</v>
      </c>
      <c r="AQ238" s="112">
        <v>5517.64</v>
      </c>
      <c r="AR238" s="112">
        <v>1696.84</v>
      </c>
      <c r="AS238" s="113">
        <v>862.8</v>
      </c>
      <c r="AT238" s="113">
        <v>5673.17</v>
      </c>
      <c r="AU238" s="111">
        <v>903.62999999999988</v>
      </c>
      <c r="AV238" s="112">
        <v>4903.4999999999955</v>
      </c>
      <c r="AW238" s="112">
        <v>121.86</v>
      </c>
      <c r="AX238" s="112">
        <v>2800.85</v>
      </c>
      <c r="AY238" s="113">
        <v>3645.45999999999</v>
      </c>
      <c r="AZ238" s="113">
        <v>3723.1099999999901</v>
      </c>
    </row>
    <row r="239" spans="1:52" x14ac:dyDescent="0.25">
      <c r="A239" s="101" t="s">
        <v>954</v>
      </c>
      <c r="B239" s="102" t="s">
        <v>141</v>
      </c>
      <c r="C239" s="102"/>
      <c r="D239" s="102" t="s">
        <v>1048</v>
      </c>
      <c r="E239" s="103">
        <v>1.9600000000000004</v>
      </c>
      <c r="F239" s="104">
        <v>2500</v>
      </c>
      <c r="G239" s="105">
        <f t="shared" si="77"/>
        <v>1250</v>
      </c>
      <c r="H239" s="105">
        <v>3096</v>
      </c>
      <c r="I239" s="106">
        <f t="shared" si="78"/>
        <v>0.40374677002583981</v>
      </c>
      <c r="J239" s="86">
        <v>760</v>
      </c>
      <c r="K239" s="87">
        <v>686</v>
      </c>
      <c r="L239" s="87">
        <v>0</v>
      </c>
      <c r="M239" s="87">
        <v>100</v>
      </c>
      <c r="N239" s="90">
        <v>558</v>
      </c>
      <c r="O239" s="90">
        <v>831</v>
      </c>
      <c r="P239" s="86">
        <f t="shared" si="96"/>
        <v>1489.6000000000004</v>
      </c>
      <c r="Q239" s="87">
        <f t="shared" si="97"/>
        <v>1344.5600000000002</v>
      </c>
      <c r="R239" s="87">
        <f t="shared" si="98"/>
        <v>0</v>
      </c>
      <c r="S239" s="88">
        <f t="shared" si="99"/>
        <v>196.00000000000003</v>
      </c>
      <c r="T239" s="89">
        <f t="shared" si="100"/>
        <v>1093.6800000000003</v>
      </c>
      <c r="U239" s="89">
        <f t="shared" si="79"/>
        <v>1628.7600000000004</v>
      </c>
      <c r="V239" s="86">
        <v>585</v>
      </c>
      <c r="W239" s="87">
        <v>746</v>
      </c>
      <c r="X239" s="87">
        <v>623</v>
      </c>
      <c r="Y239" s="87">
        <v>1093</v>
      </c>
      <c r="Z239" s="90">
        <v>730</v>
      </c>
      <c r="AA239" s="90">
        <v>589</v>
      </c>
      <c r="AB239" s="91">
        <f t="shared" si="80"/>
        <v>0.18895348837209303</v>
      </c>
      <c r="AC239" s="91">
        <f t="shared" si="81"/>
        <v>0.24095607235142119</v>
      </c>
      <c r="AD239" s="91">
        <f t="shared" si="82"/>
        <v>0.20122739018087854</v>
      </c>
      <c r="AE239" s="91">
        <f t="shared" si="83"/>
        <v>0.35303617571059431</v>
      </c>
      <c r="AF239" s="91">
        <f t="shared" si="84"/>
        <v>0.23578811369509045</v>
      </c>
      <c r="AG239" s="91">
        <f t="shared" si="85"/>
        <v>0.1902454780361757</v>
      </c>
      <c r="AH239" s="92">
        <v>896.73999999999921</v>
      </c>
      <c r="AI239" s="93">
        <v>1137.9599999999989</v>
      </c>
      <c r="AJ239" s="93">
        <v>1137.9599999999987</v>
      </c>
      <c r="AK239" s="93">
        <v>1095.3699999999985</v>
      </c>
      <c r="AL239" s="94">
        <v>1064.25</v>
      </c>
      <c r="AM239" s="94">
        <v>545.66999999999905</v>
      </c>
      <c r="AN239" s="94" t="s">
        <v>779</v>
      </c>
      <c r="AO239" s="111">
        <v>2633.8</v>
      </c>
      <c r="AP239" s="112">
        <v>2383.2799999999997</v>
      </c>
      <c r="AQ239" s="112">
        <v>0</v>
      </c>
      <c r="AR239" s="112">
        <v>345</v>
      </c>
      <c r="AS239" s="113">
        <v>1920</v>
      </c>
      <c r="AT239" s="113">
        <v>2834.5400000000004</v>
      </c>
      <c r="AU239" s="111">
        <v>0</v>
      </c>
      <c r="AV239" s="112">
        <v>0</v>
      </c>
      <c r="AW239" s="112">
        <v>0</v>
      </c>
      <c r="AX239" s="112">
        <v>0</v>
      </c>
      <c r="AY239" s="113">
        <v>0</v>
      </c>
      <c r="AZ239" s="113">
        <v>0</v>
      </c>
    </row>
    <row r="240" spans="1:52" x14ac:dyDescent="0.25">
      <c r="A240" s="101" t="s">
        <v>955</v>
      </c>
      <c r="B240" s="102" t="s">
        <v>160</v>
      </c>
      <c r="C240" s="102"/>
      <c r="D240" s="102" t="s">
        <v>1048</v>
      </c>
      <c r="E240" s="103">
        <v>1.96</v>
      </c>
      <c r="F240" s="104">
        <v>4000</v>
      </c>
      <c r="G240" s="105">
        <f t="shared" si="77"/>
        <v>2000</v>
      </c>
      <c r="H240" s="105">
        <v>7196</v>
      </c>
      <c r="I240" s="106">
        <f t="shared" si="78"/>
        <v>0.27793218454697055</v>
      </c>
      <c r="J240" s="86">
        <v>300</v>
      </c>
      <c r="K240" s="87">
        <v>0</v>
      </c>
      <c r="L240" s="87">
        <v>70</v>
      </c>
      <c r="M240" s="87">
        <v>0</v>
      </c>
      <c r="N240" s="90">
        <v>1197</v>
      </c>
      <c r="O240" s="90">
        <v>8004</v>
      </c>
      <c r="P240" s="86">
        <f t="shared" si="96"/>
        <v>588</v>
      </c>
      <c r="Q240" s="87">
        <f t="shared" si="97"/>
        <v>0</v>
      </c>
      <c r="R240" s="87">
        <f t="shared" si="98"/>
        <v>137.19999999999999</v>
      </c>
      <c r="S240" s="88">
        <f t="shared" si="99"/>
        <v>0</v>
      </c>
      <c r="T240" s="89">
        <f t="shared" si="100"/>
        <v>2346.12</v>
      </c>
      <c r="U240" s="89">
        <f t="shared" si="79"/>
        <v>15687.84</v>
      </c>
      <c r="V240" s="86">
        <v>2222</v>
      </c>
      <c r="W240" s="87">
        <v>1687</v>
      </c>
      <c r="X240" s="87">
        <v>2358</v>
      </c>
      <c r="Y240" s="87">
        <v>2223</v>
      </c>
      <c r="Z240" s="90">
        <v>2646</v>
      </c>
      <c r="AA240" s="90">
        <v>2667</v>
      </c>
      <c r="AB240" s="91">
        <f t="shared" si="80"/>
        <v>0.30878265703168428</v>
      </c>
      <c r="AC240" s="91">
        <f t="shared" si="81"/>
        <v>0.23443579766536965</v>
      </c>
      <c r="AD240" s="91">
        <f t="shared" si="82"/>
        <v>0.32768204558087827</v>
      </c>
      <c r="AE240" s="91">
        <f t="shared" si="83"/>
        <v>0.30892162312395777</v>
      </c>
      <c r="AF240" s="91">
        <f t="shared" si="84"/>
        <v>0.36770428015564205</v>
      </c>
      <c r="AG240" s="91">
        <f t="shared" si="85"/>
        <v>0.37062256809338523</v>
      </c>
      <c r="AH240" s="92">
        <v>5724.7300000000087</v>
      </c>
      <c r="AI240" s="93">
        <v>3946.0999999999926</v>
      </c>
      <c r="AJ240" s="93">
        <v>3946.099999999994</v>
      </c>
      <c r="AK240" s="93">
        <v>3617.6499999999942</v>
      </c>
      <c r="AL240" s="94">
        <v>2656.1299999999801</v>
      </c>
      <c r="AM240" s="94">
        <v>2915.58</v>
      </c>
      <c r="AN240" s="94" t="s">
        <v>779</v>
      </c>
      <c r="AO240" s="111">
        <v>1425</v>
      </c>
      <c r="AP240" s="112">
        <v>0</v>
      </c>
      <c r="AQ240" s="112">
        <v>245</v>
      </c>
      <c r="AR240" s="112">
        <v>0</v>
      </c>
      <c r="AS240" s="113">
        <v>4201.47</v>
      </c>
      <c r="AT240" s="113">
        <v>31495.64</v>
      </c>
      <c r="AU240" s="111">
        <v>0</v>
      </c>
      <c r="AV240" s="112">
        <v>0</v>
      </c>
      <c r="AW240" s="112">
        <v>0</v>
      </c>
      <c r="AX240" s="112">
        <v>0</v>
      </c>
      <c r="AY240" s="113">
        <v>0</v>
      </c>
      <c r="AZ240" s="113">
        <v>0</v>
      </c>
    </row>
    <row r="241" spans="1:52" x14ac:dyDescent="0.25">
      <c r="A241" s="101" t="s">
        <v>956</v>
      </c>
      <c r="B241" s="102" t="s">
        <v>291</v>
      </c>
      <c r="C241" s="102"/>
      <c r="D241" s="102" t="s">
        <v>1048</v>
      </c>
      <c r="E241" s="103">
        <v>1.9499999999999993</v>
      </c>
      <c r="F241" s="104">
        <v>700</v>
      </c>
      <c r="G241" s="105">
        <f t="shared" si="77"/>
        <v>350</v>
      </c>
      <c r="H241" s="105">
        <v>6408</v>
      </c>
      <c r="I241" s="106">
        <f t="shared" si="78"/>
        <v>5.4619225967540576E-2</v>
      </c>
      <c r="J241" s="86">
        <v>306</v>
      </c>
      <c r="K241" s="87">
        <v>380</v>
      </c>
      <c r="L241" s="87">
        <v>860</v>
      </c>
      <c r="M241" s="87">
        <v>151</v>
      </c>
      <c r="N241" s="90">
        <v>209</v>
      </c>
      <c r="O241" s="90">
        <v>0</v>
      </c>
      <c r="P241" s="86">
        <f t="shared" si="96"/>
        <v>596.69999999999982</v>
      </c>
      <c r="Q241" s="87">
        <f t="shared" si="97"/>
        <v>740.99999999999977</v>
      </c>
      <c r="R241" s="87">
        <f t="shared" si="98"/>
        <v>1676.9999999999993</v>
      </c>
      <c r="S241" s="88">
        <f t="shared" si="99"/>
        <v>294.44999999999987</v>
      </c>
      <c r="T241" s="89">
        <f t="shared" si="100"/>
        <v>407.54999999999984</v>
      </c>
      <c r="U241" s="89">
        <f t="shared" si="79"/>
        <v>0</v>
      </c>
      <c r="V241" s="86">
        <v>143</v>
      </c>
      <c r="W241" s="87">
        <v>136</v>
      </c>
      <c r="X241" s="87">
        <v>60</v>
      </c>
      <c r="Y241" s="87">
        <v>0</v>
      </c>
      <c r="Z241" s="90">
        <v>100</v>
      </c>
      <c r="AA241" s="90">
        <v>0</v>
      </c>
      <c r="AB241" s="91">
        <f t="shared" si="80"/>
        <v>2.2315855181023719E-2</v>
      </c>
      <c r="AC241" s="91">
        <f t="shared" si="81"/>
        <v>2.1223470661672909E-2</v>
      </c>
      <c r="AD241" s="91">
        <f t="shared" si="82"/>
        <v>9.3632958801498131E-3</v>
      </c>
      <c r="AE241" s="91">
        <f t="shared" si="83"/>
        <v>0</v>
      </c>
      <c r="AF241" s="91">
        <f t="shared" si="84"/>
        <v>1.5605493133583021E-2</v>
      </c>
      <c r="AG241" s="91">
        <f t="shared" si="85"/>
        <v>0</v>
      </c>
      <c r="AH241" s="92">
        <v>418.97</v>
      </c>
      <c r="AI241" s="93">
        <v>607.99999999999966</v>
      </c>
      <c r="AJ241" s="93">
        <v>607.99999999999989</v>
      </c>
      <c r="AK241" s="93">
        <v>260.85000000000002</v>
      </c>
      <c r="AL241" s="94">
        <v>194.99999999999994</v>
      </c>
      <c r="AM241" s="94">
        <v>0</v>
      </c>
      <c r="AN241" s="94" t="s">
        <v>779</v>
      </c>
      <c r="AO241" s="111">
        <v>2275.98</v>
      </c>
      <c r="AP241" s="112">
        <v>2852</v>
      </c>
      <c r="AQ241" s="112">
        <v>6503</v>
      </c>
      <c r="AR241" s="112">
        <v>1130.01</v>
      </c>
      <c r="AS241" s="113">
        <v>1583.75</v>
      </c>
      <c r="AT241" s="113">
        <v>0</v>
      </c>
      <c r="AU241" s="111">
        <v>0</v>
      </c>
      <c r="AV241" s="112">
        <v>0</v>
      </c>
      <c r="AW241" s="112">
        <v>0</v>
      </c>
      <c r="AX241" s="112">
        <v>0</v>
      </c>
      <c r="AY241" s="113">
        <v>0</v>
      </c>
      <c r="AZ241" s="113">
        <v>0</v>
      </c>
    </row>
    <row r="242" spans="1:52" x14ac:dyDescent="0.25">
      <c r="A242" s="101" t="s">
        <v>341</v>
      </c>
      <c r="B242" s="102" t="s">
        <v>342</v>
      </c>
      <c r="C242" s="102"/>
      <c r="D242" s="102" t="s">
        <v>1048</v>
      </c>
      <c r="E242" s="103">
        <v>1.9300000000000015</v>
      </c>
      <c r="F242" s="104">
        <v>3000</v>
      </c>
      <c r="G242" s="105">
        <f t="shared" si="77"/>
        <v>1500</v>
      </c>
      <c r="H242" s="105">
        <v>1191</v>
      </c>
      <c r="I242" s="106">
        <f t="shared" si="78"/>
        <v>1.2594458438287153</v>
      </c>
      <c r="J242" s="86">
        <v>219</v>
      </c>
      <c r="K242" s="87">
        <v>240</v>
      </c>
      <c r="L242" s="87">
        <v>0</v>
      </c>
      <c r="M242" s="87">
        <v>0</v>
      </c>
      <c r="N242" s="90">
        <v>1153</v>
      </c>
      <c r="O242" s="90">
        <v>539</v>
      </c>
      <c r="P242" s="86">
        <f t="shared" si="96"/>
        <v>422.6700000000003</v>
      </c>
      <c r="Q242" s="87">
        <f t="shared" si="97"/>
        <v>463.20000000000039</v>
      </c>
      <c r="R242" s="87">
        <f t="shared" si="98"/>
        <v>0</v>
      </c>
      <c r="S242" s="88">
        <f t="shared" si="99"/>
        <v>0</v>
      </c>
      <c r="T242" s="89">
        <f t="shared" si="100"/>
        <v>2225.2900000000018</v>
      </c>
      <c r="U242" s="89">
        <f t="shared" si="79"/>
        <v>1040.2700000000009</v>
      </c>
      <c r="V242" s="86">
        <v>424</v>
      </c>
      <c r="W242" s="87">
        <v>501</v>
      </c>
      <c r="X242" s="87">
        <v>240</v>
      </c>
      <c r="Y242" s="87">
        <v>0</v>
      </c>
      <c r="Z242" s="90">
        <v>44</v>
      </c>
      <c r="AA242" s="90">
        <v>1105</v>
      </c>
      <c r="AB242" s="91">
        <f t="shared" si="80"/>
        <v>0.35600335852225024</v>
      </c>
      <c r="AC242" s="91">
        <f t="shared" si="81"/>
        <v>0.42065491183879095</v>
      </c>
      <c r="AD242" s="91">
        <f t="shared" si="82"/>
        <v>0.20151133501259447</v>
      </c>
      <c r="AE242" s="91">
        <f t="shared" si="83"/>
        <v>0</v>
      </c>
      <c r="AF242" s="91">
        <f t="shared" si="84"/>
        <v>3.6943744752308987E-2</v>
      </c>
      <c r="AG242" s="91">
        <f t="shared" si="85"/>
        <v>0.92779177162048698</v>
      </c>
      <c r="AH242" s="92">
        <v>845.70999999999992</v>
      </c>
      <c r="AI242" s="93">
        <v>977.78999999999689</v>
      </c>
      <c r="AJ242" s="93">
        <v>977.78999999999689</v>
      </c>
      <c r="AK242" s="93">
        <v>493.8</v>
      </c>
      <c r="AL242" s="94">
        <v>84.920000000000073</v>
      </c>
      <c r="AM242" s="94">
        <v>2075.25</v>
      </c>
      <c r="AN242" s="94" t="s">
        <v>779</v>
      </c>
      <c r="AO242" s="111">
        <v>2195.58</v>
      </c>
      <c r="AP242" s="112">
        <v>2361.6</v>
      </c>
      <c r="AQ242" s="112">
        <v>0</v>
      </c>
      <c r="AR242" s="112">
        <v>0</v>
      </c>
      <c r="AS242" s="113">
        <v>11421.75</v>
      </c>
      <c r="AT242" s="113">
        <v>5344.17</v>
      </c>
      <c r="AU242" s="111">
        <v>5009.97</v>
      </c>
      <c r="AV242" s="112">
        <v>5861.6099999999897</v>
      </c>
      <c r="AW242" s="112">
        <v>2828.99999999999</v>
      </c>
      <c r="AX242" s="112">
        <v>-0.75999999999999801</v>
      </c>
      <c r="AY242" s="113">
        <v>518.6</v>
      </c>
      <c r="AZ242" s="113">
        <v>12992.6499999999</v>
      </c>
    </row>
    <row r="243" spans="1:52" x14ac:dyDescent="0.25">
      <c r="A243" s="101" t="s">
        <v>400</v>
      </c>
      <c r="B243" s="102" t="s">
        <v>401</v>
      </c>
      <c r="C243" s="102"/>
      <c r="D243" s="102" t="s">
        <v>1048</v>
      </c>
      <c r="E243" s="103">
        <v>1.9300000000000015</v>
      </c>
      <c r="F243" s="104">
        <v>200</v>
      </c>
      <c r="G243" s="105">
        <f t="shared" si="77"/>
        <v>100</v>
      </c>
      <c r="H243" s="105">
        <v>589</v>
      </c>
      <c r="I243" s="106">
        <f t="shared" si="78"/>
        <v>0.1697792869269949</v>
      </c>
      <c r="J243" s="86">
        <v>170</v>
      </c>
      <c r="K243" s="87">
        <v>375</v>
      </c>
      <c r="L243" s="87">
        <v>50</v>
      </c>
      <c r="M243" s="87">
        <v>100</v>
      </c>
      <c r="N243" s="90">
        <v>230</v>
      </c>
      <c r="O243" s="90">
        <v>0</v>
      </c>
      <c r="P243" s="86">
        <f t="shared" si="96"/>
        <v>328.10000000000025</v>
      </c>
      <c r="Q243" s="87">
        <f t="shared" si="97"/>
        <v>723.75000000000057</v>
      </c>
      <c r="R243" s="87">
        <f t="shared" si="98"/>
        <v>96.500000000000071</v>
      </c>
      <c r="S243" s="88">
        <f t="shared" si="99"/>
        <v>193.00000000000014</v>
      </c>
      <c r="T243" s="89">
        <f t="shared" si="100"/>
        <v>443.90000000000032</v>
      </c>
      <c r="U243" s="89">
        <f t="shared" si="79"/>
        <v>0</v>
      </c>
      <c r="V243" s="86">
        <v>54</v>
      </c>
      <c r="W243" s="87">
        <v>377</v>
      </c>
      <c r="X243" s="87">
        <v>168</v>
      </c>
      <c r="Y243" s="87">
        <v>83</v>
      </c>
      <c r="Z243" s="90">
        <v>206</v>
      </c>
      <c r="AA243" s="90">
        <v>111</v>
      </c>
      <c r="AB243" s="91">
        <f t="shared" si="80"/>
        <v>9.1680814940577254E-2</v>
      </c>
      <c r="AC243" s="91">
        <f t="shared" si="81"/>
        <v>0.64006791171477084</v>
      </c>
      <c r="AD243" s="91">
        <f t="shared" si="82"/>
        <v>0.28522920203735147</v>
      </c>
      <c r="AE243" s="91">
        <f t="shared" si="83"/>
        <v>0.14091680814940577</v>
      </c>
      <c r="AF243" s="91">
        <f t="shared" si="84"/>
        <v>0.34974533106960953</v>
      </c>
      <c r="AG243" s="91">
        <f t="shared" si="85"/>
        <v>0.18845500848896435</v>
      </c>
      <c r="AH243" s="92">
        <v>110.48</v>
      </c>
      <c r="AI243" s="93">
        <v>645.26999999999987</v>
      </c>
      <c r="AJ243" s="93">
        <v>645.27000000000021</v>
      </c>
      <c r="AK243" s="93">
        <v>495.30999999999966</v>
      </c>
      <c r="AL243" s="94">
        <v>385.2</v>
      </c>
      <c r="AM243" s="94">
        <v>190.63</v>
      </c>
      <c r="AN243" s="94" t="s">
        <v>779</v>
      </c>
      <c r="AO243" s="111">
        <v>2276.3000000000002</v>
      </c>
      <c r="AP243" s="112">
        <v>5000.25</v>
      </c>
      <c r="AQ243" s="112">
        <v>672.5</v>
      </c>
      <c r="AR243" s="112">
        <v>1327</v>
      </c>
      <c r="AS243" s="113">
        <v>3040.6</v>
      </c>
      <c r="AT243" s="113">
        <v>0</v>
      </c>
      <c r="AU243" s="111">
        <v>833.49</v>
      </c>
      <c r="AV243" s="112">
        <v>5685.7599999999884</v>
      </c>
      <c r="AW243" s="112">
        <v>2738.0499999999993</v>
      </c>
      <c r="AX243" s="112">
        <v>1493.0699999999899</v>
      </c>
      <c r="AY243" s="113">
        <v>3385.83</v>
      </c>
      <c r="AZ243" s="113">
        <v>1665.59</v>
      </c>
    </row>
    <row r="244" spans="1:52" x14ac:dyDescent="0.25">
      <c r="A244" s="101" t="s">
        <v>75</v>
      </c>
      <c r="B244" s="102" t="s">
        <v>76</v>
      </c>
      <c r="C244" s="102"/>
      <c r="D244" s="102" t="s">
        <v>1048</v>
      </c>
      <c r="E244" s="103">
        <v>1.9300000000000002</v>
      </c>
      <c r="F244" s="104">
        <v>2000</v>
      </c>
      <c r="G244" s="105">
        <f t="shared" si="77"/>
        <v>1000</v>
      </c>
      <c r="H244" s="105">
        <v>7131</v>
      </c>
      <c r="I244" s="106">
        <f t="shared" si="78"/>
        <v>0.14023278642546627</v>
      </c>
      <c r="J244" s="86">
        <v>8725</v>
      </c>
      <c r="K244" s="87">
        <v>2937</v>
      </c>
      <c r="L244" s="87">
        <v>1298</v>
      </c>
      <c r="M244" s="87">
        <v>65</v>
      </c>
      <c r="N244" s="90">
        <v>1038</v>
      </c>
      <c r="O244" s="90">
        <v>1820</v>
      </c>
      <c r="P244" s="86">
        <f t="shared" si="96"/>
        <v>16839.25</v>
      </c>
      <c r="Q244" s="87">
        <f t="shared" si="97"/>
        <v>5668.4100000000008</v>
      </c>
      <c r="R244" s="87">
        <f t="shared" si="98"/>
        <v>2505.1400000000003</v>
      </c>
      <c r="S244" s="88">
        <f t="shared" si="99"/>
        <v>125.45000000000002</v>
      </c>
      <c r="T244" s="89">
        <f t="shared" si="100"/>
        <v>2003.3400000000001</v>
      </c>
      <c r="U244" s="89">
        <f t="shared" si="79"/>
        <v>3512.6000000000004</v>
      </c>
      <c r="V244" s="86">
        <v>2181</v>
      </c>
      <c r="W244" s="87">
        <v>3120</v>
      </c>
      <c r="X244" s="87">
        <v>3198</v>
      </c>
      <c r="Y244" s="87">
        <v>2415</v>
      </c>
      <c r="Z244" s="90">
        <v>64</v>
      </c>
      <c r="AA244" s="90">
        <v>630</v>
      </c>
      <c r="AB244" s="91">
        <f t="shared" si="80"/>
        <v>0.30584770719394194</v>
      </c>
      <c r="AC244" s="91">
        <f t="shared" si="81"/>
        <v>0.43752629364745477</v>
      </c>
      <c r="AD244" s="91">
        <f t="shared" si="82"/>
        <v>0.44846445098864113</v>
      </c>
      <c r="AE244" s="91">
        <f t="shared" si="83"/>
        <v>0.33866217921750102</v>
      </c>
      <c r="AF244" s="91">
        <f t="shared" si="84"/>
        <v>8.9748983312298407E-3</v>
      </c>
      <c r="AG244" s="91">
        <f t="shared" si="85"/>
        <v>8.8346655448043751E-2</v>
      </c>
      <c r="AH244" s="92">
        <v>2976.2100000000032</v>
      </c>
      <c r="AI244" s="93">
        <v>3674.2799999999902</v>
      </c>
      <c r="AJ244" s="93">
        <v>3674.2799999999907</v>
      </c>
      <c r="AK244" s="93">
        <v>3931.4499999999907</v>
      </c>
      <c r="AL244" s="94">
        <v>3139.0899999999901</v>
      </c>
      <c r="AM244" s="94">
        <v>813.91999999999803</v>
      </c>
      <c r="AN244" s="94" t="s">
        <v>779</v>
      </c>
      <c r="AO244" s="111">
        <v>17861.670000000002</v>
      </c>
      <c r="AP244" s="112">
        <v>6081.15</v>
      </c>
      <c r="AQ244" s="112">
        <v>2695.6</v>
      </c>
      <c r="AR244" s="112">
        <v>126.75</v>
      </c>
      <c r="AS244" s="113">
        <v>2129.75</v>
      </c>
      <c r="AT244" s="113">
        <v>3706.7699999999995</v>
      </c>
      <c r="AU244" s="111">
        <v>7484.5300000000043</v>
      </c>
      <c r="AV244" s="112">
        <v>10096.099999999997</v>
      </c>
      <c r="AW244" s="112">
        <v>10510.319999999976</v>
      </c>
      <c r="AX244" s="112">
        <v>8138.1400000000403</v>
      </c>
      <c r="AY244" s="113">
        <v>214.86999999999901</v>
      </c>
      <c r="AZ244" s="113">
        <v>2098.9399999999901</v>
      </c>
    </row>
    <row r="245" spans="1:52" x14ac:dyDescent="0.25">
      <c r="A245" s="101" t="s">
        <v>157</v>
      </c>
      <c r="B245" s="102" t="s">
        <v>158</v>
      </c>
      <c r="C245" s="102"/>
      <c r="D245" s="102" t="s">
        <v>1048</v>
      </c>
      <c r="E245" s="103">
        <v>1.9200000000000004</v>
      </c>
      <c r="F245" s="104">
        <v>500</v>
      </c>
      <c r="G245" s="105">
        <f t="shared" si="77"/>
        <v>250</v>
      </c>
      <c r="H245" s="105">
        <v>876</v>
      </c>
      <c r="I245" s="106">
        <f t="shared" si="78"/>
        <v>0.28538812785388129</v>
      </c>
      <c r="J245" s="86">
        <v>0</v>
      </c>
      <c r="K245" s="87">
        <v>0</v>
      </c>
      <c r="L245" s="87">
        <v>0</v>
      </c>
      <c r="M245" s="87">
        <v>100</v>
      </c>
      <c r="N245" s="90"/>
      <c r="O245" s="90">
        <v>1050</v>
      </c>
      <c r="P245" s="86">
        <f t="shared" si="96"/>
        <v>0</v>
      </c>
      <c r="Q245" s="87">
        <f t="shared" si="97"/>
        <v>0</v>
      </c>
      <c r="R245" s="87">
        <f t="shared" si="98"/>
        <v>0</v>
      </c>
      <c r="S245" s="88">
        <f t="shared" si="99"/>
        <v>192.00000000000003</v>
      </c>
      <c r="T245" s="89">
        <f t="shared" si="100"/>
        <v>0</v>
      </c>
      <c r="U245" s="89">
        <f t="shared" si="79"/>
        <v>2016.0000000000005</v>
      </c>
      <c r="V245" s="86">
        <v>0</v>
      </c>
      <c r="W245" s="87">
        <v>100</v>
      </c>
      <c r="X245" s="87">
        <v>100</v>
      </c>
      <c r="Y245" s="87">
        <v>197</v>
      </c>
      <c r="Z245" s="90">
        <v>256</v>
      </c>
      <c r="AA245" s="90">
        <v>115</v>
      </c>
      <c r="AB245" s="91">
        <f t="shared" si="80"/>
        <v>0</v>
      </c>
      <c r="AC245" s="91">
        <f t="shared" si="81"/>
        <v>0.11415525114155251</v>
      </c>
      <c r="AD245" s="91">
        <f t="shared" si="82"/>
        <v>0.11415525114155251</v>
      </c>
      <c r="AE245" s="91">
        <f t="shared" si="83"/>
        <v>0.22488584474885845</v>
      </c>
      <c r="AF245" s="91">
        <f t="shared" si="84"/>
        <v>0.29223744292237441</v>
      </c>
      <c r="AG245" s="91">
        <f t="shared" si="85"/>
        <v>0.13127853881278539</v>
      </c>
      <c r="AH245" s="92">
        <v>0</v>
      </c>
      <c r="AI245" s="93">
        <v>1.9499999999999971</v>
      </c>
      <c r="AJ245" s="93">
        <v>192.00000000000003</v>
      </c>
      <c r="AK245" s="93">
        <v>82.139999999999986</v>
      </c>
      <c r="AL245" s="94">
        <v>130.29</v>
      </c>
      <c r="AM245" s="94">
        <v>102.97</v>
      </c>
      <c r="AN245" s="94" t="s">
        <v>779</v>
      </c>
      <c r="AO245" s="111">
        <v>0</v>
      </c>
      <c r="AP245" s="112">
        <v>0</v>
      </c>
      <c r="AQ245" s="112">
        <v>0</v>
      </c>
      <c r="AR245" s="112">
        <v>388</v>
      </c>
      <c r="AS245" s="113">
        <v>0</v>
      </c>
      <c r="AT245" s="113">
        <v>4043</v>
      </c>
      <c r="AU245" s="111">
        <v>0</v>
      </c>
      <c r="AV245" s="112">
        <v>431.94999999999902</v>
      </c>
      <c r="AW245" s="112">
        <v>512.13999999999987</v>
      </c>
      <c r="AX245" s="112">
        <v>977.38999999999896</v>
      </c>
      <c r="AY245" s="113">
        <v>1183.02999999999</v>
      </c>
      <c r="AZ245" s="113">
        <v>551.04999999999995</v>
      </c>
    </row>
    <row r="246" spans="1:52" x14ac:dyDescent="0.25">
      <c r="A246" s="101" t="s">
        <v>73</v>
      </c>
      <c r="B246" s="102" t="s">
        <v>74</v>
      </c>
      <c r="C246" s="102"/>
      <c r="D246" s="102" t="s">
        <v>1048</v>
      </c>
      <c r="E246" s="103">
        <v>1.91</v>
      </c>
      <c r="F246" s="104">
        <v>1397.8000000000002</v>
      </c>
      <c r="G246" s="105">
        <f t="shared" si="77"/>
        <v>698.90000000000009</v>
      </c>
      <c r="H246" s="105">
        <v>6989</v>
      </c>
      <c r="I246" s="106">
        <f t="shared" si="78"/>
        <v>0.10000000000000002</v>
      </c>
      <c r="J246" s="86">
        <v>295</v>
      </c>
      <c r="K246" s="87">
        <v>0</v>
      </c>
      <c r="L246" s="87">
        <v>0</v>
      </c>
      <c r="M246" s="87">
        <v>0</v>
      </c>
      <c r="N246" s="90"/>
      <c r="O246" s="90">
        <v>0</v>
      </c>
      <c r="P246" s="86">
        <f t="shared" si="96"/>
        <v>563.44999999999993</v>
      </c>
      <c r="Q246" s="87">
        <f t="shared" si="97"/>
        <v>0</v>
      </c>
      <c r="R246" s="87">
        <f t="shared" si="98"/>
        <v>0</v>
      </c>
      <c r="S246" s="88">
        <f t="shared" si="99"/>
        <v>0</v>
      </c>
      <c r="T246" s="89">
        <f t="shared" si="100"/>
        <v>0</v>
      </c>
      <c r="U246" s="89">
        <f t="shared" si="79"/>
        <v>0</v>
      </c>
      <c r="V246" s="86">
        <v>23</v>
      </c>
      <c r="W246" s="87">
        <v>114</v>
      </c>
      <c r="X246" s="87">
        <v>1378</v>
      </c>
      <c r="Y246" s="87">
        <v>1703</v>
      </c>
      <c r="Z246" s="90">
        <v>104</v>
      </c>
      <c r="AA246" s="90">
        <v>0</v>
      </c>
      <c r="AB246" s="91">
        <f t="shared" si="80"/>
        <v>3.2908856774932038E-3</v>
      </c>
      <c r="AC246" s="91">
        <f t="shared" si="81"/>
        <v>1.6311346401488052E-2</v>
      </c>
      <c r="AD246" s="91">
        <f t="shared" si="82"/>
        <v>0.19716697667763627</v>
      </c>
      <c r="AE246" s="91">
        <f t="shared" si="83"/>
        <v>0.24366862212047502</v>
      </c>
      <c r="AF246" s="91">
        <f t="shared" si="84"/>
        <v>1.4880526541708398E-2</v>
      </c>
      <c r="AG246" s="91">
        <f t="shared" si="85"/>
        <v>0</v>
      </c>
      <c r="AH246" s="92">
        <v>7.2899999999999991</v>
      </c>
      <c r="AI246" s="93">
        <v>8.5599999999999987</v>
      </c>
      <c r="AJ246" s="93">
        <v>8.56</v>
      </c>
      <c r="AK246" s="93">
        <v>292.34999999999957</v>
      </c>
      <c r="AL246" s="94">
        <v>420.469999999999</v>
      </c>
      <c r="AM246" s="94">
        <v>0</v>
      </c>
      <c r="AN246" s="94" t="s">
        <v>779</v>
      </c>
      <c r="AO246" s="111">
        <v>578.20000000000005</v>
      </c>
      <c r="AP246" s="112">
        <v>0</v>
      </c>
      <c r="AQ246" s="112">
        <v>0</v>
      </c>
      <c r="AR246" s="112">
        <v>0</v>
      </c>
      <c r="AS246" s="113">
        <v>0</v>
      </c>
      <c r="AT246" s="113">
        <v>0</v>
      </c>
      <c r="AU246" s="111">
        <v>53.06</v>
      </c>
      <c r="AV246" s="112">
        <v>235.42</v>
      </c>
      <c r="AW246" s="112">
        <v>3034.5699999999974</v>
      </c>
      <c r="AX246" s="112">
        <v>3809.4399999999901</v>
      </c>
      <c r="AY246" s="113">
        <v>330.68</v>
      </c>
      <c r="AZ246" s="113">
        <v>0</v>
      </c>
    </row>
    <row r="247" spans="1:52" x14ac:dyDescent="0.25">
      <c r="A247" s="101" t="s">
        <v>136</v>
      </c>
      <c r="B247" s="102" t="s">
        <v>137</v>
      </c>
      <c r="C247" s="102"/>
      <c r="D247" s="102" t="s">
        <v>1048</v>
      </c>
      <c r="E247" s="103">
        <v>1.9000000000000004</v>
      </c>
      <c r="F247" s="104">
        <v>1000</v>
      </c>
      <c r="G247" s="105">
        <f t="shared" si="77"/>
        <v>500</v>
      </c>
      <c r="H247" s="105">
        <v>5028</v>
      </c>
      <c r="I247" s="106">
        <f t="shared" si="78"/>
        <v>9.9443118536197292E-2</v>
      </c>
      <c r="J247" s="86">
        <v>909</v>
      </c>
      <c r="K247" s="87">
        <v>2655</v>
      </c>
      <c r="L247" s="87">
        <v>199</v>
      </c>
      <c r="M247" s="87">
        <v>0</v>
      </c>
      <c r="N247" s="90"/>
      <c r="O247" s="90">
        <v>0</v>
      </c>
      <c r="P247" s="86">
        <f t="shared" si="96"/>
        <v>1727.1000000000004</v>
      </c>
      <c r="Q247" s="87">
        <f t="shared" si="97"/>
        <v>5044.5000000000009</v>
      </c>
      <c r="R247" s="87">
        <f t="shared" si="98"/>
        <v>378.10000000000008</v>
      </c>
      <c r="S247" s="88">
        <f t="shared" si="99"/>
        <v>0</v>
      </c>
      <c r="T247" s="89">
        <f t="shared" si="100"/>
        <v>0</v>
      </c>
      <c r="U247" s="89">
        <f t="shared" si="79"/>
        <v>0</v>
      </c>
      <c r="V247" s="86">
        <v>439</v>
      </c>
      <c r="W247" s="87">
        <v>404</v>
      </c>
      <c r="X247" s="87">
        <v>1025</v>
      </c>
      <c r="Y247" s="87">
        <v>434</v>
      </c>
      <c r="Z247" s="90">
        <v>0</v>
      </c>
      <c r="AA247" s="90">
        <v>272</v>
      </c>
      <c r="AB247" s="91">
        <f t="shared" si="80"/>
        <v>8.731105807478122E-2</v>
      </c>
      <c r="AC247" s="91">
        <f t="shared" si="81"/>
        <v>8.0350039777247417E-2</v>
      </c>
      <c r="AD247" s="91">
        <f t="shared" si="82"/>
        <v>0.20385839299920447</v>
      </c>
      <c r="AE247" s="91">
        <f t="shared" si="83"/>
        <v>8.6316626889419254E-2</v>
      </c>
      <c r="AF247" s="91">
        <f t="shared" si="84"/>
        <v>0</v>
      </c>
      <c r="AG247" s="91">
        <f t="shared" si="85"/>
        <v>5.4097056483691328E-2</v>
      </c>
      <c r="AH247" s="92">
        <v>489.16000000000008</v>
      </c>
      <c r="AI247" s="93">
        <v>462.67999999999881</v>
      </c>
      <c r="AJ247" s="93">
        <v>462.67999999999887</v>
      </c>
      <c r="AK247" s="93">
        <v>926.95999999999924</v>
      </c>
      <c r="AL247" s="94">
        <v>291.74999999999898</v>
      </c>
      <c r="AM247" s="94">
        <v>505.86</v>
      </c>
      <c r="AN247" s="94" t="s">
        <v>779</v>
      </c>
      <c r="AO247" s="111">
        <v>3023.16</v>
      </c>
      <c r="AP247" s="112">
        <v>8765.6699999999983</v>
      </c>
      <c r="AQ247" s="112">
        <v>648.74</v>
      </c>
      <c r="AR247" s="112">
        <v>0</v>
      </c>
      <c r="AS247" s="113">
        <v>0</v>
      </c>
      <c r="AT247" s="113">
        <v>0</v>
      </c>
      <c r="AU247" s="111">
        <v>1946.639999999999</v>
      </c>
      <c r="AV247" s="112">
        <v>1805.1799999999969</v>
      </c>
      <c r="AW247" s="112">
        <v>4320.3899999999976</v>
      </c>
      <c r="AX247" s="112">
        <v>1728.29</v>
      </c>
      <c r="AY247" s="113">
        <v>0</v>
      </c>
      <c r="AZ247" s="113">
        <v>1403.46</v>
      </c>
    </row>
    <row r="248" spans="1:52" x14ac:dyDescent="0.25">
      <c r="A248" s="101" t="s">
        <v>397</v>
      </c>
      <c r="B248" s="102" t="s">
        <v>398</v>
      </c>
      <c r="C248" s="102"/>
      <c r="D248" s="102" t="s">
        <v>1048</v>
      </c>
      <c r="E248" s="103">
        <v>1.8800000000000008</v>
      </c>
      <c r="F248" s="104">
        <v>2000</v>
      </c>
      <c r="G248" s="105">
        <f t="shared" si="77"/>
        <v>1000</v>
      </c>
      <c r="H248" s="105">
        <v>2836</v>
      </c>
      <c r="I248" s="106">
        <f t="shared" si="78"/>
        <v>0.35260930888575459</v>
      </c>
      <c r="J248" s="86">
        <v>0</v>
      </c>
      <c r="K248" s="87">
        <v>0</v>
      </c>
      <c r="L248" s="87">
        <v>190</v>
      </c>
      <c r="M248" s="87">
        <v>0</v>
      </c>
      <c r="N248" s="90"/>
      <c r="O248" s="90">
        <v>0</v>
      </c>
      <c r="P248" s="86">
        <f t="shared" si="96"/>
        <v>0</v>
      </c>
      <c r="Q248" s="87">
        <f t="shared" si="97"/>
        <v>0</v>
      </c>
      <c r="R248" s="87">
        <f t="shared" si="98"/>
        <v>357.20000000000016</v>
      </c>
      <c r="S248" s="88">
        <f t="shared" si="99"/>
        <v>0</v>
      </c>
      <c r="T248" s="89">
        <f t="shared" si="100"/>
        <v>0</v>
      </c>
      <c r="U248" s="89">
        <f t="shared" si="79"/>
        <v>0</v>
      </c>
      <c r="V248" s="86">
        <v>0</v>
      </c>
      <c r="W248" s="87">
        <v>0</v>
      </c>
      <c r="X248" s="87">
        <v>0</v>
      </c>
      <c r="Y248" s="87">
        <v>0</v>
      </c>
      <c r="Z248" s="90">
        <v>0</v>
      </c>
      <c r="AA248" s="90">
        <v>225</v>
      </c>
      <c r="AB248" s="91">
        <f t="shared" si="80"/>
        <v>0</v>
      </c>
      <c r="AC248" s="91">
        <f t="shared" si="81"/>
        <v>0</v>
      </c>
      <c r="AD248" s="91">
        <f t="shared" si="82"/>
        <v>0</v>
      </c>
      <c r="AE248" s="91">
        <f t="shared" si="83"/>
        <v>0</v>
      </c>
      <c r="AF248" s="91">
        <f t="shared" si="84"/>
        <v>0</v>
      </c>
      <c r="AG248" s="91">
        <f t="shared" si="85"/>
        <v>7.9337094499294783E-2</v>
      </c>
      <c r="AH248" s="92">
        <v>0</v>
      </c>
      <c r="AI248" s="93">
        <v>0</v>
      </c>
      <c r="AJ248" s="93">
        <v>0</v>
      </c>
      <c r="AK248" s="93">
        <v>0</v>
      </c>
      <c r="AL248" s="94">
        <v>0</v>
      </c>
      <c r="AM248" s="94">
        <v>409.289999999999</v>
      </c>
      <c r="AN248" s="94" t="s">
        <v>779</v>
      </c>
      <c r="AO248" s="111">
        <v>0</v>
      </c>
      <c r="AP248" s="112">
        <v>0</v>
      </c>
      <c r="AQ248" s="112">
        <v>2421.5500000000002</v>
      </c>
      <c r="AR248" s="112">
        <v>0</v>
      </c>
      <c r="AS248" s="113">
        <v>0</v>
      </c>
      <c r="AT248" s="113">
        <v>0</v>
      </c>
      <c r="AU248" s="111">
        <v>0</v>
      </c>
      <c r="AV248" s="112">
        <v>0</v>
      </c>
      <c r="AW248" s="112">
        <v>0</v>
      </c>
      <c r="AX248" s="112">
        <v>0</v>
      </c>
      <c r="AY248" s="113">
        <v>0</v>
      </c>
      <c r="AZ248" s="113">
        <v>3282.54</v>
      </c>
    </row>
    <row r="249" spans="1:52" x14ac:dyDescent="0.25">
      <c r="A249" s="101" t="s">
        <v>509</v>
      </c>
      <c r="B249" s="102" t="s">
        <v>510</v>
      </c>
      <c r="C249" s="102"/>
      <c r="D249" s="102" t="s">
        <v>1049</v>
      </c>
      <c r="E249" s="103">
        <v>1.879999999999999</v>
      </c>
      <c r="F249" s="104">
        <v>800</v>
      </c>
      <c r="G249" s="105">
        <f t="shared" si="77"/>
        <v>400</v>
      </c>
      <c r="H249" s="105">
        <v>1131</v>
      </c>
      <c r="I249" s="106">
        <f t="shared" si="78"/>
        <v>0.35366931918656058</v>
      </c>
      <c r="J249" s="86">
        <v>0</v>
      </c>
      <c r="K249" s="87">
        <v>0</v>
      </c>
      <c r="L249" s="87">
        <v>0</v>
      </c>
      <c r="M249" s="87">
        <v>178.78787878787878</v>
      </c>
      <c r="N249" s="90"/>
      <c r="O249" s="90">
        <v>0</v>
      </c>
      <c r="P249" s="86">
        <f t="shared" si="96"/>
        <v>0</v>
      </c>
      <c r="Q249" s="87">
        <f t="shared" si="97"/>
        <v>0</v>
      </c>
      <c r="R249" s="87">
        <f t="shared" si="98"/>
        <v>0</v>
      </c>
      <c r="S249" s="88">
        <f t="shared" si="99"/>
        <v>336.12121212121195</v>
      </c>
      <c r="T249" s="89">
        <f t="shared" si="100"/>
        <v>0</v>
      </c>
      <c r="U249" s="89">
        <f t="shared" si="79"/>
        <v>0</v>
      </c>
      <c r="V249" s="86">
        <v>261</v>
      </c>
      <c r="W249" s="87">
        <v>238</v>
      </c>
      <c r="X249" s="87">
        <v>2</v>
      </c>
      <c r="Y249" s="87">
        <v>0</v>
      </c>
      <c r="Z249" s="90">
        <v>0</v>
      </c>
      <c r="AA249" s="90">
        <v>0</v>
      </c>
      <c r="AB249" s="91">
        <f t="shared" si="80"/>
        <v>0.23076923076923078</v>
      </c>
      <c r="AC249" s="91">
        <f t="shared" si="81"/>
        <v>0.21043324491600354</v>
      </c>
      <c r="AD249" s="91">
        <f t="shared" si="82"/>
        <v>1.7683465959328027E-3</v>
      </c>
      <c r="AE249" s="91">
        <f t="shared" si="83"/>
        <v>0</v>
      </c>
      <c r="AF249" s="91">
        <f t="shared" si="84"/>
        <v>0</v>
      </c>
      <c r="AG249" s="91">
        <f t="shared" si="85"/>
        <v>0</v>
      </c>
      <c r="AH249" s="92">
        <v>355.93000000000012</v>
      </c>
      <c r="AI249" s="93">
        <v>103.36</v>
      </c>
      <c r="AJ249" s="93">
        <v>103.36</v>
      </c>
      <c r="AK249" s="93">
        <v>0.77</v>
      </c>
      <c r="AL249" s="94">
        <v>0</v>
      </c>
      <c r="AM249" s="94">
        <v>0</v>
      </c>
      <c r="AN249" s="94" t="s">
        <v>780</v>
      </c>
      <c r="AO249" s="111">
        <v>0</v>
      </c>
      <c r="AP249" s="112">
        <v>0</v>
      </c>
      <c r="AQ249" s="112">
        <v>0</v>
      </c>
      <c r="AR249" s="112">
        <v>3863.91</v>
      </c>
      <c r="AS249" s="113">
        <v>0</v>
      </c>
      <c r="AT249" s="113">
        <v>0</v>
      </c>
      <c r="AU249" s="111">
        <v>6251.9200000000019</v>
      </c>
      <c r="AV249" s="112">
        <v>5577.3599999999988</v>
      </c>
      <c r="AW249" s="112">
        <v>46.769999999999897</v>
      </c>
      <c r="AX249" s="112">
        <v>0</v>
      </c>
      <c r="AY249" s="113">
        <v>0</v>
      </c>
      <c r="AZ249" s="113">
        <v>0</v>
      </c>
    </row>
    <row r="250" spans="1:52" x14ac:dyDescent="0.25">
      <c r="A250" s="101" t="s">
        <v>821</v>
      </c>
      <c r="B250" s="102" t="s">
        <v>864</v>
      </c>
      <c r="C250" s="102"/>
      <c r="D250" s="102" t="s">
        <v>1048</v>
      </c>
      <c r="E250" s="103">
        <v>1.8718660287081299</v>
      </c>
      <c r="F250" s="104">
        <v>30000</v>
      </c>
      <c r="G250" s="105">
        <f t="shared" si="77"/>
        <v>15000</v>
      </c>
      <c r="H250" s="105">
        <v>79788</v>
      </c>
      <c r="I250" s="106">
        <f t="shared" si="78"/>
        <v>0.18799819521732591</v>
      </c>
      <c r="J250" s="86">
        <v>0</v>
      </c>
      <c r="K250" s="86">
        <v>0</v>
      </c>
      <c r="L250" s="86">
        <v>0</v>
      </c>
      <c r="M250" s="86">
        <v>0</v>
      </c>
      <c r="N250" s="86">
        <v>0</v>
      </c>
      <c r="O250" s="90">
        <v>11060</v>
      </c>
      <c r="P250" s="86"/>
      <c r="Q250" s="87"/>
      <c r="R250" s="87"/>
      <c r="S250" s="88"/>
      <c r="T250" s="89"/>
      <c r="U250" s="89">
        <f t="shared" si="79"/>
        <v>20702.838277511917</v>
      </c>
      <c r="V250" s="86"/>
      <c r="W250" s="87"/>
      <c r="X250" s="87"/>
      <c r="Y250" s="87"/>
      <c r="Z250" s="90"/>
      <c r="AA250" s="90"/>
      <c r="AB250" s="91">
        <f t="shared" si="80"/>
        <v>0</v>
      </c>
      <c r="AC250" s="91">
        <f t="shared" si="81"/>
        <v>0</v>
      </c>
      <c r="AD250" s="91">
        <f t="shared" si="82"/>
        <v>0</v>
      </c>
      <c r="AE250" s="91">
        <f t="shared" si="83"/>
        <v>0</v>
      </c>
      <c r="AF250" s="91">
        <f t="shared" si="84"/>
        <v>0</v>
      </c>
      <c r="AG250" s="91">
        <f t="shared" si="85"/>
        <v>0</v>
      </c>
      <c r="AH250" s="92"/>
      <c r="AI250" s="93"/>
      <c r="AJ250" s="93"/>
      <c r="AK250" s="93"/>
      <c r="AL250" s="94"/>
      <c r="AM250" s="94"/>
      <c r="AN250" s="94" t="s">
        <v>780</v>
      </c>
      <c r="AO250" s="111">
        <v>450717.37999999995</v>
      </c>
      <c r="AP250" s="112">
        <v>191829.78999999995</v>
      </c>
      <c r="AQ250" s="112">
        <v>166316.76999999999</v>
      </c>
      <c r="AR250" s="112">
        <v>264813.58</v>
      </c>
      <c r="AS250" s="113">
        <v>285130.57</v>
      </c>
      <c r="AT250" s="113">
        <v>312292.69999999995</v>
      </c>
      <c r="AU250" s="111">
        <v>469283.73</v>
      </c>
      <c r="AV250" s="112">
        <v>536569.40000000212</v>
      </c>
      <c r="AW250" s="112">
        <v>346748.48000000138</v>
      </c>
      <c r="AX250" s="112">
        <v>225863.959999991</v>
      </c>
      <c r="AY250" s="113">
        <v>269933.67999999301</v>
      </c>
      <c r="AZ250" s="113">
        <v>329276.42999999801</v>
      </c>
    </row>
    <row r="251" spans="1:52" x14ac:dyDescent="0.25">
      <c r="A251" s="101" t="s">
        <v>819</v>
      </c>
      <c r="B251" s="102" t="s">
        <v>862</v>
      </c>
      <c r="C251" s="102"/>
      <c r="D251" s="102" t="s">
        <v>1048</v>
      </c>
      <c r="E251" s="103">
        <v>1.8364225781845889</v>
      </c>
      <c r="F251" s="104">
        <v>25000</v>
      </c>
      <c r="G251" s="105">
        <f t="shared" si="77"/>
        <v>12500</v>
      </c>
      <c r="H251" s="105">
        <v>81124</v>
      </c>
      <c r="I251" s="106">
        <f t="shared" si="78"/>
        <v>0.15408510428479857</v>
      </c>
      <c r="J251" s="86">
        <v>0</v>
      </c>
      <c r="K251" s="86">
        <v>0</v>
      </c>
      <c r="L251" s="86">
        <v>0</v>
      </c>
      <c r="M251" s="86">
        <v>0</v>
      </c>
      <c r="N251" s="86">
        <v>0</v>
      </c>
      <c r="O251" s="90">
        <v>7812</v>
      </c>
      <c r="P251" s="86"/>
      <c r="Q251" s="87"/>
      <c r="R251" s="87"/>
      <c r="S251" s="88"/>
      <c r="T251" s="89"/>
      <c r="U251" s="89">
        <f t="shared" si="79"/>
        <v>14346.133180778008</v>
      </c>
      <c r="V251" s="86"/>
      <c r="W251" s="87"/>
      <c r="X251" s="87"/>
      <c r="Y251" s="87"/>
      <c r="Z251" s="90"/>
      <c r="AA251" s="90"/>
      <c r="AB251" s="91">
        <f t="shared" si="80"/>
        <v>0</v>
      </c>
      <c r="AC251" s="91">
        <f t="shared" si="81"/>
        <v>0</v>
      </c>
      <c r="AD251" s="91">
        <f t="shared" si="82"/>
        <v>0</v>
      </c>
      <c r="AE251" s="91">
        <f t="shared" si="83"/>
        <v>0</v>
      </c>
      <c r="AF251" s="91">
        <f t="shared" si="84"/>
        <v>0</v>
      </c>
      <c r="AG251" s="91">
        <f t="shared" si="85"/>
        <v>0</v>
      </c>
      <c r="AH251" s="92"/>
      <c r="AI251" s="93"/>
      <c r="AJ251" s="93"/>
      <c r="AK251" s="93"/>
      <c r="AL251" s="94"/>
      <c r="AM251" s="94"/>
      <c r="AN251" s="94" t="s">
        <v>780</v>
      </c>
      <c r="AO251" s="111">
        <v>195692.41</v>
      </c>
      <c r="AP251" s="112">
        <v>112518.87000000001</v>
      </c>
      <c r="AQ251" s="112">
        <v>318631.22000000003</v>
      </c>
      <c r="AR251" s="112">
        <v>175895.1</v>
      </c>
      <c r="AS251" s="113">
        <v>324200.46999999997</v>
      </c>
      <c r="AT251" s="113">
        <v>248440.80000000002</v>
      </c>
      <c r="AU251" s="111">
        <v>63041.530000000013</v>
      </c>
      <c r="AV251" s="112">
        <v>311727.46000000014</v>
      </c>
      <c r="AW251" s="112">
        <v>108751.19000000041</v>
      </c>
      <c r="AX251" s="112">
        <v>240817.78999999701</v>
      </c>
      <c r="AY251" s="113">
        <v>259292.559999994</v>
      </c>
      <c r="AZ251" s="113">
        <v>138559.72000000099</v>
      </c>
    </row>
    <row r="252" spans="1:52" x14ac:dyDescent="0.25">
      <c r="A252" s="101" t="s">
        <v>827</v>
      </c>
      <c r="B252" s="102" t="s">
        <v>870</v>
      </c>
      <c r="C252" s="102"/>
      <c r="D252" s="102" t="s">
        <v>1048</v>
      </c>
      <c r="E252" s="103">
        <v>1.8143215180809129</v>
      </c>
      <c r="F252" s="104">
        <v>20000</v>
      </c>
      <c r="G252" s="105">
        <f t="shared" si="77"/>
        <v>10000</v>
      </c>
      <c r="H252" s="105">
        <v>40820</v>
      </c>
      <c r="I252" s="106">
        <f t="shared" si="78"/>
        <v>0.2449779519843214</v>
      </c>
      <c r="J252" s="86">
        <v>0</v>
      </c>
      <c r="K252" s="86">
        <v>0</v>
      </c>
      <c r="L252" s="86">
        <v>0</v>
      </c>
      <c r="M252" s="86">
        <v>0</v>
      </c>
      <c r="N252" s="86">
        <v>0</v>
      </c>
      <c r="O252" s="90">
        <v>1141</v>
      </c>
      <c r="P252" s="86"/>
      <c r="Q252" s="87"/>
      <c r="R252" s="87"/>
      <c r="S252" s="88"/>
      <c r="T252" s="89"/>
      <c r="U252" s="89">
        <f t="shared" si="79"/>
        <v>2070.1408521303215</v>
      </c>
      <c r="V252" s="86"/>
      <c r="W252" s="87"/>
      <c r="X252" s="87"/>
      <c r="Y252" s="87"/>
      <c r="Z252" s="90"/>
      <c r="AA252" s="90"/>
      <c r="AB252" s="91">
        <f t="shared" si="80"/>
        <v>0</v>
      </c>
      <c r="AC252" s="91">
        <f t="shared" si="81"/>
        <v>0</v>
      </c>
      <c r="AD252" s="91">
        <f t="shared" si="82"/>
        <v>0</v>
      </c>
      <c r="AE252" s="91">
        <f t="shared" si="83"/>
        <v>0</v>
      </c>
      <c r="AF252" s="91">
        <f t="shared" si="84"/>
        <v>0</v>
      </c>
      <c r="AG252" s="91">
        <f t="shared" si="85"/>
        <v>0</v>
      </c>
      <c r="AH252" s="92"/>
      <c r="AI252" s="93"/>
      <c r="AJ252" s="93"/>
      <c r="AK252" s="93"/>
      <c r="AL252" s="94"/>
      <c r="AM252" s="94"/>
      <c r="AN252" s="94" t="s">
        <v>780</v>
      </c>
      <c r="AO252" s="111">
        <v>420066.55</v>
      </c>
      <c r="AP252" s="112">
        <v>35070.6</v>
      </c>
      <c r="AQ252" s="112">
        <v>27172.55</v>
      </c>
      <c r="AR252" s="112">
        <v>87239.33</v>
      </c>
      <c r="AS252" s="113">
        <v>53260.460000000006</v>
      </c>
      <c r="AT252" s="113">
        <v>33697.53</v>
      </c>
      <c r="AU252" s="111">
        <v>146016.17000000019</v>
      </c>
      <c r="AV252" s="112">
        <v>429392.50999999925</v>
      </c>
      <c r="AW252" s="112">
        <v>361189.74999999953</v>
      </c>
      <c r="AX252" s="112">
        <v>74151.190000000803</v>
      </c>
      <c r="AY252" s="113">
        <v>30995.230000000101</v>
      </c>
      <c r="AZ252" s="113">
        <v>119472.540000002</v>
      </c>
    </row>
    <row r="253" spans="1:52" x14ac:dyDescent="0.25">
      <c r="A253" s="101" t="s">
        <v>598</v>
      </c>
      <c r="B253" s="102" t="s">
        <v>599</v>
      </c>
      <c r="C253" s="102"/>
      <c r="D253" s="102" t="s">
        <v>1048</v>
      </c>
      <c r="E253" s="103">
        <v>1.8000000000000043</v>
      </c>
      <c r="F253" s="104">
        <v>10000</v>
      </c>
      <c r="G253" s="105">
        <f t="shared" si="77"/>
        <v>5000</v>
      </c>
      <c r="H253" s="105">
        <v>168665</v>
      </c>
      <c r="I253" s="106">
        <f t="shared" si="78"/>
        <v>2.9644561705155191E-2</v>
      </c>
      <c r="J253" s="86">
        <v>9033</v>
      </c>
      <c r="K253" s="87">
        <v>10184</v>
      </c>
      <c r="L253" s="87">
        <v>4250</v>
      </c>
      <c r="M253" s="87">
        <v>2074</v>
      </c>
      <c r="N253" s="90">
        <v>4635</v>
      </c>
      <c r="O253" s="90">
        <v>5555</v>
      </c>
      <c r="P253" s="86">
        <f t="shared" ref="P253:P267" si="101">+J253*E253</f>
        <v>16259.400000000038</v>
      </c>
      <c r="Q253" s="87">
        <f t="shared" ref="Q253:Q267" si="102">+K253*E253</f>
        <v>18331.200000000044</v>
      </c>
      <c r="R253" s="87">
        <f t="shared" ref="R253:R267" si="103">+L253*E253</f>
        <v>7650.0000000000182</v>
      </c>
      <c r="S253" s="88">
        <f t="shared" ref="S253:S267" si="104">+M253*E253</f>
        <v>3733.2000000000089</v>
      </c>
      <c r="T253" s="89">
        <f t="shared" ref="T253:T267" si="105">+N253*E253</f>
        <v>8343.00000000002</v>
      </c>
      <c r="U253" s="89">
        <f t="shared" si="79"/>
        <v>9999.0000000000236</v>
      </c>
      <c r="V253" s="86">
        <v>6080</v>
      </c>
      <c r="W253" s="87">
        <v>7216</v>
      </c>
      <c r="X253" s="87">
        <v>9414</v>
      </c>
      <c r="Y253" s="87">
        <v>8412</v>
      </c>
      <c r="Z253" s="90">
        <v>5538</v>
      </c>
      <c r="AA253" s="90">
        <v>5089</v>
      </c>
      <c r="AB253" s="91">
        <f t="shared" si="80"/>
        <v>3.6047787033468712E-2</v>
      </c>
      <c r="AC253" s="91">
        <f t="shared" si="81"/>
        <v>4.2783031452879969E-2</v>
      </c>
      <c r="AD253" s="91">
        <f t="shared" si="82"/>
        <v>5.5814780778466189E-2</v>
      </c>
      <c r="AE253" s="91">
        <f t="shared" si="83"/>
        <v>4.9874010612753088E-2</v>
      </c>
      <c r="AF253" s="91">
        <f t="shared" si="84"/>
        <v>3.2834316544629885E-2</v>
      </c>
      <c r="AG253" s="91">
        <f t="shared" si="85"/>
        <v>3.0172234903506952E-2</v>
      </c>
      <c r="AH253" s="92">
        <v>2903.9599999999959</v>
      </c>
      <c r="AI253" s="93">
        <v>5059.4999999999945</v>
      </c>
      <c r="AJ253" s="93">
        <v>5059.4999999999945</v>
      </c>
      <c r="AK253" s="93">
        <v>7861.3399999999938</v>
      </c>
      <c r="AL253" s="94">
        <v>9228.0399999999809</v>
      </c>
      <c r="AM253" s="94">
        <v>5792.01</v>
      </c>
      <c r="AN253" s="94" t="s">
        <v>780</v>
      </c>
      <c r="AO253" s="111">
        <v>324063.52</v>
      </c>
      <c r="AP253" s="112">
        <v>364622.29</v>
      </c>
      <c r="AQ253" s="112">
        <v>151143.41999999998</v>
      </c>
      <c r="AR253" s="112">
        <v>73936.340000000011</v>
      </c>
      <c r="AS253" s="113">
        <v>164568.51999999996</v>
      </c>
      <c r="AT253" s="113">
        <v>196642.25999999998</v>
      </c>
      <c r="AU253" s="111">
        <v>224835.82000000059</v>
      </c>
      <c r="AV253" s="112">
        <v>266122.65999999875</v>
      </c>
      <c r="AW253" s="112">
        <v>346414.52999999846</v>
      </c>
      <c r="AX253" s="112">
        <v>310693.66000000102</v>
      </c>
      <c r="AY253" s="113">
        <v>203206.079999999</v>
      </c>
      <c r="AZ253" s="113">
        <v>186233.75000000099</v>
      </c>
    </row>
    <row r="254" spans="1:52" x14ac:dyDescent="0.25">
      <c r="A254" s="101" t="s">
        <v>957</v>
      </c>
      <c r="B254" s="102" t="s">
        <v>439</v>
      </c>
      <c r="C254" s="102"/>
      <c r="D254" s="102" t="s">
        <v>1048</v>
      </c>
      <c r="E254" s="103">
        <v>1.8000000000000007</v>
      </c>
      <c r="F254" s="104">
        <v>800</v>
      </c>
      <c r="G254" s="105">
        <f t="shared" si="77"/>
        <v>400</v>
      </c>
      <c r="H254" s="105">
        <v>357</v>
      </c>
      <c r="I254" s="106">
        <f t="shared" si="78"/>
        <v>1.1204481792717087</v>
      </c>
      <c r="J254" s="86">
        <v>160</v>
      </c>
      <c r="K254" s="87">
        <v>346</v>
      </c>
      <c r="L254" s="87">
        <v>158</v>
      </c>
      <c r="M254" s="87">
        <v>50</v>
      </c>
      <c r="N254" s="90">
        <v>82</v>
      </c>
      <c r="O254" s="90">
        <v>106</v>
      </c>
      <c r="P254" s="86">
        <f t="shared" si="101"/>
        <v>288.00000000000011</v>
      </c>
      <c r="Q254" s="87">
        <f t="shared" si="102"/>
        <v>622.8000000000003</v>
      </c>
      <c r="R254" s="87">
        <f t="shared" si="103"/>
        <v>284.40000000000009</v>
      </c>
      <c r="S254" s="88">
        <f t="shared" si="104"/>
        <v>90.000000000000028</v>
      </c>
      <c r="T254" s="89">
        <f t="shared" si="105"/>
        <v>147.60000000000005</v>
      </c>
      <c r="U254" s="89">
        <f t="shared" si="79"/>
        <v>190.80000000000007</v>
      </c>
      <c r="V254" s="86">
        <v>155</v>
      </c>
      <c r="W254" s="87">
        <v>232</v>
      </c>
      <c r="X254" s="87">
        <v>157</v>
      </c>
      <c r="Y254" s="87">
        <v>187</v>
      </c>
      <c r="Z254" s="90">
        <v>380</v>
      </c>
      <c r="AA254" s="90">
        <v>239</v>
      </c>
      <c r="AB254" s="91">
        <f t="shared" si="80"/>
        <v>0.43417366946778713</v>
      </c>
      <c r="AC254" s="91">
        <f t="shared" si="81"/>
        <v>0.64985994397759106</v>
      </c>
      <c r="AD254" s="91">
        <f t="shared" si="82"/>
        <v>0.43977591036414565</v>
      </c>
      <c r="AE254" s="91">
        <f t="shared" si="83"/>
        <v>0.52380952380952384</v>
      </c>
      <c r="AF254" s="91">
        <f t="shared" si="84"/>
        <v>1.0644257703081232</v>
      </c>
      <c r="AG254" s="91">
        <f t="shared" si="85"/>
        <v>0.66946778711484589</v>
      </c>
      <c r="AH254" s="92">
        <v>128.5</v>
      </c>
      <c r="AI254" s="93">
        <v>179.20999999999989</v>
      </c>
      <c r="AJ254" s="93">
        <v>179.20999999999992</v>
      </c>
      <c r="AK254" s="93">
        <v>184.61999999999969</v>
      </c>
      <c r="AL254" s="94">
        <v>285.42999999999898</v>
      </c>
      <c r="AM254" s="94">
        <v>310.3</v>
      </c>
      <c r="AN254" s="94" t="s">
        <v>779</v>
      </c>
      <c r="AO254" s="111">
        <v>2430.4</v>
      </c>
      <c r="AP254" s="112">
        <v>5274.96</v>
      </c>
      <c r="AQ254" s="112">
        <v>2414.2199999999998</v>
      </c>
      <c r="AR254" s="112">
        <v>761</v>
      </c>
      <c r="AS254" s="113">
        <v>1248.04</v>
      </c>
      <c r="AT254" s="113">
        <v>1583.46</v>
      </c>
      <c r="AU254" s="111">
        <v>0</v>
      </c>
      <c r="AV254" s="112">
        <v>0</v>
      </c>
      <c r="AW254" s="112">
        <v>0</v>
      </c>
      <c r="AX254" s="112">
        <v>0</v>
      </c>
      <c r="AY254" s="113">
        <v>0</v>
      </c>
      <c r="AZ254" s="113">
        <v>0</v>
      </c>
    </row>
    <row r="255" spans="1:52" x14ac:dyDescent="0.25">
      <c r="A255" s="101" t="s">
        <v>200</v>
      </c>
      <c r="B255" s="102" t="s">
        <v>201</v>
      </c>
      <c r="C255" s="102"/>
      <c r="D255" s="102" t="s">
        <v>1048</v>
      </c>
      <c r="E255" s="103">
        <v>1.7999999999999998</v>
      </c>
      <c r="F255" s="104">
        <v>140</v>
      </c>
      <c r="G255" s="105">
        <f t="shared" si="77"/>
        <v>70</v>
      </c>
      <c r="H255" s="105">
        <v>559</v>
      </c>
      <c r="I255" s="106">
        <f t="shared" si="78"/>
        <v>0.12522361359570661</v>
      </c>
      <c r="J255" s="86">
        <v>0</v>
      </c>
      <c r="K255" s="87">
        <v>347</v>
      </c>
      <c r="L255" s="87">
        <v>379</v>
      </c>
      <c r="M255" s="87">
        <v>119</v>
      </c>
      <c r="N255" s="90"/>
      <c r="O255" s="90">
        <v>0</v>
      </c>
      <c r="P255" s="86">
        <f t="shared" si="101"/>
        <v>0</v>
      </c>
      <c r="Q255" s="87">
        <f t="shared" si="102"/>
        <v>624.59999999999991</v>
      </c>
      <c r="R255" s="87">
        <f t="shared" si="103"/>
        <v>682.19999999999993</v>
      </c>
      <c r="S255" s="88">
        <f t="shared" si="104"/>
        <v>214.2</v>
      </c>
      <c r="T255" s="89">
        <f t="shared" si="105"/>
        <v>0</v>
      </c>
      <c r="U255" s="89">
        <f t="shared" si="79"/>
        <v>0</v>
      </c>
      <c r="V255" s="86">
        <v>71</v>
      </c>
      <c r="W255" s="87">
        <v>119</v>
      </c>
      <c r="X255" s="87">
        <v>59</v>
      </c>
      <c r="Y255" s="87">
        <v>110</v>
      </c>
      <c r="Z255" s="90">
        <v>37</v>
      </c>
      <c r="AA255" s="90">
        <v>53</v>
      </c>
      <c r="AB255" s="91">
        <f t="shared" si="80"/>
        <v>0.12701252236135957</v>
      </c>
      <c r="AC255" s="91">
        <f t="shared" si="81"/>
        <v>0.21288014311270126</v>
      </c>
      <c r="AD255" s="91">
        <f t="shared" si="82"/>
        <v>0.10554561717352415</v>
      </c>
      <c r="AE255" s="91">
        <f t="shared" si="83"/>
        <v>0.1967799642218247</v>
      </c>
      <c r="AF255" s="91">
        <f t="shared" si="84"/>
        <v>6.6189624329159216E-2</v>
      </c>
      <c r="AG255" s="91">
        <f t="shared" si="85"/>
        <v>9.4812164579606437E-2</v>
      </c>
      <c r="AH255" s="92">
        <v>90.720000000000027</v>
      </c>
      <c r="AI255" s="93">
        <v>92.26</v>
      </c>
      <c r="AJ255" s="93">
        <v>92.259999999999991</v>
      </c>
      <c r="AK255" s="93">
        <v>109.69999999999997</v>
      </c>
      <c r="AL255" s="94">
        <v>130.05000000000001</v>
      </c>
      <c r="AM255" s="94">
        <v>65.3599999999999</v>
      </c>
      <c r="AN255" s="94" t="s">
        <v>779</v>
      </c>
      <c r="AO255" s="111">
        <v>0</v>
      </c>
      <c r="AP255" s="112">
        <v>1544.29</v>
      </c>
      <c r="AQ255" s="112">
        <v>1678.3899999999999</v>
      </c>
      <c r="AR255" s="112">
        <v>529.1</v>
      </c>
      <c r="AS255" s="113">
        <v>0</v>
      </c>
      <c r="AT255" s="113">
        <v>0</v>
      </c>
      <c r="AU255" s="111">
        <v>408.8</v>
      </c>
      <c r="AV255" s="112">
        <v>625.37999999999988</v>
      </c>
      <c r="AW255" s="112">
        <v>373.72999999999996</v>
      </c>
      <c r="AX255" s="112">
        <v>619.729999999999</v>
      </c>
      <c r="AY255" s="113">
        <v>207.82</v>
      </c>
      <c r="AZ255" s="113">
        <v>301.20999999999901</v>
      </c>
    </row>
    <row r="256" spans="1:52" x14ac:dyDescent="0.25">
      <c r="A256" s="101" t="s">
        <v>146</v>
      </c>
      <c r="B256" s="102" t="s">
        <v>147</v>
      </c>
      <c r="C256" s="102"/>
      <c r="D256" s="102" t="s">
        <v>1048</v>
      </c>
      <c r="E256" s="103">
        <v>1.7999999999999998</v>
      </c>
      <c r="F256" s="104">
        <v>1000</v>
      </c>
      <c r="G256" s="105">
        <f t="shared" si="77"/>
        <v>500</v>
      </c>
      <c r="H256" s="105">
        <v>1467</v>
      </c>
      <c r="I256" s="106">
        <f t="shared" si="78"/>
        <v>0.34083162917518744</v>
      </c>
      <c r="J256" s="86">
        <v>100</v>
      </c>
      <c r="K256" s="87">
        <v>0</v>
      </c>
      <c r="L256" s="87">
        <v>0</v>
      </c>
      <c r="M256" s="87">
        <v>0</v>
      </c>
      <c r="N256" s="90">
        <v>1050</v>
      </c>
      <c r="O256" s="90">
        <v>1150</v>
      </c>
      <c r="P256" s="86">
        <f t="shared" si="101"/>
        <v>179.99999999999997</v>
      </c>
      <c r="Q256" s="87">
        <f t="shared" si="102"/>
        <v>0</v>
      </c>
      <c r="R256" s="87">
        <f t="shared" si="103"/>
        <v>0</v>
      </c>
      <c r="S256" s="88">
        <f t="shared" si="104"/>
        <v>0</v>
      </c>
      <c r="T256" s="89">
        <f t="shared" si="105"/>
        <v>1889.9999999999998</v>
      </c>
      <c r="U256" s="89">
        <f t="shared" si="79"/>
        <v>2070</v>
      </c>
      <c r="V256" s="86">
        <v>0</v>
      </c>
      <c r="W256" s="87">
        <v>2</v>
      </c>
      <c r="X256" s="87">
        <v>286</v>
      </c>
      <c r="Y256" s="87">
        <v>1055</v>
      </c>
      <c r="Z256" s="90">
        <v>0</v>
      </c>
      <c r="AA256" s="90">
        <v>767</v>
      </c>
      <c r="AB256" s="91">
        <f t="shared" si="80"/>
        <v>0</v>
      </c>
      <c r="AC256" s="91">
        <f t="shared" si="81"/>
        <v>1.3633265167007499E-3</v>
      </c>
      <c r="AD256" s="91">
        <f t="shared" si="82"/>
        <v>0.19495569188820722</v>
      </c>
      <c r="AE256" s="91">
        <f t="shared" si="83"/>
        <v>0.71915473755964554</v>
      </c>
      <c r="AF256" s="91">
        <f t="shared" si="84"/>
        <v>0</v>
      </c>
      <c r="AG256" s="91">
        <f t="shared" si="85"/>
        <v>0.52283571915473759</v>
      </c>
      <c r="AH256" s="92">
        <v>0</v>
      </c>
      <c r="AI256" s="93">
        <v>2.37</v>
      </c>
      <c r="AJ256" s="93">
        <v>514.79999999999995</v>
      </c>
      <c r="AK256" s="93">
        <v>354.96000000000004</v>
      </c>
      <c r="AL256" s="94">
        <v>1437.45</v>
      </c>
      <c r="AM256" s="94">
        <v>1343.0699999999899</v>
      </c>
      <c r="AN256" s="94" t="s">
        <v>779</v>
      </c>
      <c r="AO256" s="111">
        <v>309</v>
      </c>
      <c r="AP256" s="112">
        <v>0</v>
      </c>
      <c r="AQ256" s="112">
        <v>0</v>
      </c>
      <c r="AR256" s="112">
        <v>0</v>
      </c>
      <c r="AS256" s="113">
        <v>3329</v>
      </c>
      <c r="AT256" s="113">
        <v>3698.5</v>
      </c>
      <c r="AU256" s="111">
        <v>0</v>
      </c>
      <c r="AV256" s="112">
        <v>8.59</v>
      </c>
      <c r="AW256" s="112">
        <v>1252.9699999999989</v>
      </c>
      <c r="AX256" s="112">
        <v>4750.1499999999996</v>
      </c>
      <c r="AY256" s="113">
        <v>0</v>
      </c>
      <c r="AZ256" s="113">
        <v>3786.97999999999</v>
      </c>
    </row>
    <row r="257" spans="1:52" x14ac:dyDescent="0.25">
      <c r="A257" s="101" t="s">
        <v>958</v>
      </c>
      <c r="B257" s="102" t="s">
        <v>376</v>
      </c>
      <c r="C257" s="102"/>
      <c r="D257" s="102" t="s">
        <v>1048</v>
      </c>
      <c r="E257" s="103">
        <v>1.7999999999999989</v>
      </c>
      <c r="F257" s="104">
        <v>4000</v>
      </c>
      <c r="G257" s="105">
        <f t="shared" si="77"/>
        <v>2000</v>
      </c>
      <c r="H257" s="105">
        <v>6930</v>
      </c>
      <c r="I257" s="106">
        <f t="shared" si="78"/>
        <v>0.28860028860028858</v>
      </c>
      <c r="J257" s="86">
        <v>430</v>
      </c>
      <c r="K257" s="87">
        <v>369</v>
      </c>
      <c r="L257" s="87">
        <v>750</v>
      </c>
      <c r="M257" s="87">
        <v>1040</v>
      </c>
      <c r="N257" s="90">
        <v>119</v>
      </c>
      <c r="O257" s="90">
        <v>2956</v>
      </c>
      <c r="P257" s="86">
        <f t="shared" si="101"/>
        <v>773.99999999999955</v>
      </c>
      <c r="Q257" s="87">
        <f t="shared" si="102"/>
        <v>664.19999999999959</v>
      </c>
      <c r="R257" s="87">
        <f t="shared" si="103"/>
        <v>1349.9999999999991</v>
      </c>
      <c r="S257" s="88">
        <f t="shared" si="104"/>
        <v>1871.9999999999989</v>
      </c>
      <c r="T257" s="89">
        <f t="shared" si="105"/>
        <v>214.19999999999987</v>
      </c>
      <c r="U257" s="89">
        <f t="shared" si="79"/>
        <v>5320.7999999999965</v>
      </c>
      <c r="V257" s="86">
        <v>1485</v>
      </c>
      <c r="W257" s="87">
        <v>2087</v>
      </c>
      <c r="X257" s="87">
        <v>1113</v>
      </c>
      <c r="Y257" s="87">
        <v>1535</v>
      </c>
      <c r="Z257" s="90">
        <v>2035</v>
      </c>
      <c r="AA257" s="90">
        <v>2127</v>
      </c>
      <c r="AB257" s="91">
        <f t="shared" si="80"/>
        <v>0.21428571428571427</v>
      </c>
      <c r="AC257" s="91">
        <f t="shared" si="81"/>
        <v>0.30115440115440117</v>
      </c>
      <c r="AD257" s="91">
        <f t="shared" si="82"/>
        <v>0.16060606060606061</v>
      </c>
      <c r="AE257" s="91">
        <f t="shared" si="83"/>
        <v>0.2215007215007215</v>
      </c>
      <c r="AF257" s="91">
        <f t="shared" si="84"/>
        <v>0.29365079365079366</v>
      </c>
      <c r="AG257" s="91">
        <f t="shared" si="85"/>
        <v>0.30692640692640694</v>
      </c>
      <c r="AH257" s="92">
        <v>661.34999999999889</v>
      </c>
      <c r="AI257" s="93">
        <v>1048.0799999999988</v>
      </c>
      <c r="AJ257" s="93">
        <v>1048.0799999999986</v>
      </c>
      <c r="AK257" s="93">
        <v>762.16999999999894</v>
      </c>
      <c r="AL257" s="94">
        <v>941.79999999999598</v>
      </c>
      <c r="AM257" s="94">
        <v>2142.2999999999902</v>
      </c>
      <c r="AN257" s="94" t="s">
        <v>779</v>
      </c>
      <c r="AO257" s="111">
        <v>4573.7999999999993</v>
      </c>
      <c r="AP257" s="112">
        <v>3935.79</v>
      </c>
      <c r="AQ257" s="112">
        <v>8017.5</v>
      </c>
      <c r="AR257" s="112">
        <v>11039.2</v>
      </c>
      <c r="AS257" s="113">
        <v>1257.83</v>
      </c>
      <c r="AT257" s="113">
        <v>31132.52</v>
      </c>
      <c r="AU257" s="111">
        <v>0</v>
      </c>
      <c r="AV257" s="112">
        <v>0</v>
      </c>
      <c r="AW257" s="112">
        <v>0</v>
      </c>
      <c r="AX257" s="112">
        <v>0</v>
      </c>
      <c r="AY257" s="113">
        <v>0</v>
      </c>
      <c r="AZ257" s="113">
        <v>0</v>
      </c>
    </row>
    <row r="258" spans="1:52" x14ac:dyDescent="0.25">
      <c r="A258" s="101" t="s">
        <v>477</v>
      </c>
      <c r="B258" s="102" t="s">
        <v>478</v>
      </c>
      <c r="C258" s="102"/>
      <c r="D258" s="102" t="s">
        <v>1048</v>
      </c>
      <c r="E258" s="103">
        <v>1.7799999999999976</v>
      </c>
      <c r="F258" s="104">
        <v>3362</v>
      </c>
      <c r="G258" s="105">
        <f t="shared" ref="G258:G321" si="106">F258/2</f>
        <v>1681</v>
      </c>
      <c r="H258" s="105">
        <v>16810</v>
      </c>
      <c r="I258" s="106">
        <f t="shared" ref="I258:I321" si="107">+G258/H258</f>
        <v>0.1</v>
      </c>
      <c r="J258" s="86">
        <v>3930</v>
      </c>
      <c r="K258" s="87">
        <v>5168</v>
      </c>
      <c r="L258" s="87">
        <v>3700</v>
      </c>
      <c r="M258" s="87">
        <v>1702</v>
      </c>
      <c r="N258" s="90"/>
      <c r="O258" s="90">
        <v>747</v>
      </c>
      <c r="P258" s="86">
        <f t="shared" si="101"/>
        <v>6995.3999999999905</v>
      </c>
      <c r="Q258" s="87">
        <f t="shared" si="102"/>
        <v>9199.0399999999881</v>
      </c>
      <c r="R258" s="87">
        <f t="shared" si="103"/>
        <v>6585.9999999999909</v>
      </c>
      <c r="S258" s="88">
        <f t="shared" si="104"/>
        <v>3029.5599999999959</v>
      </c>
      <c r="T258" s="89">
        <f t="shared" si="105"/>
        <v>0</v>
      </c>
      <c r="U258" s="89">
        <f t="shared" ref="U258:U321" si="108">+O258*E258</f>
        <v>1329.6599999999983</v>
      </c>
      <c r="V258" s="86">
        <v>1420</v>
      </c>
      <c r="W258" s="87">
        <v>1695</v>
      </c>
      <c r="X258" s="87">
        <v>790</v>
      </c>
      <c r="Y258" s="87">
        <v>2384</v>
      </c>
      <c r="Z258" s="90">
        <v>3410</v>
      </c>
      <c r="AA258" s="90">
        <v>2738</v>
      </c>
      <c r="AB258" s="91">
        <f t="shared" ref="AB258:AB321" si="109">+IFERROR(V258/H258,"")</f>
        <v>8.4473527662105891E-2</v>
      </c>
      <c r="AC258" s="91">
        <f t="shared" ref="AC258:AC321" si="110">+IFERROR(W258/H258,"")</f>
        <v>0.10083283759666865</v>
      </c>
      <c r="AD258" s="91">
        <f t="shared" ref="AD258:AD321" si="111">+IFERROR(X258/H258,"")</f>
        <v>4.6995835812016655E-2</v>
      </c>
      <c r="AE258" s="91">
        <f t="shared" ref="AE258:AE321" si="112">+IFERROR(Y258/H258,"")</f>
        <v>0.14182034503271862</v>
      </c>
      <c r="AF258" s="91">
        <f t="shared" ref="AF258:AF321" si="113">+IFERROR(Z258/H258,"")</f>
        <v>0.20285544318857823</v>
      </c>
      <c r="AG258" s="91">
        <f t="shared" ref="AG258:AG321" si="114">+IFERROR(AA258/H258,"")</f>
        <v>0.16287923854848305</v>
      </c>
      <c r="AH258" s="92">
        <v>1639</v>
      </c>
      <c r="AI258" s="93">
        <v>1233.5199999999966</v>
      </c>
      <c r="AJ258" s="93">
        <v>1233.5199999999968</v>
      </c>
      <c r="AK258" s="93">
        <v>352.25999999999965</v>
      </c>
      <c r="AL258" s="94">
        <v>6069.799999999992</v>
      </c>
      <c r="AM258" s="94">
        <v>-3166.5399999999299</v>
      </c>
      <c r="AN258" s="94" t="s">
        <v>780</v>
      </c>
      <c r="AO258" s="111">
        <v>87364.2</v>
      </c>
      <c r="AP258" s="112">
        <v>115791.68999999999</v>
      </c>
      <c r="AQ258" s="112">
        <v>81772.41</v>
      </c>
      <c r="AR258" s="112">
        <v>38049.800000000003</v>
      </c>
      <c r="AS258" s="113">
        <v>666</v>
      </c>
      <c r="AT258" s="113">
        <v>14341.88</v>
      </c>
      <c r="AU258" s="111">
        <v>33231.880000000041</v>
      </c>
      <c r="AV258" s="112">
        <v>38932.039999999928</v>
      </c>
      <c r="AW258" s="112">
        <v>17907.999999999971</v>
      </c>
      <c r="AX258" s="112">
        <v>52464.9200000005</v>
      </c>
      <c r="AY258" s="113">
        <v>74376.140000000101</v>
      </c>
      <c r="AZ258" s="113">
        <v>57599.479999999101</v>
      </c>
    </row>
    <row r="259" spans="1:52" x14ac:dyDescent="0.25">
      <c r="A259" s="101" t="s">
        <v>959</v>
      </c>
      <c r="B259" s="102" t="s">
        <v>546</v>
      </c>
      <c r="C259" s="102"/>
      <c r="D259" s="102" t="s">
        <v>1049</v>
      </c>
      <c r="E259" s="103">
        <v>1.7699999999999996</v>
      </c>
      <c r="F259" s="104">
        <v>15000</v>
      </c>
      <c r="G259" s="105">
        <f t="shared" si="106"/>
        <v>7500</v>
      </c>
      <c r="H259" s="105">
        <v>179168</v>
      </c>
      <c r="I259" s="106">
        <f t="shared" si="107"/>
        <v>4.186015359885694E-2</v>
      </c>
      <c r="J259" s="86">
        <v>1420</v>
      </c>
      <c r="K259" s="87">
        <v>200</v>
      </c>
      <c r="L259" s="87">
        <v>1089</v>
      </c>
      <c r="M259" s="87">
        <v>675</v>
      </c>
      <c r="N259" s="90">
        <v>906</v>
      </c>
      <c r="O259" s="90">
        <v>1068</v>
      </c>
      <c r="P259" s="86">
        <f t="shared" si="101"/>
        <v>2513.3999999999992</v>
      </c>
      <c r="Q259" s="87">
        <f t="shared" si="102"/>
        <v>353.99999999999989</v>
      </c>
      <c r="R259" s="87">
        <f t="shared" si="103"/>
        <v>1927.5299999999995</v>
      </c>
      <c r="S259" s="88">
        <f t="shared" si="104"/>
        <v>1194.7499999999998</v>
      </c>
      <c r="T259" s="89">
        <f t="shared" si="105"/>
        <v>1603.6199999999997</v>
      </c>
      <c r="U259" s="89">
        <f t="shared" si="108"/>
        <v>1890.3599999999994</v>
      </c>
      <c r="V259" s="86">
        <v>927</v>
      </c>
      <c r="W259" s="87">
        <v>788</v>
      </c>
      <c r="X259" s="87">
        <v>1193</v>
      </c>
      <c r="Y259" s="87">
        <v>1241</v>
      </c>
      <c r="Z259" s="90">
        <v>787</v>
      </c>
      <c r="AA259" s="90">
        <v>917</v>
      </c>
      <c r="AB259" s="91">
        <f t="shared" si="109"/>
        <v>5.1739149848187178E-3</v>
      </c>
      <c r="AC259" s="91">
        <f t="shared" si="110"/>
        <v>4.3981068047865687E-3</v>
      </c>
      <c r="AD259" s="91">
        <f t="shared" si="111"/>
        <v>6.6585550991248438E-3</v>
      </c>
      <c r="AE259" s="91">
        <f t="shared" si="112"/>
        <v>6.9264600821575279E-3</v>
      </c>
      <c r="AF259" s="91">
        <f t="shared" si="113"/>
        <v>4.3925254509733884E-3</v>
      </c>
      <c r="AG259" s="91">
        <f t="shared" si="114"/>
        <v>5.1181014466869087E-3</v>
      </c>
      <c r="AH259" s="92">
        <v>523.30999999999995</v>
      </c>
      <c r="AI259" s="93">
        <v>880.34999999999866</v>
      </c>
      <c r="AJ259" s="93">
        <v>880.34999999999889</v>
      </c>
      <c r="AK259" s="93">
        <v>1456.0699999999979</v>
      </c>
      <c r="AL259" s="94">
        <v>1255.28999999999</v>
      </c>
      <c r="AM259" s="94">
        <v>783.64</v>
      </c>
      <c r="AN259" s="94" t="s">
        <v>780</v>
      </c>
      <c r="AO259" s="111">
        <v>36380.969999999994</v>
      </c>
      <c r="AP259" s="112">
        <v>5132</v>
      </c>
      <c r="AQ259" s="112">
        <v>28119.56</v>
      </c>
      <c r="AR259" s="112">
        <v>17343</v>
      </c>
      <c r="AS259" s="113">
        <v>23340.18</v>
      </c>
      <c r="AT259" s="113">
        <v>27312.989999999998</v>
      </c>
      <c r="AU259" s="111">
        <v>0</v>
      </c>
      <c r="AV259" s="112">
        <v>0</v>
      </c>
      <c r="AW259" s="112">
        <v>0</v>
      </c>
      <c r="AX259" s="112">
        <v>0</v>
      </c>
      <c r="AY259" s="113">
        <v>0</v>
      </c>
      <c r="AZ259" s="113">
        <v>0</v>
      </c>
    </row>
    <row r="260" spans="1:52" x14ac:dyDescent="0.25">
      <c r="A260" s="101" t="s">
        <v>960</v>
      </c>
      <c r="B260" s="102" t="s">
        <v>579</v>
      </c>
      <c r="C260" s="102"/>
      <c r="D260" s="102" t="s">
        <v>1048</v>
      </c>
      <c r="E260" s="103">
        <v>1.7600000000000016</v>
      </c>
      <c r="F260" s="104">
        <v>9000</v>
      </c>
      <c r="G260" s="105">
        <f t="shared" si="106"/>
        <v>4500</v>
      </c>
      <c r="H260" s="105">
        <v>203101</v>
      </c>
      <c r="I260" s="106">
        <f t="shared" si="107"/>
        <v>2.2156464025287911E-2</v>
      </c>
      <c r="J260" s="86">
        <v>7233</v>
      </c>
      <c r="K260" s="87">
        <v>6660</v>
      </c>
      <c r="L260" s="87">
        <v>1569</v>
      </c>
      <c r="M260" s="87">
        <v>1891</v>
      </c>
      <c r="N260" s="90">
        <v>2666</v>
      </c>
      <c r="O260" s="90">
        <v>2620</v>
      </c>
      <c r="P260" s="86">
        <f t="shared" si="101"/>
        <v>12730.080000000011</v>
      </c>
      <c r="Q260" s="87">
        <f t="shared" si="102"/>
        <v>11721.600000000011</v>
      </c>
      <c r="R260" s="87">
        <f t="shared" si="103"/>
        <v>2761.4400000000023</v>
      </c>
      <c r="S260" s="88">
        <f t="shared" si="104"/>
        <v>3328.160000000003</v>
      </c>
      <c r="T260" s="89">
        <f t="shared" si="105"/>
        <v>4692.1600000000044</v>
      </c>
      <c r="U260" s="89">
        <f t="shared" si="108"/>
        <v>4611.2000000000044</v>
      </c>
      <c r="V260" s="86">
        <v>3601</v>
      </c>
      <c r="W260" s="87">
        <v>8426</v>
      </c>
      <c r="X260" s="87">
        <v>6073</v>
      </c>
      <c r="Y260" s="87">
        <v>816</v>
      </c>
      <c r="Z260" s="90">
        <v>2912</v>
      </c>
      <c r="AA260" s="90">
        <v>2173</v>
      </c>
      <c r="AB260" s="91">
        <f t="shared" si="109"/>
        <v>1.7730094878902616E-2</v>
      </c>
      <c r="AC260" s="91">
        <f t="shared" si="110"/>
        <v>4.1486747972683542E-2</v>
      </c>
      <c r="AD260" s="91">
        <f t="shared" si="111"/>
        <v>2.9901379116794108E-2</v>
      </c>
      <c r="AE260" s="91">
        <f t="shared" si="112"/>
        <v>4.0177054765855409E-3</v>
      </c>
      <c r="AF260" s="91">
        <f t="shared" si="113"/>
        <v>1.4337694053697421E-2</v>
      </c>
      <c r="AG260" s="91">
        <f t="shared" si="114"/>
        <v>1.0699110294877918E-2</v>
      </c>
      <c r="AH260" s="92">
        <v>1683.1500000000019</v>
      </c>
      <c r="AI260" s="93">
        <v>6668.7399999999907</v>
      </c>
      <c r="AJ260" s="93">
        <v>6668.7399999999907</v>
      </c>
      <c r="AK260" s="93">
        <v>5580.5699999999952</v>
      </c>
      <c r="AL260" s="94">
        <v>854.76999999999896</v>
      </c>
      <c r="AM260" s="94">
        <v>2648.4900000000098</v>
      </c>
      <c r="AN260" s="94" t="s">
        <v>780</v>
      </c>
      <c r="AO260" s="111">
        <v>223569.09000000003</v>
      </c>
      <c r="AP260" s="112">
        <v>206261.55999999997</v>
      </c>
      <c r="AQ260" s="112">
        <v>48129.53</v>
      </c>
      <c r="AR260" s="112">
        <v>57804.560000000005</v>
      </c>
      <c r="AS260" s="113">
        <v>70140.52</v>
      </c>
      <c r="AT260" s="113">
        <v>79636.25</v>
      </c>
      <c r="AU260" s="111">
        <v>0</v>
      </c>
      <c r="AV260" s="112">
        <v>0</v>
      </c>
      <c r="AW260" s="112">
        <v>0</v>
      </c>
      <c r="AX260" s="112">
        <v>0</v>
      </c>
      <c r="AY260" s="113">
        <v>0</v>
      </c>
      <c r="AZ260" s="113">
        <v>0</v>
      </c>
    </row>
    <row r="261" spans="1:52" x14ac:dyDescent="0.25">
      <c r="A261" s="101" t="s">
        <v>409</v>
      </c>
      <c r="B261" s="102" t="s">
        <v>410</v>
      </c>
      <c r="C261" s="102"/>
      <c r="D261" s="102" t="s">
        <v>1048</v>
      </c>
      <c r="E261" s="103">
        <v>1.7599999999999998</v>
      </c>
      <c r="F261" s="104">
        <v>8000</v>
      </c>
      <c r="G261" s="105">
        <f t="shared" si="106"/>
        <v>4000</v>
      </c>
      <c r="H261" s="105">
        <v>18668</v>
      </c>
      <c r="I261" s="106">
        <f t="shared" si="107"/>
        <v>0.21427040925648169</v>
      </c>
      <c r="J261" s="86">
        <v>35</v>
      </c>
      <c r="K261" s="87">
        <v>400</v>
      </c>
      <c r="L261" s="87">
        <v>608</v>
      </c>
      <c r="M261" s="87">
        <v>0</v>
      </c>
      <c r="N261" s="90">
        <v>800</v>
      </c>
      <c r="O261" s="90">
        <v>0</v>
      </c>
      <c r="P261" s="86">
        <f t="shared" si="101"/>
        <v>61.599999999999994</v>
      </c>
      <c r="Q261" s="87">
        <f t="shared" si="102"/>
        <v>703.99999999999989</v>
      </c>
      <c r="R261" s="87">
        <f t="shared" si="103"/>
        <v>1070.08</v>
      </c>
      <c r="S261" s="88">
        <f t="shared" si="104"/>
        <v>0</v>
      </c>
      <c r="T261" s="89">
        <f t="shared" si="105"/>
        <v>1407.9999999999998</v>
      </c>
      <c r="U261" s="89">
        <f t="shared" si="108"/>
        <v>0</v>
      </c>
      <c r="V261" s="86">
        <v>248</v>
      </c>
      <c r="W261" s="87">
        <v>35</v>
      </c>
      <c r="X261" s="87">
        <v>399</v>
      </c>
      <c r="Y261" s="87">
        <v>603</v>
      </c>
      <c r="Z261" s="90">
        <v>-1</v>
      </c>
      <c r="AA261" s="90">
        <v>797</v>
      </c>
      <c r="AB261" s="91">
        <f t="shared" si="109"/>
        <v>1.3284765373901865E-2</v>
      </c>
      <c r="AC261" s="91">
        <f t="shared" si="110"/>
        <v>1.8748660809942148E-3</v>
      </c>
      <c r="AD261" s="91">
        <f t="shared" si="111"/>
        <v>2.1373473323334048E-2</v>
      </c>
      <c r="AE261" s="91">
        <f t="shared" si="112"/>
        <v>3.2301264195414611E-2</v>
      </c>
      <c r="AF261" s="91">
        <f t="shared" si="113"/>
        <v>-5.3567602314120418E-5</v>
      </c>
      <c r="AG261" s="91">
        <f t="shared" si="114"/>
        <v>4.2693379044353975E-2</v>
      </c>
      <c r="AH261" s="92">
        <v>68.94</v>
      </c>
      <c r="AI261" s="93">
        <v>41.029999999999902</v>
      </c>
      <c r="AJ261" s="93">
        <v>41.029999999999902</v>
      </c>
      <c r="AK261" s="93">
        <v>567.50999999999794</v>
      </c>
      <c r="AL261" s="94">
        <v>545.04999999999995</v>
      </c>
      <c r="AM261" s="94">
        <v>645.91000000000099</v>
      </c>
      <c r="AN261" s="94" t="s">
        <v>779</v>
      </c>
      <c r="AO261" s="111">
        <v>455.35</v>
      </c>
      <c r="AP261" s="112">
        <v>5132</v>
      </c>
      <c r="AQ261" s="112">
        <v>7855.6</v>
      </c>
      <c r="AR261" s="112">
        <v>0</v>
      </c>
      <c r="AS261" s="113">
        <v>10224</v>
      </c>
      <c r="AT261" s="113">
        <v>0</v>
      </c>
      <c r="AU261" s="111">
        <v>3379.7400000000021</v>
      </c>
      <c r="AV261" s="112">
        <v>489.57999999999902</v>
      </c>
      <c r="AW261" s="112">
        <v>5674.70999999999</v>
      </c>
      <c r="AX261" s="112">
        <v>8287.5699999999797</v>
      </c>
      <c r="AY261" s="113">
        <v>-13.69</v>
      </c>
      <c r="AZ261" s="113">
        <v>10831.5699999999</v>
      </c>
    </row>
    <row r="262" spans="1:52" x14ac:dyDescent="0.25">
      <c r="A262" s="101" t="s">
        <v>368</v>
      </c>
      <c r="B262" s="102" t="s">
        <v>369</v>
      </c>
      <c r="C262" s="102"/>
      <c r="D262" s="102" t="s">
        <v>1048</v>
      </c>
      <c r="E262" s="103">
        <v>1.75</v>
      </c>
      <c r="F262" s="104">
        <v>4000</v>
      </c>
      <c r="G262" s="105">
        <f t="shared" si="106"/>
        <v>2000</v>
      </c>
      <c r="H262" s="105">
        <v>9913</v>
      </c>
      <c r="I262" s="106">
        <f t="shared" si="107"/>
        <v>0.20175527085645112</v>
      </c>
      <c r="J262" s="86">
        <v>5610</v>
      </c>
      <c r="K262" s="87">
        <v>3483</v>
      </c>
      <c r="L262" s="87">
        <v>2173</v>
      </c>
      <c r="M262" s="87">
        <v>318</v>
      </c>
      <c r="N262" s="90">
        <v>680</v>
      </c>
      <c r="O262" s="90">
        <v>2938</v>
      </c>
      <c r="P262" s="86">
        <f t="shared" si="101"/>
        <v>9817.5</v>
      </c>
      <c r="Q262" s="87">
        <f t="shared" si="102"/>
        <v>6095.25</v>
      </c>
      <c r="R262" s="87">
        <f t="shared" si="103"/>
        <v>3802.75</v>
      </c>
      <c r="S262" s="88">
        <f t="shared" si="104"/>
        <v>556.5</v>
      </c>
      <c r="T262" s="89">
        <f t="shared" si="105"/>
        <v>1190</v>
      </c>
      <c r="U262" s="89">
        <f t="shared" si="108"/>
        <v>5141.5</v>
      </c>
      <c r="V262" s="86">
        <v>1211</v>
      </c>
      <c r="W262" s="87">
        <v>2510</v>
      </c>
      <c r="X262" s="87">
        <v>2777</v>
      </c>
      <c r="Y262" s="87">
        <v>3724</v>
      </c>
      <c r="Z262" s="90">
        <v>3804</v>
      </c>
      <c r="AA262" s="90">
        <v>1112</v>
      </c>
      <c r="AB262" s="91">
        <f t="shared" si="109"/>
        <v>0.12216281650358116</v>
      </c>
      <c r="AC262" s="91">
        <f t="shared" si="110"/>
        <v>0.25320286492484617</v>
      </c>
      <c r="AD262" s="91">
        <f t="shared" si="111"/>
        <v>0.28013719358418238</v>
      </c>
      <c r="AE262" s="91">
        <f t="shared" si="112"/>
        <v>0.37566831433471198</v>
      </c>
      <c r="AF262" s="91">
        <f t="shared" si="113"/>
        <v>0.38373852516897006</v>
      </c>
      <c r="AG262" s="91">
        <f t="shared" si="114"/>
        <v>0.11217593059618683</v>
      </c>
      <c r="AH262" s="92">
        <v>4859.4599999999991</v>
      </c>
      <c r="AI262" s="93">
        <v>8314.9299999999876</v>
      </c>
      <c r="AJ262" s="93">
        <v>8314.9299999999912</v>
      </c>
      <c r="AK262" s="93">
        <v>8465.849999999984</v>
      </c>
      <c r="AL262" s="94">
        <v>6453.4099999999198</v>
      </c>
      <c r="AM262" s="94">
        <v>1643.61</v>
      </c>
      <c r="AN262" s="94" t="s">
        <v>779</v>
      </c>
      <c r="AO262" s="111">
        <v>57198.079999999994</v>
      </c>
      <c r="AP262" s="112">
        <v>35734.200000000004</v>
      </c>
      <c r="AQ262" s="112">
        <v>22022.68</v>
      </c>
      <c r="AR262" s="112">
        <v>3256.3199999999997</v>
      </c>
      <c r="AS262" s="113">
        <v>6973.4</v>
      </c>
      <c r="AT262" s="113">
        <v>29722.16</v>
      </c>
      <c r="AU262" s="111">
        <v>17212.799999999981</v>
      </c>
      <c r="AV262" s="112">
        <v>34002.839999999975</v>
      </c>
      <c r="AW262" s="112">
        <v>36903.939999999959</v>
      </c>
      <c r="AX262" s="112">
        <v>44520.859999999899</v>
      </c>
      <c r="AY262" s="113">
        <v>41397.520000000302</v>
      </c>
      <c r="AZ262" s="113">
        <v>12965.8999999999</v>
      </c>
    </row>
    <row r="263" spans="1:52" x14ac:dyDescent="0.25">
      <c r="A263" s="101" t="s">
        <v>97</v>
      </c>
      <c r="B263" s="102" t="s">
        <v>98</v>
      </c>
      <c r="C263" s="102"/>
      <c r="D263" s="102" t="s">
        <v>1048</v>
      </c>
      <c r="E263" s="103">
        <v>1.75</v>
      </c>
      <c r="F263" s="104">
        <v>200</v>
      </c>
      <c r="G263" s="105">
        <f t="shared" si="106"/>
        <v>100</v>
      </c>
      <c r="H263" s="105">
        <v>429</v>
      </c>
      <c r="I263" s="106">
        <f t="shared" si="107"/>
        <v>0.23310023310023309</v>
      </c>
      <c r="J263" s="86">
        <v>0</v>
      </c>
      <c r="K263" s="87">
        <v>64</v>
      </c>
      <c r="L263" s="87">
        <v>0</v>
      </c>
      <c r="M263" s="87">
        <v>0</v>
      </c>
      <c r="N263" s="90"/>
      <c r="O263" s="90">
        <v>1214</v>
      </c>
      <c r="P263" s="86">
        <f t="shared" si="101"/>
        <v>0</v>
      </c>
      <c r="Q263" s="87">
        <f t="shared" si="102"/>
        <v>112</v>
      </c>
      <c r="R263" s="87">
        <f t="shared" si="103"/>
        <v>0</v>
      </c>
      <c r="S263" s="88">
        <f t="shared" si="104"/>
        <v>0</v>
      </c>
      <c r="T263" s="89">
        <f t="shared" si="105"/>
        <v>0</v>
      </c>
      <c r="U263" s="89">
        <f t="shared" si="108"/>
        <v>2124.5</v>
      </c>
      <c r="V263" s="86">
        <v>0</v>
      </c>
      <c r="W263" s="87">
        <v>4</v>
      </c>
      <c r="X263" s="87">
        <v>3</v>
      </c>
      <c r="Y263" s="87">
        <v>4</v>
      </c>
      <c r="Z263" s="90">
        <v>3</v>
      </c>
      <c r="AA263" s="90">
        <v>2</v>
      </c>
      <c r="AB263" s="91">
        <f t="shared" si="109"/>
        <v>0</v>
      </c>
      <c r="AC263" s="91">
        <f t="shared" si="110"/>
        <v>9.324009324009324E-3</v>
      </c>
      <c r="AD263" s="91">
        <f t="shared" si="111"/>
        <v>6.993006993006993E-3</v>
      </c>
      <c r="AE263" s="91">
        <f t="shared" si="112"/>
        <v>9.324009324009324E-3</v>
      </c>
      <c r="AF263" s="91">
        <f t="shared" si="113"/>
        <v>6.993006993006993E-3</v>
      </c>
      <c r="AG263" s="91">
        <f t="shared" si="114"/>
        <v>4.662004662004662E-3</v>
      </c>
      <c r="AH263" s="92">
        <v>0</v>
      </c>
      <c r="AI263" s="93">
        <v>6.56</v>
      </c>
      <c r="AJ263" s="93">
        <v>6.56</v>
      </c>
      <c r="AK263" s="93">
        <v>4.92</v>
      </c>
      <c r="AL263" s="94">
        <v>6.56</v>
      </c>
      <c r="AM263" s="94">
        <v>3.49</v>
      </c>
      <c r="AN263" s="94" t="s">
        <v>779</v>
      </c>
      <c r="AO263" s="111">
        <v>2252.6999999999998</v>
      </c>
      <c r="AP263" s="112">
        <v>148.47999999999999</v>
      </c>
      <c r="AQ263" s="112">
        <v>0</v>
      </c>
      <c r="AR263" s="112">
        <v>0</v>
      </c>
      <c r="AS263" s="113">
        <v>882</v>
      </c>
      <c r="AT263" s="113">
        <v>2693.0600000000004</v>
      </c>
      <c r="AU263" s="111">
        <v>0</v>
      </c>
      <c r="AV263" s="112">
        <v>15.8</v>
      </c>
      <c r="AW263" s="112">
        <v>11.85</v>
      </c>
      <c r="AX263" s="112">
        <v>15.8</v>
      </c>
      <c r="AY263" s="113">
        <v>11.85</v>
      </c>
      <c r="AZ263" s="113">
        <v>7.9</v>
      </c>
    </row>
    <row r="264" spans="1:52" x14ac:dyDescent="0.25">
      <c r="A264" s="101" t="s">
        <v>613</v>
      </c>
      <c r="B264" s="102" t="s">
        <v>614</v>
      </c>
      <c r="C264" s="102"/>
      <c r="D264" s="102" t="s">
        <v>1048</v>
      </c>
      <c r="E264" s="103">
        <v>1.75</v>
      </c>
      <c r="F264" s="104">
        <v>10000</v>
      </c>
      <c r="G264" s="105">
        <f t="shared" si="106"/>
        <v>5000</v>
      </c>
      <c r="H264" s="105">
        <v>46735</v>
      </c>
      <c r="I264" s="106">
        <f t="shared" si="107"/>
        <v>0.10698619878035734</v>
      </c>
      <c r="J264" s="86">
        <v>1250</v>
      </c>
      <c r="K264" s="87">
        <v>1177</v>
      </c>
      <c r="L264" s="87">
        <v>627</v>
      </c>
      <c r="M264" s="87">
        <v>410</v>
      </c>
      <c r="N264" s="90">
        <v>300</v>
      </c>
      <c r="O264" s="90">
        <v>1445</v>
      </c>
      <c r="P264" s="86">
        <f t="shared" si="101"/>
        <v>2187.5</v>
      </c>
      <c r="Q264" s="87">
        <f t="shared" si="102"/>
        <v>2059.75</v>
      </c>
      <c r="R264" s="87">
        <f t="shared" si="103"/>
        <v>1097.25</v>
      </c>
      <c r="S264" s="88">
        <f t="shared" si="104"/>
        <v>717.5</v>
      </c>
      <c r="T264" s="89">
        <f t="shared" si="105"/>
        <v>525</v>
      </c>
      <c r="U264" s="89">
        <f t="shared" si="108"/>
        <v>2528.75</v>
      </c>
      <c r="V264" s="86">
        <v>2172</v>
      </c>
      <c r="W264" s="87">
        <v>2649</v>
      </c>
      <c r="X264" s="87">
        <v>1171</v>
      </c>
      <c r="Y264" s="87">
        <v>622</v>
      </c>
      <c r="Z264" s="90">
        <v>407</v>
      </c>
      <c r="AA264" s="90">
        <v>0</v>
      </c>
      <c r="AB264" s="91">
        <f t="shared" si="109"/>
        <v>4.6474804750187226E-2</v>
      </c>
      <c r="AC264" s="91">
        <f t="shared" si="110"/>
        <v>5.6681288113833314E-2</v>
      </c>
      <c r="AD264" s="91">
        <f t="shared" si="111"/>
        <v>2.5056167754359687E-2</v>
      </c>
      <c r="AE264" s="91">
        <f t="shared" si="112"/>
        <v>1.3309083128276453E-2</v>
      </c>
      <c r="AF264" s="91">
        <f t="shared" si="113"/>
        <v>8.7086765807210878E-3</v>
      </c>
      <c r="AG264" s="91">
        <f t="shared" si="114"/>
        <v>0</v>
      </c>
      <c r="AH264" s="92">
        <v>687.88000000000306</v>
      </c>
      <c r="AI264" s="93">
        <v>1200.3899999999994</v>
      </c>
      <c r="AJ264" s="93">
        <v>1200.3899999999994</v>
      </c>
      <c r="AK264" s="93">
        <v>1307.9699999999966</v>
      </c>
      <c r="AL264" s="94">
        <v>786.09999999999695</v>
      </c>
      <c r="AM264" s="94">
        <v>0</v>
      </c>
      <c r="AN264" s="94" t="s">
        <v>780</v>
      </c>
      <c r="AO264" s="111">
        <v>45867.6</v>
      </c>
      <c r="AP264" s="112">
        <v>42891.560000000005</v>
      </c>
      <c r="AQ264" s="112">
        <v>22606.16</v>
      </c>
      <c r="AR264" s="112">
        <v>14835.199999999999</v>
      </c>
      <c r="AS264" s="113">
        <v>10883</v>
      </c>
      <c r="AT264" s="113">
        <v>53075.119999999995</v>
      </c>
      <c r="AU264" s="111">
        <v>81615.619999999879</v>
      </c>
      <c r="AV264" s="112">
        <v>99757.969999999972</v>
      </c>
      <c r="AW264" s="112">
        <v>43975.129999999983</v>
      </c>
      <c r="AX264" s="112">
        <v>23204.3999999999</v>
      </c>
      <c r="AY264" s="113">
        <v>15250.2299999999</v>
      </c>
      <c r="AZ264" s="113">
        <v>0</v>
      </c>
    </row>
    <row r="265" spans="1:52" x14ac:dyDescent="0.25">
      <c r="A265" s="101" t="s">
        <v>289</v>
      </c>
      <c r="B265" s="102" t="s">
        <v>290</v>
      </c>
      <c r="C265" s="102"/>
      <c r="D265" s="102" t="s">
        <v>1048</v>
      </c>
      <c r="E265" s="103">
        <v>1.7300000000000004</v>
      </c>
      <c r="F265" s="104">
        <v>2000</v>
      </c>
      <c r="G265" s="105">
        <f t="shared" si="106"/>
        <v>1000</v>
      </c>
      <c r="H265" s="105">
        <v>42677</v>
      </c>
      <c r="I265" s="106">
        <f t="shared" si="107"/>
        <v>2.3431825104857418E-2</v>
      </c>
      <c r="J265" s="86">
        <v>0</v>
      </c>
      <c r="K265" s="87">
        <v>0</v>
      </c>
      <c r="L265" s="87">
        <v>0</v>
      </c>
      <c r="M265" s="87">
        <v>0</v>
      </c>
      <c r="N265" s="90">
        <v>150</v>
      </c>
      <c r="O265" s="90">
        <v>0</v>
      </c>
      <c r="P265" s="86">
        <f t="shared" si="101"/>
        <v>0</v>
      </c>
      <c r="Q265" s="87">
        <f t="shared" si="102"/>
        <v>0</v>
      </c>
      <c r="R265" s="87">
        <f t="shared" si="103"/>
        <v>0</v>
      </c>
      <c r="S265" s="88">
        <f t="shared" si="104"/>
        <v>0</v>
      </c>
      <c r="T265" s="89">
        <f t="shared" si="105"/>
        <v>259.50000000000006</v>
      </c>
      <c r="U265" s="89">
        <f t="shared" si="108"/>
        <v>0</v>
      </c>
      <c r="V265" s="86">
        <v>0</v>
      </c>
      <c r="W265" s="87">
        <v>0</v>
      </c>
      <c r="X265" s="87">
        <v>0</v>
      </c>
      <c r="Y265" s="87">
        <v>0</v>
      </c>
      <c r="Z265" s="90">
        <v>0</v>
      </c>
      <c r="AA265" s="90">
        <v>0</v>
      </c>
      <c r="AB265" s="91">
        <f t="shared" si="109"/>
        <v>0</v>
      </c>
      <c r="AC265" s="91">
        <f t="shared" si="110"/>
        <v>0</v>
      </c>
      <c r="AD265" s="91">
        <f t="shared" si="111"/>
        <v>0</v>
      </c>
      <c r="AE265" s="91">
        <f t="shared" si="112"/>
        <v>0</v>
      </c>
      <c r="AF265" s="91">
        <f t="shared" si="113"/>
        <v>0</v>
      </c>
      <c r="AG265" s="91">
        <f t="shared" si="114"/>
        <v>0</v>
      </c>
      <c r="AH265" s="92">
        <v>0</v>
      </c>
      <c r="AI265" s="93">
        <v>0</v>
      </c>
      <c r="AJ265" s="93">
        <v>0</v>
      </c>
      <c r="AK265" s="93">
        <v>0</v>
      </c>
      <c r="AL265" s="94">
        <v>0</v>
      </c>
      <c r="AM265" s="94">
        <v>0</v>
      </c>
      <c r="AN265" s="94" t="s">
        <v>779</v>
      </c>
      <c r="AO265" s="111">
        <v>0</v>
      </c>
      <c r="AP265" s="112">
        <v>0</v>
      </c>
      <c r="AQ265" s="112">
        <v>0</v>
      </c>
      <c r="AR265" s="112">
        <v>0</v>
      </c>
      <c r="AS265" s="113">
        <v>0</v>
      </c>
      <c r="AT265" s="113">
        <v>0</v>
      </c>
      <c r="AU265" s="111">
        <v>0</v>
      </c>
      <c r="AV265" s="112">
        <v>0</v>
      </c>
      <c r="AW265" s="112">
        <v>0</v>
      </c>
      <c r="AX265" s="112">
        <v>0</v>
      </c>
      <c r="AY265" s="113">
        <v>0</v>
      </c>
      <c r="AZ265" s="113">
        <v>0</v>
      </c>
    </row>
    <row r="266" spans="1:52" x14ac:dyDescent="0.25">
      <c r="A266" s="101" t="s">
        <v>961</v>
      </c>
      <c r="B266" s="102" t="s">
        <v>549</v>
      </c>
      <c r="C266" s="102"/>
      <c r="D266" s="102" t="s">
        <v>1049</v>
      </c>
      <c r="E266" s="103">
        <v>1.7300000000000004</v>
      </c>
      <c r="F266" s="104">
        <v>4500</v>
      </c>
      <c r="G266" s="105">
        <f t="shared" si="106"/>
        <v>2250</v>
      </c>
      <c r="H266" s="105">
        <v>7745</v>
      </c>
      <c r="I266" s="106">
        <f t="shared" si="107"/>
        <v>0.2905100064557779</v>
      </c>
      <c r="J266" s="86">
        <v>740</v>
      </c>
      <c r="K266" s="87">
        <v>500</v>
      </c>
      <c r="L266" s="87">
        <v>0</v>
      </c>
      <c r="M266" s="87">
        <v>50</v>
      </c>
      <c r="N266" s="90"/>
      <c r="O266" s="90">
        <v>0</v>
      </c>
      <c r="P266" s="86">
        <f t="shared" si="101"/>
        <v>1280.2000000000003</v>
      </c>
      <c r="Q266" s="87">
        <f t="shared" si="102"/>
        <v>865.00000000000023</v>
      </c>
      <c r="R266" s="87">
        <f t="shared" si="103"/>
        <v>0</v>
      </c>
      <c r="S266" s="88">
        <f t="shared" si="104"/>
        <v>86.500000000000028</v>
      </c>
      <c r="T266" s="89">
        <f t="shared" si="105"/>
        <v>0</v>
      </c>
      <c r="U266" s="89">
        <f t="shared" si="108"/>
        <v>0</v>
      </c>
      <c r="V266" s="86">
        <v>815</v>
      </c>
      <c r="W266" s="87">
        <v>609</v>
      </c>
      <c r="X266" s="87">
        <v>898</v>
      </c>
      <c r="Y266" s="87">
        <v>1729</v>
      </c>
      <c r="Z266" s="90">
        <v>48</v>
      </c>
      <c r="AA266" s="90">
        <v>0</v>
      </c>
      <c r="AB266" s="91">
        <f t="shared" si="109"/>
        <v>0.105229180116204</v>
      </c>
      <c r="AC266" s="91">
        <f t="shared" si="110"/>
        <v>7.863137508069723E-2</v>
      </c>
      <c r="AD266" s="91">
        <f t="shared" si="111"/>
        <v>0.11594577146546159</v>
      </c>
      <c r="AE266" s="91">
        <f t="shared" si="112"/>
        <v>0.22324080051646222</v>
      </c>
      <c r="AF266" s="91">
        <f t="shared" si="113"/>
        <v>6.1975468043899288E-3</v>
      </c>
      <c r="AG266" s="91">
        <f t="shared" si="114"/>
        <v>0</v>
      </c>
      <c r="AH266" s="92">
        <v>420.29000000000008</v>
      </c>
      <c r="AI266" s="93">
        <v>508.37999999999943</v>
      </c>
      <c r="AJ266" s="93">
        <v>508.37999999999948</v>
      </c>
      <c r="AK266" s="93">
        <v>616.80999999999949</v>
      </c>
      <c r="AL266" s="94">
        <v>1177.3299999999899</v>
      </c>
      <c r="AM266" s="94">
        <v>0</v>
      </c>
      <c r="AN266" s="94" t="s">
        <v>780</v>
      </c>
      <c r="AO266" s="111">
        <v>19318.400000000001</v>
      </c>
      <c r="AP266" s="112">
        <v>13170</v>
      </c>
      <c r="AQ266" s="112">
        <v>0</v>
      </c>
      <c r="AR266" s="112">
        <v>1272.5</v>
      </c>
      <c r="AS266" s="113">
        <v>0</v>
      </c>
      <c r="AT266" s="113">
        <v>0</v>
      </c>
      <c r="AU266" s="111">
        <v>0</v>
      </c>
      <c r="AV266" s="112">
        <v>0</v>
      </c>
      <c r="AW266" s="112">
        <v>0</v>
      </c>
      <c r="AX266" s="112">
        <v>0</v>
      </c>
      <c r="AY266" s="113">
        <v>0</v>
      </c>
      <c r="AZ266" s="113">
        <v>0</v>
      </c>
    </row>
    <row r="267" spans="1:52" x14ac:dyDescent="0.25">
      <c r="A267" s="101" t="s">
        <v>962</v>
      </c>
      <c r="B267" s="102" t="s">
        <v>250</v>
      </c>
      <c r="C267" s="102"/>
      <c r="D267" s="102" t="s">
        <v>1048</v>
      </c>
      <c r="E267" s="103">
        <v>1.7199999999999998</v>
      </c>
      <c r="F267" s="104">
        <v>600</v>
      </c>
      <c r="G267" s="105">
        <f t="shared" si="106"/>
        <v>300</v>
      </c>
      <c r="H267" s="105">
        <v>57</v>
      </c>
      <c r="I267" s="106">
        <f t="shared" si="107"/>
        <v>5.2631578947368425</v>
      </c>
      <c r="J267" s="86">
        <v>0</v>
      </c>
      <c r="K267" s="87">
        <v>0</v>
      </c>
      <c r="L267" s="87">
        <v>801</v>
      </c>
      <c r="M267" s="87">
        <v>560</v>
      </c>
      <c r="N267" s="90">
        <v>289</v>
      </c>
      <c r="O267" s="90">
        <v>0</v>
      </c>
      <c r="P267" s="86">
        <f t="shared" si="101"/>
        <v>0</v>
      </c>
      <c r="Q267" s="87">
        <f t="shared" si="102"/>
        <v>0</v>
      </c>
      <c r="R267" s="87">
        <f t="shared" si="103"/>
        <v>1377.7199999999998</v>
      </c>
      <c r="S267" s="88">
        <f t="shared" si="104"/>
        <v>963.19999999999982</v>
      </c>
      <c r="T267" s="89">
        <f t="shared" si="105"/>
        <v>497.07999999999993</v>
      </c>
      <c r="U267" s="89">
        <f t="shared" si="108"/>
        <v>0</v>
      </c>
      <c r="V267" s="86">
        <v>306</v>
      </c>
      <c r="W267" s="87">
        <v>71</v>
      </c>
      <c r="X267" s="87">
        <v>224</v>
      </c>
      <c r="Y267" s="87">
        <v>24</v>
      </c>
      <c r="Z267" s="90">
        <v>345</v>
      </c>
      <c r="AA267" s="90">
        <v>364</v>
      </c>
      <c r="AB267" s="91">
        <f t="shared" si="109"/>
        <v>5.3684210526315788</v>
      </c>
      <c r="AC267" s="91">
        <f t="shared" si="110"/>
        <v>1.2456140350877194</v>
      </c>
      <c r="AD267" s="91">
        <f t="shared" si="111"/>
        <v>3.9298245614035086</v>
      </c>
      <c r="AE267" s="91">
        <f t="shared" si="112"/>
        <v>0.42105263157894735</v>
      </c>
      <c r="AF267" s="91">
        <f t="shared" si="113"/>
        <v>6.0526315789473681</v>
      </c>
      <c r="AG267" s="91">
        <f t="shared" si="114"/>
        <v>6.3859649122807021</v>
      </c>
      <c r="AH267" s="92">
        <v>244.29</v>
      </c>
      <c r="AI267" s="93">
        <v>815.06999999999994</v>
      </c>
      <c r="AJ267" s="93">
        <v>815.06999999999994</v>
      </c>
      <c r="AK267" s="93">
        <v>2874.869999999999</v>
      </c>
      <c r="AL267" s="94">
        <v>713.88</v>
      </c>
      <c r="AM267" s="94">
        <v>734.86</v>
      </c>
      <c r="AN267" s="94" t="s">
        <v>779</v>
      </c>
      <c r="AO267" s="111">
        <v>0</v>
      </c>
      <c r="AP267" s="112">
        <v>0</v>
      </c>
      <c r="AQ267" s="112">
        <v>3900.87</v>
      </c>
      <c r="AR267" s="112">
        <v>3168.6</v>
      </c>
      <c r="AS267" s="113">
        <v>1485.75</v>
      </c>
      <c r="AT267" s="113">
        <v>0</v>
      </c>
      <c r="AU267" s="111">
        <v>0</v>
      </c>
      <c r="AV267" s="112">
        <v>0</v>
      </c>
      <c r="AW267" s="112">
        <v>0</v>
      </c>
      <c r="AX267" s="112">
        <v>0</v>
      </c>
      <c r="AY267" s="113">
        <v>0</v>
      </c>
      <c r="AZ267" s="113">
        <v>0</v>
      </c>
    </row>
    <row r="268" spans="1:52" x14ac:dyDescent="0.25">
      <c r="A268" s="101" t="s">
        <v>825</v>
      </c>
      <c r="B268" s="102" t="s">
        <v>868</v>
      </c>
      <c r="C268" s="102"/>
      <c r="D268" s="102" t="s">
        <v>1049</v>
      </c>
      <c r="E268" s="103">
        <v>1.7062907268170378</v>
      </c>
      <c r="F268" s="104">
        <v>4000</v>
      </c>
      <c r="G268" s="105">
        <f t="shared" si="106"/>
        <v>2000</v>
      </c>
      <c r="H268" s="105">
        <v>13205</v>
      </c>
      <c r="I268" s="106">
        <f t="shared" si="107"/>
        <v>0.15145778114350625</v>
      </c>
      <c r="J268" s="86">
        <v>0</v>
      </c>
      <c r="K268" s="86">
        <v>0</v>
      </c>
      <c r="L268" s="86">
        <v>0</v>
      </c>
      <c r="M268" s="86">
        <v>0</v>
      </c>
      <c r="N268" s="86">
        <v>0</v>
      </c>
      <c r="O268" s="90">
        <v>258</v>
      </c>
      <c r="P268" s="86"/>
      <c r="Q268" s="87"/>
      <c r="R268" s="87"/>
      <c r="S268" s="88"/>
      <c r="T268" s="89"/>
      <c r="U268" s="89">
        <f t="shared" si="108"/>
        <v>440.22300751879573</v>
      </c>
      <c r="V268" s="86"/>
      <c r="W268" s="87"/>
      <c r="X268" s="87"/>
      <c r="Y268" s="87"/>
      <c r="Z268" s="90"/>
      <c r="AA268" s="90"/>
      <c r="AB268" s="91">
        <f t="shared" si="109"/>
        <v>0</v>
      </c>
      <c r="AC268" s="91">
        <f t="shared" si="110"/>
        <v>0</v>
      </c>
      <c r="AD268" s="91">
        <f t="shared" si="111"/>
        <v>0</v>
      </c>
      <c r="AE268" s="91">
        <f t="shared" si="112"/>
        <v>0</v>
      </c>
      <c r="AF268" s="91">
        <f t="shared" si="113"/>
        <v>0</v>
      </c>
      <c r="AG268" s="91">
        <f t="shared" si="114"/>
        <v>0</v>
      </c>
      <c r="AH268" s="92"/>
      <c r="AI268" s="93"/>
      <c r="AJ268" s="93"/>
      <c r="AK268" s="93"/>
      <c r="AL268" s="94"/>
      <c r="AM268" s="94"/>
      <c r="AN268" s="94" t="s">
        <v>780</v>
      </c>
      <c r="AO268" s="111">
        <v>26818.66</v>
      </c>
      <c r="AP268" s="112">
        <v>2768.28</v>
      </c>
      <c r="AQ268" s="112">
        <v>0</v>
      </c>
      <c r="AR268" s="112">
        <v>24805.24</v>
      </c>
      <c r="AS268" s="113">
        <v>12854.550000000001</v>
      </c>
      <c r="AT268" s="113">
        <v>15529.720000000001</v>
      </c>
      <c r="AU268" s="111">
        <v>0</v>
      </c>
      <c r="AV268" s="112">
        <v>0</v>
      </c>
      <c r="AW268" s="112">
        <v>36754.329999999987</v>
      </c>
      <c r="AX268" s="112">
        <v>2889.45</v>
      </c>
      <c r="AY268" s="113">
        <v>12276.33</v>
      </c>
      <c r="AZ268" s="113">
        <v>27138.909999999902</v>
      </c>
    </row>
    <row r="269" spans="1:52" x14ac:dyDescent="0.25">
      <c r="A269" s="101" t="s">
        <v>660</v>
      </c>
      <c r="B269" s="102" t="s">
        <v>661</v>
      </c>
      <c r="C269" s="102"/>
      <c r="D269" s="102" t="s">
        <v>1048</v>
      </c>
      <c r="E269" s="103">
        <v>1.7000000000000028</v>
      </c>
      <c r="F269" s="104">
        <v>1000</v>
      </c>
      <c r="G269" s="105">
        <f t="shared" si="106"/>
        <v>500</v>
      </c>
      <c r="H269" s="105">
        <v>7459</v>
      </c>
      <c r="I269" s="106">
        <f t="shared" si="107"/>
        <v>6.7033114358493101E-2</v>
      </c>
      <c r="J269" s="86">
        <v>181.81818181818181</v>
      </c>
      <c r="K269" s="87">
        <v>166.66666666666666</v>
      </c>
      <c r="L269" s="87">
        <v>0</v>
      </c>
      <c r="M269" s="87">
        <v>151.5151515151515</v>
      </c>
      <c r="N269" s="90">
        <v>96.969696969696969</v>
      </c>
      <c r="O269" s="90">
        <v>981</v>
      </c>
      <c r="P269" s="86">
        <f t="shared" ref="P269:P276" si="115">+J269*E269</f>
        <v>309.09090909090958</v>
      </c>
      <c r="Q269" s="87">
        <f t="shared" ref="Q269:Q276" si="116">+K269*E269</f>
        <v>283.33333333333377</v>
      </c>
      <c r="R269" s="87">
        <f t="shared" ref="R269:R276" si="117">+L269*E269</f>
        <v>0</v>
      </c>
      <c r="S269" s="88">
        <f t="shared" ref="S269:S276" si="118">+M269*E269</f>
        <v>257.57575757575796</v>
      </c>
      <c r="T269" s="89">
        <f t="shared" ref="T269:T276" si="119">+N269*E269</f>
        <v>164.84848484848513</v>
      </c>
      <c r="U269" s="89">
        <f t="shared" si="108"/>
        <v>1667.7000000000028</v>
      </c>
      <c r="V269" s="86">
        <v>66</v>
      </c>
      <c r="W269" s="87">
        <v>241</v>
      </c>
      <c r="X269" s="87">
        <v>164</v>
      </c>
      <c r="Y269" s="87">
        <v>0</v>
      </c>
      <c r="Z269" s="90">
        <v>149</v>
      </c>
      <c r="AA269" s="90">
        <v>440</v>
      </c>
      <c r="AB269" s="91">
        <f t="shared" si="109"/>
        <v>8.8483710953210885E-3</v>
      </c>
      <c r="AC269" s="91">
        <f t="shared" si="110"/>
        <v>3.2309961120793672E-2</v>
      </c>
      <c r="AD269" s="91">
        <f t="shared" si="111"/>
        <v>2.1986861509585735E-2</v>
      </c>
      <c r="AE269" s="91">
        <f t="shared" si="112"/>
        <v>0</v>
      </c>
      <c r="AF269" s="91">
        <f t="shared" si="113"/>
        <v>1.9975868078830943E-2</v>
      </c>
      <c r="AG269" s="91">
        <f t="shared" si="114"/>
        <v>5.8989140635473926E-2</v>
      </c>
      <c r="AH269" s="92">
        <v>143.88</v>
      </c>
      <c r="AI269" s="93">
        <v>656.38999999999601</v>
      </c>
      <c r="AJ269" s="93">
        <v>656.38999999999601</v>
      </c>
      <c r="AK269" s="93">
        <v>198.76999999999902</v>
      </c>
      <c r="AL269" s="94">
        <v>253.30000000000041</v>
      </c>
      <c r="AM269" s="94">
        <v>769.29999999999802</v>
      </c>
      <c r="AN269" s="94" t="s">
        <v>780</v>
      </c>
      <c r="AO269" s="111">
        <v>10044.6</v>
      </c>
      <c r="AP269" s="112">
        <v>9442.4</v>
      </c>
      <c r="AQ269" s="112">
        <v>0</v>
      </c>
      <c r="AR269" s="112">
        <v>8521</v>
      </c>
      <c r="AS269" s="113">
        <v>8198.4000000000015</v>
      </c>
      <c r="AT269" s="113">
        <v>15384.81</v>
      </c>
      <c r="AU269" s="111">
        <v>3794.34</v>
      </c>
      <c r="AV269" s="112">
        <v>14075.179999999989</v>
      </c>
      <c r="AW269" s="112">
        <v>9584.49</v>
      </c>
      <c r="AX269" s="112">
        <v>0</v>
      </c>
      <c r="AY269" s="113">
        <v>8692.1299999999901</v>
      </c>
      <c r="AZ269" s="113">
        <v>25551.14</v>
      </c>
    </row>
    <row r="270" spans="1:52" x14ac:dyDescent="0.25">
      <c r="A270" s="101" t="s">
        <v>963</v>
      </c>
      <c r="B270" s="102" t="s">
        <v>310</v>
      </c>
      <c r="C270" s="102"/>
      <c r="D270" s="102" t="s">
        <v>1049</v>
      </c>
      <c r="E270" s="103">
        <v>1.7000000000000011</v>
      </c>
      <c r="F270" s="104">
        <v>25000</v>
      </c>
      <c r="G270" s="105">
        <f t="shared" si="106"/>
        <v>12500</v>
      </c>
      <c r="H270" s="105">
        <v>244082</v>
      </c>
      <c r="I270" s="106">
        <f t="shared" si="107"/>
        <v>5.121229750657566E-2</v>
      </c>
      <c r="J270" s="86">
        <v>2625</v>
      </c>
      <c r="K270" s="87">
        <v>5321</v>
      </c>
      <c r="L270" s="87">
        <v>5587</v>
      </c>
      <c r="M270" s="87">
        <v>3430</v>
      </c>
      <c r="N270" s="90">
        <v>550</v>
      </c>
      <c r="O270" s="90">
        <v>13399</v>
      </c>
      <c r="P270" s="86">
        <f t="shared" si="115"/>
        <v>4462.5000000000027</v>
      </c>
      <c r="Q270" s="87">
        <f t="shared" si="116"/>
        <v>9045.7000000000062</v>
      </c>
      <c r="R270" s="87">
        <f t="shared" si="117"/>
        <v>9497.9000000000051</v>
      </c>
      <c r="S270" s="88">
        <f t="shared" si="118"/>
        <v>5831.0000000000036</v>
      </c>
      <c r="T270" s="89">
        <f t="shared" si="119"/>
        <v>935.00000000000057</v>
      </c>
      <c r="U270" s="89">
        <f t="shared" si="108"/>
        <v>22778.300000000014</v>
      </c>
      <c r="V270" s="86">
        <v>222</v>
      </c>
      <c r="W270" s="87">
        <v>3413</v>
      </c>
      <c r="X270" s="87">
        <v>2839</v>
      </c>
      <c r="Y270" s="87">
        <v>5530</v>
      </c>
      <c r="Z270" s="90">
        <v>3743</v>
      </c>
      <c r="AA270" s="90">
        <v>11149</v>
      </c>
      <c r="AB270" s="91">
        <f t="shared" si="109"/>
        <v>9.0953040371678372E-4</v>
      </c>
      <c r="AC270" s="91">
        <f t="shared" si="110"/>
        <v>1.3983005711195418E-2</v>
      </c>
      <c r="AD270" s="91">
        <f t="shared" si="111"/>
        <v>1.1631337009693463E-2</v>
      </c>
      <c r="AE270" s="91">
        <f t="shared" si="112"/>
        <v>2.265632041690907E-2</v>
      </c>
      <c r="AF270" s="91">
        <f t="shared" si="113"/>
        <v>1.5335010365369016E-2</v>
      </c>
      <c r="AG270" s="91">
        <f t="shared" si="114"/>
        <v>4.5677272392064962E-2</v>
      </c>
      <c r="AH270" s="92">
        <v>426.1</v>
      </c>
      <c r="AI270" s="93">
        <v>6376.95999999999</v>
      </c>
      <c r="AJ270" s="93">
        <v>6376.9599999999909</v>
      </c>
      <c r="AK270" s="93">
        <v>4275.489999999998</v>
      </c>
      <c r="AL270" s="94">
        <v>8193.6999999999898</v>
      </c>
      <c r="AM270" s="94">
        <v>17709.439999999999</v>
      </c>
      <c r="AN270" s="94" t="s">
        <v>779</v>
      </c>
      <c r="AO270" s="111">
        <v>19227.200000000004</v>
      </c>
      <c r="AP270" s="112">
        <v>39837.820000000007</v>
      </c>
      <c r="AQ270" s="112">
        <v>41062.03</v>
      </c>
      <c r="AR270" s="112">
        <v>25676.800000000003</v>
      </c>
      <c r="AS270" s="113">
        <v>4020.5</v>
      </c>
      <c r="AT270" s="113">
        <v>100206.98</v>
      </c>
      <c r="AU270" s="111">
        <v>0</v>
      </c>
      <c r="AV270" s="112">
        <v>0</v>
      </c>
      <c r="AW270" s="112">
        <v>0</v>
      </c>
      <c r="AX270" s="112">
        <v>0</v>
      </c>
      <c r="AY270" s="113">
        <v>0</v>
      </c>
      <c r="AZ270" s="113">
        <v>0</v>
      </c>
    </row>
    <row r="271" spans="1:52" x14ac:dyDescent="0.25">
      <c r="A271" s="101" t="s">
        <v>964</v>
      </c>
      <c r="B271" s="102" t="s">
        <v>238</v>
      </c>
      <c r="C271" s="102"/>
      <c r="D271" s="102" t="s">
        <v>1048</v>
      </c>
      <c r="E271" s="103">
        <v>1.7000000000000002</v>
      </c>
      <c r="F271" s="104">
        <v>500</v>
      </c>
      <c r="G271" s="105">
        <f t="shared" si="106"/>
        <v>250</v>
      </c>
      <c r="H271" s="105">
        <v>1558</v>
      </c>
      <c r="I271" s="106">
        <f t="shared" si="107"/>
        <v>0.16046213093709885</v>
      </c>
      <c r="J271" s="86">
        <v>196</v>
      </c>
      <c r="K271" s="87">
        <v>1320</v>
      </c>
      <c r="L271" s="87">
        <v>882</v>
      </c>
      <c r="M271" s="87">
        <v>250</v>
      </c>
      <c r="N271" s="90">
        <v>150</v>
      </c>
      <c r="O271" s="90">
        <v>1037</v>
      </c>
      <c r="P271" s="86">
        <f t="shared" si="115"/>
        <v>333.20000000000005</v>
      </c>
      <c r="Q271" s="87">
        <f t="shared" si="116"/>
        <v>2244.0000000000005</v>
      </c>
      <c r="R271" s="87">
        <f t="shared" si="117"/>
        <v>1499.4</v>
      </c>
      <c r="S271" s="88">
        <f t="shared" si="118"/>
        <v>425.00000000000006</v>
      </c>
      <c r="T271" s="89">
        <f t="shared" si="119"/>
        <v>255.00000000000003</v>
      </c>
      <c r="U271" s="89">
        <f t="shared" si="108"/>
        <v>1762.9</v>
      </c>
      <c r="V271" s="86">
        <v>83</v>
      </c>
      <c r="W271" s="87">
        <v>261</v>
      </c>
      <c r="X271" s="87">
        <v>633</v>
      </c>
      <c r="Y271" s="87">
        <v>776</v>
      </c>
      <c r="Z271" s="90">
        <v>523</v>
      </c>
      <c r="AA271" s="90">
        <v>475</v>
      </c>
      <c r="AB271" s="91">
        <f t="shared" si="109"/>
        <v>5.3273427471116817E-2</v>
      </c>
      <c r="AC271" s="91">
        <f t="shared" si="110"/>
        <v>0.16752246469833118</v>
      </c>
      <c r="AD271" s="91">
        <f t="shared" si="111"/>
        <v>0.40629011553273425</v>
      </c>
      <c r="AE271" s="91">
        <f t="shared" si="112"/>
        <v>0.49807445442875481</v>
      </c>
      <c r="AF271" s="91">
        <f t="shared" si="113"/>
        <v>0.33568677792041079</v>
      </c>
      <c r="AG271" s="91">
        <f t="shared" si="114"/>
        <v>0.3048780487804878</v>
      </c>
      <c r="AH271" s="92">
        <v>405.98</v>
      </c>
      <c r="AI271" s="93">
        <v>3079.9799999999959</v>
      </c>
      <c r="AJ271" s="93">
        <v>3079.979999999995</v>
      </c>
      <c r="AK271" s="93">
        <v>6540.8999999999942</v>
      </c>
      <c r="AL271" s="94">
        <v>7202.7699999999704</v>
      </c>
      <c r="AM271" s="94">
        <v>767.28</v>
      </c>
      <c r="AN271" s="94" t="s">
        <v>779</v>
      </c>
      <c r="AO271" s="111">
        <v>959.74</v>
      </c>
      <c r="AP271" s="112">
        <v>6497.9699999999993</v>
      </c>
      <c r="AQ271" s="112">
        <v>4159.2199999999993</v>
      </c>
      <c r="AR271" s="112">
        <v>1206.5</v>
      </c>
      <c r="AS271" s="113">
        <v>727.5</v>
      </c>
      <c r="AT271" s="113">
        <v>4994.92</v>
      </c>
      <c r="AU271" s="111">
        <v>0</v>
      </c>
      <c r="AV271" s="112">
        <v>0</v>
      </c>
      <c r="AW271" s="112">
        <v>0</v>
      </c>
      <c r="AX271" s="112">
        <v>0</v>
      </c>
      <c r="AY271" s="113">
        <v>0</v>
      </c>
      <c r="AZ271" s="113">
        <v>0</v>
      </c>
    </row>
    <row r="272" spans="1:52" x14ac:dyDescent="0.25">
      <c r="A272" s="101" t="s">
        <v>602</v>
      </c>
      <c r="B272" s="102" t="s">
        <v>603</v>
      </c>
      <c r="C272" s="102"/>
      <c r="D272" s="102" t="s">
        <v>1048</v>
      </c>
      <c r="E272" s="103">
        <v>1.6999999999999957</v>
      </c>
      <c r="F272" s="104">
        <v>2000</v>
      </c>
      <c r="G272" s="105">
        <f t="shared" si="106"/>
        <v>1000</v>
      </c>
      <c r="H272" s="105">
        <v>9434</v>
      </c>
      <c r="I272" s="106">
        <f t="shared" si="107"/>
        <v>0.10599957600169599</v>
      </c>
      <c r="J272" s="86">
        <v>67</v>
      </c>
      <c r="K272" s="87">
        <v>1024</v>
      </c>
      <c r="L272" s="87">
        <v>1069</v>
      </c>
      <c r="M272" s="87">
        <v>838</v>
      </c>
      <c r="N272" s="90">
        <v>264</v>
      </c>
      <c r="O272" s="90">
        <v>291</v>
      </c>
      <c r="P272" s="86">
        <f t="shared" si="115"/>
        <v>113.89999999999972</v>
      </c>
      <c r="Q272" s="87">
        <f t="shared" si="116"/>
        <v>1740.7999999999956</v>
      </c>
      <c r="R272" s="87">
        <f t="shared" si="117"/>
        <v>1817.2999999999954</v>
      </c>
      <c r="S272" s="88">
        <f t="shared" si="118"/>
        <v>1424.5999999999965</v>
      </c>
      <c r="T272" s="89">
        <f t="shared" si="119"/>
        <v>448.79999999999887</v>
      </c>
      <c r="U272" s="89">
        <f t="shared" si="108"/>
        <v>494.69999999999874</v>
      </c>
      <c r="V272" s="86">
        <v>70</v>
      </c>
      <c r="W272" s="87">
        <v>106</v>
      </c>
      <c r="X272" s="87">
        <v>936</v>
      </c>
      <c r="Y272" s="87">
        <v>1225</v>
      </c>
      <c r="Z272" s="90">
        <v>546</v>
      </c>
      <c r="AA272" s="90">
        <v>496</v>
      </c>
      <c r="AB272" s="91">
        <f t="shared" si="109"/>
        <v>7.4199703201187194E-3</v>
      </c>
      <c r="AC272" s="91">
        <f t="shared" si="110"/>
        <v>1.1235955056179775E-2</v>
      </c>
      <c r="AD272" s="91">
        <f t="shared" si="111"/>
        <v>9.9215603137587455E-2</v>
      </c>
      <c r="AE272" s="91">
        <f t="shared" si="112"/>
        <v>0.1298494806020776</v>
      </c>
      <c r="AF272" s="91">
        <f t="shared" si="113"/>
        <v>5.7875768496926015E-2</v>
      </c>
      <c r="AG272" s="91">
        <f t="shared" si="114"/>
        <v>5.2575789696841214E-2</v>
      </c>
      <c r="AH272" s="92">
        <v>131.51</v>
      </c>
      <c r="AI272" s="93">
        <v>183.31999999999988</v>
      </c>
      <c r="AJ272" s="93">
        <v>183.31999999999991</v>
      </c>
      <c r="AK272" s="93">
        <v>1160.8799999999978</v>
      </c>
      <c r="AL272" s="94">
        <v>1476.1499999999901</v>
      </c>
      <c r="AM272" s="94">
        <v>823.26</v>
      </c>
      <c r="AN272" s="94" t="s">
        <v>780</v>
      </c>
      <c r="AO272" s="111">
        <v>2273.31</v>
      </c>
      <c r="AP272" s="112">
        <v>34949</v>
      </c>
      <c r="AQ272" s="112">
        <v>36202.570000000007</v>
      </c>
      <c r="AR272" s="112">
        <v>28296.94</v>
      </c>
      <c r="AS272" s="113">
        <v>8903.369999999999</v>
      </c>
      <c r="AT272" s="113">
        <v>9768.33</v>
      </c>
      <c r="AU272" s="111">
        <v>2491.91</v>
      </c>
      <c r="AV272" s="112">
        <v>3782.8399999999988</v>
      </c>
      <c r="AW272" s="112">
        <v>32945.33</v>
      </c>
      <c r="AX272" s="112">
        <v>42937.670000000202</v>
      </c>
      <c r="AY272" s="113">
        <v>19156.279999999901</v>
      </c>
      <c r="AZ272" s="113">
        <v>17612.139999999901</v>
      </c>
    </row>
    <row r="273" spans="1:52" x14ac:dyDescent="0.25">
      <c r="A273" s="101" t="s">
        <v>965</v>
      </c>
      <c r="B273" s="102" t="s">
        <v>123</v>
      </c>
      <c r="C273" s="102"/>
      <c r="D273" s="102" t="s">
        <v>1048</v>
      </c>
      <c r="E273" s="103">
        <v>1.6600000000000001</v>
      </c>
      <c r="F273" s="104">
        <v>1500</v>
      </c>
      <c r="G273" s="105">
        <f t="shared" si="106"/>
        <v>750</v>
      </c>
      <c r="H273" s="105">
        <v>2571</v>
      </c>
      <c r="I273" s="106">
        <f t="shared" si="107"/>
        <v>0.29171528588098017</v>
      </c>
      <c r="J273" s="86">
        <v>576</v>
      </c>
      <c r="K273" s="87">
        <v>408</v>
      </c>
      <c r="L273" s="87">
        <v>0</v>
      </c>
      <c r="M273" s="87">
        <v>532</v>
      </c>
      <c r="N273" s="90">
        <v>246</v>
      </c>
      <c r="O273" s="90">
        <v>257</v>
      </c>
      <c r="P273" s="86">
        <f t="shared" si="115"/>
        <v>956.16000000000008</v>
      </c>
      <c r="Q273" s="87">
        <f t="shared" si="116"/>
        <v>677.28000000000009</v>
      </c>
      <c r="R273" s="87">
        <f t="shared" si="117"/>
        <v>0</v>
      </c>
      <c r="S273" s="88">
        <f t="shared" si="118"/>
        <v>883.12000000000012</v>
      </c>
      <c r="T273" s="89">
        <f t="shared" si="119"/>
        <v>408.36</v>
      </c>
      <c r="U273" s="89">
        <f t="shared" si="108"/>
        <v>426.62000000000006</v>
      </c>
      <c r="V273" s="86">
        <v>265</v>
      </c>
      <c r="W273" s="87">
        <v>574</v>
      </c>
      <c r="X273" s="87">
        <v>404</v>
      </c>
      <c r="Y273" s="87">
        <v>0</v>
      </c>
      <c r="Z273" s="90">
        <v>600</v>
      </c>
      <c r="AA273" s="90">
        <v>244</v>
      </c>
      <c r="AB273" s="91">
        <f t="shared" si="109"/>
        <v>0.10307273434461299</v>
      </c>
      <c r="AC273" s="91">
        <f t="shared" si="110"/>
        <v>0.22325943212757682</v>
      </c>
      <c r="AD273" s="91">
        <f t="shared" si="111"/>
        <v>0.15713730066122131</v>
      </c>
      <c r="AE273" s="91">
        <f t="shared" si="112"/>
        <v>0</v>
      </c>
      <c r="AF273" s="91">
        <f t="shared" si="113"/>
        <v>0.23337222870478413</v>
      </c>
      <c r="AG273" s="91">
        <f t="shared" si="114"/>
        <v>9.4904706339945549E-2</v>
      </c>
      <c r="AH273" s="92">
        <v>143.28</v>
      </c>
      <c r="AI273" s="93">
        <v>657.83999999999685</v>
      </c>
      <c r="AJ273" s="93">
        <v>657.83999999999673</v>
      </c>
      <c r="AK273" s="93">
        <v>590.75999999999794</v>
      </c>
      <c r="AL273" s="94">
        <v>996.00000000000011</v>
      </c>
      <c r="AM273" s="94">
        <v>298.18999999999897</v>
      </c>
      <c r="AN273" s="94" t="s">
        <v>779</v>
      </c>
      <c r="AO273" s="111">
        <v>1634.3999999999999</v>
      </c>
      <c r="AP273" s="112">
        <v>1162.74</v>
      </c>
      <c r="AQ273" s="112">
        <v>0</v>
      </c>
      <c r="AR273" s="112">
        <v>1508.44</v>
      </c>
      <c r="AS273" s="113">
        <v>694.44</v>
      </c>
      <c r="AT273" s="113">
        <v>722.89</v>
      </c>
      <c r="AU273" s="111">
        <v>0</v>
      </c>
      <c r="AV273" s="112">
        <v>0</v>
      </c>
      <c r="AW273" s="112">
        <v>0</v>
      </c>
      <c r="AX273" s="112">
        <v>0</v>
      </c>
      <c r="AY273" s="113">
        <v>0</v>
      </c>
      <c r="AZ273" s="113">
        <v>0</v>
      </c>
    </row>
    <row r="274" spans="1:52" x14ac:dyDescent="0.25">
      <c r="A274" s="101" t="s">
        <v>165</v>
      </c>
      <c r="B274" s="102" t="s">
        <v>166</v>
      </c>
      <c r="C274" s="102"/>
      <c r="D274" s="102" t="s">
        <v>1048</v>
      </c>
      <c r="E274" s="103">
        <v>1.6599999999999997</v>
      </c>
      <c r="F274" s="104">
        <v>20000</v>
      </c>
      <c r="G274" s="105">
        <f t="shared" si="106"/>
        <v>10000</v>
      </c>
      <c r="H274" s="105">
        <v>28294</v>
      </c>
      <c r="I274" s="106">
        <f t="shared" si="107"/>
        <v>0.35343182300134302</v>
      </c>
      <c r="J274" s="86">
        <v>10703</v>
      </c>
      <c r="K274" s="87">
        <v>6979</v>
      </c>
      <c r="L274" s="87">
        <v>5375</v>
      </c>
      <c r="M274" s="87">
        <v>4622</v>
      </c>
      <c r="N274" s="90">
        <v>2390</v>
      </c>
      <c r="O274" s="90">
        <v>7710</v>
      </c>
      <c r="P274" s="86">
        <f t="shared" si="115"/>
        <v>17766.979999999996</v>
      </c>
      <c r="Q274" s="87">
        <f t="shared" si="116"/>
        <v>11585.139999999998</v>
      </c>
      <c r="R274" s="87">
        <f t="shared" si="117"/>
        <v>8922.4999999999982</v>
      </c>
      <c r="S274" s="88">
        <f t="shared" si="118"/>
        <v>7672.5199999999986</v>
      </c>
      <c r="T274" s="89">
        <f t="shared" si="119"/>
        <v>3967.3999999999992</v>
      </c>
      <c r="U274" s="89">
        <f t="shared" si="108"/>
        <v>12798.599999999999</v>
      </c>
      <c r="V274" s="86">
        <v>3082</v>
      </c>
      <c r="W274" s="87">
        <v>4996</v>
      </c>
      <c r="X274" s="87">
        <v>11719</v>
      </c>
      <c r="Y274" s="87">
        <v>11210</v>
      </c>
      <c r="Z274" s="90">
        <v>6059</v>
      </c>
      <c r="AA274" s="90">
        <v>3866</v>
      </c>
      <c r="AB274" s="91">
        <f t="shared" si="109"/>
        <v>0.10892768784901392</v>
      </c>
      <c r="AC274" s="91">
        <f t="shared" si="110"/>
        <v>0.17657453877147097</v>
      </c>
      <c r="AD274" s="91">
        <f t="shared" si="111"/>
        <v>0.41418675337527389</v>
      </c>
      <c r="AE274" s="91">
        <f t="shared" si="112"/>
        <v>0.39619707358450557</v>
      </c>
      <c r="AF274" s="91">
        <f t="shared" si="113"/>
        <v>0.21414434155651374</v>
      </c>
      <c r="AG274" s="91">
        <f t="shared" si="114"/>
        <v>0.13663674277231921</v>
      </c>
      <c r="AH274" s="92">
        <v>4492.9000000000051</v>
      </c>
      <c r="AI274" s="93">
        <v>8390.6199999999844</v>
      </c>
      <c r="AJ274" s="93">
        <v>8390.6199999999844</v>
      </c>
      <c r="AK274" s="93">
        <v>18401.159999999942</v>
      </c>
      <c r="AL274" s="94">
        <v>17759.959999999599</v>
      </c>
      <c r="AM274" s="94">
        <v>5508.4699999999802</v>
      </c>
      <c r="AN274" s="94" t="s">
        <v>779</v>
      </c>
      <c r="AO274" s="111">
        <v>37237.440000000002</v>
      </c>
      <c r="AP274" s="112">
        <v>23925.03</v>
      </c>
      <c r="AQ274" s="112">
        <v>18484.45</v>
      </c>
      <c r="AR274" s="112">
        <v>15142.02</v>
      </c>
      <c r="AS274" s="113">
        <v>7676.7999999999993</v>
      </c>
      <c r="AT274" s="113">
        <v>26391.050000000003</v>
      </c>
      <c r="AU274" s="111">
        <v>15158.8</v>
      </c>
      <c r="AV274" s="112">
        <v>25747.569999999978</v>
      </c>
      <c r="AW274" s="112">
        <v>59044.199999999844</v>
      </c>
      <c r="AX274" s="112">
        <v>56495.120000001101</v>
      </c>
      <c r="AY274" s="113">
        <v>29161.5699999996</v>
      </c>
      <c r="AZ274" s="113">
        <v>18293.749999999902</v>
      </c>
    </row>
    <row r="275" spans="1:52" x14ac:dyDescent="0.25">
      <c r="A275" s="101" t="s">
        <v>966</v>
      </c>
      <c r="B275" s="102" t="s">
        <v>455</v>
      </c>
      <c r="C275" s="102"/>
      <c r="D275" s="102" t="s">
        <v>1048</v>
      </c>
      <c r="E275" s="103">
        <v>1.6500000000000021</v>
      </c>
      <c r="F275" s="104">
        <v>600</v>
      </c>
      <c r="G275" s="105">
        <f t="shared" si="106"/>
        <v>300</v>
      </c>
      <c r="H275" s="105">
        <v>1710</v>
      </c>
      <c r="I275" s="106">
        <f t="shared" si="107"/>
        <v>0.17543859649122806</v>
      </c>
      <c r="J275" s="86">
        <v>0</v>
      </c>
      <c r="K275" s="87">
        <v>0</v>
      </c>
      <c r="L275" s="87">
        <v>1295</v>
      </c>
      <c r="M275" s="87">
        <v>500</v>
      </c>
      <c r="N275" s="90">
        <v>710</v>
      </c>
      <c r="O275" s="90">
        <v>0</v>
      </c>
      <c r="P275" s="86">
        <f t="shared" si="115"/>
        <v>0</v>
      </c>
      <c r="Q275" s="87">
        <f t="shared" si="116"/>
        <v>0</v>
      </c>
      <c r="R275" s="87">
        <f t="shared" si="117"/>
        <v>2136.7500000000027</v>
      </c>
      <c r="S275" s="88">
        <f t="shared" si="118"/>
        <v>825.00000000000102</v>
      </c>
      <c r="T275" s="89">
        <f t="shared" si="119"/>
        <v>1171.5000000000016</v>
      </c>
      <c r="U275" s="89">
        <f t="shared" si="108"/>
        <v>0</v>
      </c>
      <c r="V275" s="86">
        <v>474</v>
      </c>
      <c r="W275" s="87">
        <v>672</v>
      </c>
      <c r="X275" s="87">
        <v>378</v>
      </c>
      <c r="Y275" s="87">
        <v>498</v>
      </c>
      <c r="Z275" s="90">
        <v>713</v>
      </c>
      <c r="AA275" s="90">
        <v>321</v>
      </c>
      <c r="AB275" s="91">
        <f t="shared" si="109"/>
        <v>0.27719298245614032</v>
      </c>
      <c r="AC275" s="91">
        <f t="shared" si="110"/>
        <v>0.39298245614035088</v>
      </c>
      <c r="AD275" s="91">
        <f t="shared" si="111"/>
        <v>0.22105263157894736</v>
      </c>
      <c r="AE275" s="91">
        <f t="shared" si="112"/>
        <v>0.29122807017543861</v>
      </c>
      <c r="AF275" s="91">
        <f t="shared" si="113"/>
        <v>0.41695906432748536</v>
      </c>
      <c r="AG275" s="91">
        <f t="shared" si="114"/>
        <v>0.18771929824561404</v>
      </c>
      <c r="AH275" s="92">
        <v>338.99999999999977</v>
      </c>
      <c r="AI275" s="93">
        <v>760.8599999999991</v>
      </c>
      <c r="AJ275" s="93">
        <v>760.85999999999933</v>
      </c>
      <c r="AK275" s="93">
        <v>532.41999999999871</v>
      </c>
      <c r="AL275" s="94">
        <v>452.38</v>
      </c>
      <c r="AM275" s="94">
        <v>412.07999999999902</v>
      </c>
      <c r="AN275" s="94" t="s">
        <v>780</v>
      </c>
      <c r="AO275" s="111">
        <v>0</v>
      </c>
      <c r="AP275" s="112">
        <v>0</v>
      </c>
      <c r="AQ275" s="112">
        <v>17243.099999999999</v>
      </c>
      <c r="AR275" s="112">
        <v>7737</v>
      </c>
      <c r="AS275" s="113">
        <v>9913.56</v>
      </c>
      <c r="AT275" s="113">
        <v>0</v>
      </c>
      <c r="AU275" s="111">
        <v>0</v>
      </c>
      <c r="AV275" s="112">
        <v>0</v>
      </c>
      <c r="AW275" s="112">
        <v>0</v>
      </c>
      <c r="AX275" s="112">
        <v>0</v>
      </c>
      <c r="AY275" s="113">
        <v>0</v>
      </c>
      <c r="AZ275" s="113">
        <v>0</v>
      </c>
    </row>
    <row r="276" spans="1:52" x14ac:dyDescent="0.25">
      <c r="A276" s="101" t="s">
        <v>595</v>
      </c>
      <c r="B276" s="102" t="s">
        <v>596</v>
      </c>
      <c r="C276" s="102"/>
      <c r="D276" s="102" t="s">
        <v>1048</v>
      </c>
      <c r="E276" s="103">
        <v>1.6499999999999986</v>
      </c>
      <c r="F276" s="104">
        <v>10000</v>
      </c>
      <c r="G276" s="105">
        <f t="shared" si="106"/>
        <v>5000</v>
      </c>
      <c r="H276" s="105">
        <v>203101</v>
      </c>
      <c r="I276" s="106">
        <f t="shared" si="107"/>
        <v>2.4618293361431013E-2</v>
      </c>
      <c r="J276" s="86">
        <v>1454.090909090909</v>
      </c>
      <c r="K276" s="87">
        <v>1915.7272727272727</v>
      </c>
      <c r="L276" s="87">
        <v>1810.121212121212</v>
      </c>
      <c r="M276" s="87">
        <v>1230.969696969697</v>
      </c>
      <c r="N276" s="90">
        <v>1343.030303030303</v>
      </c>
      <c r="O276" s="90">
        <v>2084</v>
      </c>
      <c r="P276" s="86">
        <f t="shared" si="115"/>
        <v>2399.2499999999977</v>
      </c>
      <c r="Q276" s="87">
        <f t="shared" si="116"/>
        <v>3160.9499999999971</v>
      </c>
      <c r="R276" s="87">
        <f t="shared" si="117"/>
        <v>2986.6999999999971</v>
      </c>
      <c r="S276" s="88">
        <f t="shared" si="118"/>
        <v>2031.0999999999983</v>
      </c>
      <c r="T276" s="89">
        <f t="shared" si="119"/>
        <v>2215.9999999999982</v>
      </c>
      <c r="U276" s="89">
        <f t="shared" si="108"/>
        <v>3438.5999999999972</v>
      </c>
      <c r="V276" s="86">
        <v>3415</v>
      </c>
      <c r="W276" s="87">
        <v>2829</v>
      </c>
      <c r="X276" s="87">
        <v>5189</v>
      </c>
      <c r="Y276" s="87">
        <v>1160</v>
      </c>
      <c r="Z276" s="90">
        <v>1819</v>
      </c>
      <c r="AA276" s="90">
        <v>1066</v>
      </c>
      <c r="AB276" s="91">
        <f t="shared" si="109"/>
        <v>1.681429436585738E-2</v>
      </c>
      <c r="AC276" s="91">
        <f t="shared" si="110"/>
        <v>1.3929030383897667E-2</v>
      </c>
      <c r="AD276" s="91">
        <f t="shared" si="111"/>
        <v>2.5548864850493104E-2</v>
      </c>
      <c r="AE276" s="91">
        <f t="shared" si="112"/>
        <v>5.7114440598519944E-3</v>
      </c>
      <c r="AF276" s="91">
        <f t="shared" si="113"/>
        <v>8.9561351248886017E-3</v>
      </c>
      <c r="AG276" s="91">
        <f t="shared" si="114"/>
        <v>5.2486201446570917E-3</v>
      </c>
      <c r="AH276" s="92">
        <v>1282.24</v>
      </c>
      <c r="AI276" s="93">
        <v>1862.2699999999998</v>
      </c>
      <c r="AJ276" s="93">
        <v>1862.2699999999991</v>
      </c>
      <c r="AK276" s="93">
        <v>3580.2199999999962</v>
      </c>
      <c r="AL276" s="94">
        <v>1254.3</v>
      </c>
      <c r="AM276" s="94">
        <v>1452.29999999999</v>
      </c>
      <c r="AN276" s="94" t="s">
        <v>780</v>
      </c>
      <c r="AO276" s="111">
        <v>47767.350000000006</v>
      </c>
      <c r="AP276" s="112">
        <v>61538.46</v>
      </c>
      <c r="AQ276" s="112">
        <v>58031.9</v>
      </c>
      <c r="AR276" s="112">
        <v>45720.79</v>
      </c>
      <c r="AS276" s="113">
        <v>42596.57</v>
      </c>
      <c r="AT276" s="113">
        <v>84684.72</v>
      </c>
      <c r="AU276" s="111">
        <v>113963.8499999999</v>
      </c>
      <c r="AV276" s="112">
        <v>94798.369999999981</v>
      </c>
      <c r="AW276" s="112">
        <v>172786.10999999935</v>
      </c>
      <c r="AX276" s="112">
        <v>38473.919999999896</v>
      </c>
      <c r="AY276" s="113">
        <v>60450.84</v>
      </c>
      <c r="AZ276" s="113">
        <v>35337.729999999901</v>
      </c>
    </row>
    <row r="277" spans="1:52" x14ac:dyDescent="0.25">
      <c r="A277" s="101" t="s">
        <v>796</v>
      </c>
      <c r="B277" s="102" t="s">
        <v>839</v>
      </c>
      <c r="C277" s="102"/>
      <c r="D277" s="102" t="s">
        <v>1048</v>
      </c>
      <c r="E277" s="103">
        <v>1.6349245206038345</v>
      </c>
      <c r="F277" s="104">
        <v>513.4</v>
      </c>
      <c r="G277" s="105">
        <f t="shared" si="106"/>
        <v>256.7</v>
      </c>
      <c r="H277" s="105">
        <v>2567</v>
      </c>
      <c r="I277" s="106">
        <f t="shared" si="107"/>
        <v>9.9999999999999992E-2</v>
      </c>
      <c r="J277" s="86">
        <v>0</v>
      </c>
      <c r="K277" s="86">
        <v>0</v>
      </c>
      <c r="L277" s="86">
        <v>0</v>
      </c>
      <c r="M277" s="86">
        <v>0</v>
      </c>
      <c r="N277" s="86">
        <v>0</v>
      </c>
      <c r="O277" s="90">
        <v>840</v>
      </c>
      <c r="P277" s="86"/>
      <c r="Q277" s="87"/>
      <c r="R277" s="87"/>
      <c r="S277" s="88"/>
      <c r="T277" s="89"/>
      <c r="U277" s="89">
        <f t="shared" si="108"/>
        <v>1373.3365973072209</v>
      </c>
      <c r="V277" s="86"/>
      <c r="W277" s="87"/>
      <c r="X277" s="87"/>
      <c r="Y277" s="87"/>
      <c r="Z277" s="90"/>
      <c r="AA277" s="90"/>
      <c r="AB277" s="91">
        <f t="shared" si="109"/>
        <v>0</v>
      </c>
      <c r="AC277" s="91">
        <f t="shared" si="110"/>
        <v>0</v>
      </c>
      <c r="AD277" s="91">
        <f t="shared" si="111"/>
        <v>0</v>
      </c>
      <c r="AE277" s="91">
        <f t="shared" si="112"/>
        <v>0</v>
      </c>
      <c r="AF277" s="91">
        <f t="shared" si="113"/>
        <v>0</v>
      </c>
      <c r="AG277" s="91">
        <f t="shared" si="114"/>
        <v>0</v>
      </c>
      <c r="AH277" s="92"/>
      <c r="AI277" s="93"/>
      <c r="AJ277" s="93"/>
      <c r="AK277" s="93"/>
      <c r="AL277" s="94"/>
      <c r="AM277" s="94"/>
      <c r="AN277" s="94" t="s">
        <v>779</v>
      </c>
      <c r="AO277" s="111">
        <v>26711.340000000004</v>
      </c>
      <c r="AP277" s="112">
        <v>15077.680000000002</v>
      </c>
      <c r="AQ277" s="112">
        <v>8040.1</v>
      </c>
      <c r="AR277" s="112">
        <v>18145.830000000002</v>
      </c>
      <c r="AS277" s="113">
        <v>6397.34</v>
      </c>
      <c r="AT277" s="113">
        <v>2297.5500000000002</v>
      </c>
      <c r="AU277" s="111">
        <v>2923.25</v>
      </c>
      <c r="AV277" s="112">
        <v>8559.0699999999943</v>
      </c>
      <c r="AW277" s="112">
        <v>8929.5899999999947</v>
      </c>
      <c r="AX277" s="112">
        <v>11465.3299999999</v>
      </c>
      <c r="AY277" s="113">
        <v>11079.57</v>
      </c>
      <c r="AZ277" s="113">
        <v>16895.420000000198</v>
      </c>
    </row>
    <row r="278" spans="1:52" x14ac:dyDescent="0.25">
      <c r="A278" s="101" t="s">
        <v>318</v>
      </c>
      <c r="B278" s="102" t="s">
        <v>319</v>
      </c>
      <c r="C278" s="102"/>
      <c r="D278" s="102" t="s">
        <v>1048</v>
      </c>
      <c r="E278" s="103">
        <v>1.6300000000000008</v>
      </c>
      <c r="F278" s="104">
        <v>500</v>
      </c>
      <c r="G278" s="105">
        <f t="shared" si="106"/>
        <v>250</v>
      </c>
      <c r="H278" s="105">
        <v>842</v>
      </c>
      <c r="I278" s="106">
        <f t="shared" si="107"/>
        <v>0.29691211401425177</v>
      </c>
      <c r="J278" s="86">
        <v>0</v>
      </c>
      <c r="K278" s="87">
        <v>0</v>
      </c>
      <c r="L278" s="87">
        <v>519</v>
      </c>
      <c r="M278" s="87">
        <v>606</v>
      </c>
      <c r="N278" s="90">
        <v>516</v>
      </c>
      <c r="O278" s="90">
        <v>193</v>
      </c>
      <c r="P278" s="86">
        <f t="shared" ref="P278:P292" si="120">+J278*E278</f>
        <v>0</v>
      </c>
      <c r="Q278" s="87">
        <f t="shared" ref="Q278:Q292" si="121">+K278*E278</f>
        <v>0</v>
      </c>
      <c r="R278" s="87">
        <f t="shared" ref="R278:R292" si="122">+L278*E278</f>
        <v>845.97000000000037</v>
      </c>
      <c r="S278" s="88">
        <f t="shared" ref="S278:S292" si="123">+M278*E278</f>
        <v>987.78000000000043</v>
      </c>
      <c r="T278" s="89">
        <f t="shared" ref="T278:T292" si="124">+N278*E278</f>
        <v>841.08000000000038</v>
      </c>
      <c r="U278" s="89">
        <f t="shared" si="108"/>
        <v>314.59000000000015</v>
      </c>
      <c r="V278" s="86">
        <v>755</v>
      </c>
      <c r="W278" s="87">
        <v>406</v>
      </c>
      <c r="X278" s="87">
        <v>375</v>
      </c>
      <c r="Y278" s="87">
        <v>192</v>
      </c>
      <c r="Z278" s="90">
        <v>448</v>
      </c>
      <c r="AA278" s="90">
        <v>472</v>
      </c>
      <c r="AB278" s="91">
        <f t="shared" si="109"/>
        <v>0.89667458432304037</v>
      </c>
      <c r="AC278" s="91">
        <f t="shared" si="110"/>
        <v>0.48218527315914489</v>
      </c>
      <c r="AD278" s="91">
        <f t="shared" si="111"/>
        <v>0.44536817102137766</v>
      </c>
      <c r="AE278" s="91">
        <f t="shared" si="112"/>
        <v>0.22802850356294538</v>
      </c>
      <c r="AF278" s="91">
        <f t="shared" si="113"/>
        <v>0.53206650831353919</v>
      </c>
      <c r="AG278" s="91">
        <f t="shared" si="114"/>
        <v>0.56057007125890734</v>
      </c>
      <c r="AH278" s="92">
        <v>1869.6</v>
      </c>
      <c r="AI278" s="93">
        <v>1529.3599999999981</v>
      </c>
      <c r="AJ278" s="93">
        <v>1529.3599999999985</v>
      </c>
      <c r="AK278" s="93">
        <v>1608.6999999999987</v>
      </c>
      <c r="AL278" s="94">
        <v>1253.21</v>
      </c>
      <c r="AM278" s="94">
        <v>790.75</v>
      </c>
      <c r="AN278" s="94" t="s">
        <v>779</v>
      </c>
      <c r="AO278" s="111">
        <v>0</v>
      </c>
      <c r="AP278" s="112">
        <v>0</v>
      </c>
      <c r="AQ278" s="112">
        <v>3788.07</v>
      </c>
      <c r="AR278" s="112">
        <v>4436.4599999999991</v>
      </c>
      <c r="AS278" s="113">
        <v>3736.7799999999997</v>
      </c>
      <c r="AT278" s="113">
        <v>1386.26</v>
      </c>
      <c r="AU278" s="111">
        <v>7449.0500000000047</v>
      </c>
      <c r="AV278" s="112">
        <v>4529.6999999999944</v>
      </c>
      <c r="AW278" s="112">
        <v>4379.9499999999825</v>
      </c>
      <c r="AX278" s="112">
        <v>2665.4199999999901</v>
      </c>
      <c r="AY278" s="113">
        <v>4506.8100000000004</v>
      </c>
      <c r="AZ278" s="113">
        <v>4227.3199999999897</v>
      </c>
    </row>
    <row r="279" spans="1:52" x14ac:dyDescent="0.25">
      <c r="A279" s="101" t="s">
        <v>645</v>
      </c>
      <c r="B279" s="102" t="s">
        <v>646</v>
      </c>
      <c r="C279" s="102"/>
      <c r="D279" s="102" t="s">
        <v>1048</v>
      </c>
      <c r="E279" s="103">
        <v>1.6099999999999994</v>
      </c>
      <c r="F279" s="104">
        <v>20000</v>
      </c>
      <c r="G279" s="105">
        <f t="shared" si="106"/>
        <v>10000</v>
      </c>
      <c r="H279" s="105">
        <v>136376</v>
      </c>
      <c r="I279" s="106">
        <f t="shared" si="107"/>
        <v>7.3326685047222381E-2</v>
      </c>
      <c r="J279" s="86">
        <v>2936.939393939394</v>
      </c>
      <c r="K279" s="87">
        <v>0</v>
      </c>
      <c r="L279" s="87">
        <v>0</v>
      </c>
      <c r="M279" s="87">
        <v>1229.8181818181818</v>
      </c>
      <c r="N279" s="90">
        <v>2444.4848484848485</v>
      </c>
      <c r="O279" s="90">
        <v>4487</v>
      </c>
      <c r="P279" s="86">
        <f t="shared" si="120"/>
        <v>4728.4724242424227</v>
      </c>
      <c r="Q279" s="87">
        <f t="shared" si="121"/>
        <v>0</v>
      </c>
      <c r="R279" s="87">
        <f t="shared" si="122"/>
        <v>0</v>
      </c>
      <c r="S279" s="88">
        <f t="shared" si="123"/>
        <v>1980.007272727272</v>
      </c>
      <c r="T279" s="89">
        <f t="shared" si="124"/>
        <v>3935.6206060606046</v>
      </c>
      <c r="U279" s="89">
        <f t="shared" si="108"/>
        <v>7224.0699999999979</v>
      </c>
      <c r="V279" s="86">
        <v>6897</v>
      </c>
      <c r="W279" s="87">
        <v>3000</v>
      </c>
      <c r="X279" s="87">
        <v>368</v>
      </c>
      <c r="Y279" s="87">
        <v>0</v>
      </c>
      <c r="Z279" s="90">
        <v>1793</v>
      </c>
      <c r="AA279" s="90">
        <v>5981</v>
      </c>
      <c r="AB279" s="91">
        <f t="shared" si="109"/>
        <v>5.057341467706928E-2</v>
      </c>
      <c r="AC279" s="91">
        <f t="shared" si="110"/>
        <v>2.1998005514166717E-2</v>
      </c>
      <c r="AD279" s="91">
        <f t="shared" si="111"/>
        <v>2.6984220097377837E-3</v>
      </c>
      <c r="AE279" s="91">
        <f t="shared" si="112"/>
        <v>0</v>
      </c>
      <c r="AF279" s="91">
        <f t="shared" si="113"/>
        <v>1.3147474628966973E-2</v>
      </c>
      <c r="AG279" s="91">
        <f t="shared" si="114"/>
        <v>4.3856690326743705E-2</v>
      </c>
      <c r="AH279" s="92">
        <v>5583.8899999999858</v>
      </c>
      <c r="AI279" s="93">
        <v>1997.5799999999997</v>
      </c>
      <c r="AJ279" s="93">
        <v>1997.58</v>
      </c>
      <c r="AK279" s="93">
        <v>198.09</v>
      </c>
      <c r="AL279" s="94">
        <v>2886.7299999999991</v>
      </c>
      <c r="AM279" s="94">
        <v>8942.4899999999398</v>
      </c>
      <c r="AN279" s="94" t="s">
        <v>780</v>
      </c>
      <c r="AO279" s="111">
        <v>127329.29999999999</v>
      </c>
      <c r="AP279" s="112">
        <v>0</v>
      </c>
      <c r="AQ279" s="112">
        <v>0</v>
      </c>
      <c r="AR279" s="112">
        <v>52653.430000000008</v>
      </c>
      <c r="AS279" s="113">
        <v>104642.58</v>
      </c>
      <c r="AT279" s="113">
        <v>193585.21999999997</v>
      </c>
      <c r="AU279" s="111">
        <v>305055.24000000051</v>
      </c>
      <c r="AV279" s="112">
        <v>132460.93</v>
      </c>
      <c r="AW279" s="112">
        <v>16228.1699999999</v>
      </c>
      <c r="AX279" s="112">
        <v>0</v>
      </c>
      <c r="AY279" s="113">
        <v>79592.149999999994</v>
      </c>
      <c r="AZ279" s="113">
        <v>264293.60999999801</v>
      </c>
    </row>
    <row r="280" spans="1:52" x14ac:dyDescent="0.25">
      <c r="A280" s="101" t="s">
        <v>967</v>
      </c>
      <c r="B280" s="102" t="s">
        <v>140</v>
      </c>
      <c r="C280" s="102"/>
      <c r="D280" s="102" t="s">
        <v>1048</v>
      </c>
      <c r="E280" s="103">
        <v>1.6000000000000005</v>
      </c>
      <c r="F280" s="104">
        <v>480</v>
      </c>
      <c r="G280" s="105">
        <f t="shared" si="106"/>
        <v>240</v>
      </c>
      <c r="H280" s="105">
        <v>671</v>
      </c>
      <c r="I280" s="106">
        <f t="shared" si="107"/>
        <v>0.35767511177347244</v>
      </c>
      <c r="J280" s="86">
        <v>51</v>
      </c>
      <c r="K280" s="87">
        <v>0</v>
      </c>
      <c r="L280" s="87">
        <v>31</v>
      </c>
      <c r="M280" s="87">
        <v>706</v>
      </c>
      <c r="N280" s="90">
        <v>243</v>
      </c>
      <c r="O280" s="90">
        <v>300</v>
      </c>
      <c r="P280" s="86">
        <f t="shared" si="120"/>
        <v>81.600000000000023</v>
      </c>
      <c r="Q280" s="87">
        <f t="shared" si="121"/>
        <v>0</v>
      </c>
      <c r="R280" s="87">
        <f t="shared" si="122"/>
        <v>49.600000000000016</v>
      </c>
      <c r="S280" s="88">
        <f t="shared" si="123"/>
        <v>1129.6000000000004</v>
      </c>
      <c r="T280" s="89">
        <f t="shared" si="124"/>
        <v>388.80000000000013</v>
      </c>
      <c r="U280" s="89">
        <f t="shared" si="108"/>
        <v>480.00000000000017</v>
      </c>
      <c r="V280" s="86">
        <v>304</v>
      </c>
      <c r="W280" s="87">
        <v>331</v>
      </c>
      <c r="X280" s="87">
        <v>355</v>
      </c>
      <c r="Y280" s="87">
        <v>169</v>
      </c>
      <c r="Z280" s="90">
        <v>226</v>
      </c>
      <c r="AA280" s="90">
        <v>350</v>
      </c>
      <c r="AB280" s="91">
        <f t="shared" si="109"/>
        <v>0.45305514157973176</v>
      </c>
      <c r="AC280" s="91">
        <f t="shared" si="110"/>
        <v>0.49329359165424741</v>
      </c>
      <c r="AD280" s="91">
        <f t="shared" si="111"/>
        <v>0.52906110283159469</v>
      </c>
      <c r="AE280" s="91">
        <f t="shared" si="112"/>
        <v>0.25186289120715349</v>
      </c>
      <c r="AF280" s="91">
        <f t="shared" si="113"/>
        <v>0.33681073025335323</v>
      </c>
      <c r="AG280" s="91">
        <f t="shared" si="114"/>
        <v>0.5216095380029806</v>
      </c>
      <c r="AH280" s="92">
        <v>1055.31</v>
      </c>
      <c r="AI280" s="93">
        <v>1383.7099999999984</v>
      </c>
      <c r="AJ280" s="93">
        <v>1383.709999999998</v>
      </c>
      <c r="AK280" s="93">
        <v>804.61999999999966</v>
      </c>
      <c r="AL280" s="94">
        <v>444.66</v>
      </c>
      <c r="AM280" s="94">
        <v>687.09</v>
      </c>
      <c r="AN280" s="94" t="s">
        <v>779</v>
      </c>
      <c r="AO280" s="111">
        <v>202.98</v>
      </c>
      <c r="AP280" s="112">
        <v>0</v>
      </c>
      <c r="AQ280" s="112">
        <v>124</v>
      </c>
      <c r="AR280" s="112">
        <v>2188.6</v>
      </c>
      <c r="AS280" s="113">
        <v>749.31999999999994</v>
      </c>
      <c r="AT280" s="113">
        <v>918</v>
      </c>
      <c r="AU280" s="111">
        <v>0</v>
      </c>
      <c r="AV280" s="112">
        <v>0</v>
      </c>
      <c r="AW280" s="112">
        <v>0</v>
      </c>
      <c r="AX280" s="112">
        <v>0</v>
      </c>
      <c r="AY280" s="113">
        <v>0</v>
      </c>
      <c r="AZ280" s="113">
        <v>0</v>
      </c>
    </row>
    <row r="281" spans="1:52" x14ac:dyDescent="0.25">
      <c r="A281" s="101" t="s">
        <v>968</v>
      </c>
      <c r="B281" s="102" t="s">
        <v>578</v>
      </c>
      <c r="C281" s="102"/>
      <c r="D281" s="102" t="s">
        <v>1048</v>
      </c>
      <c r="E281" s="103">
        <v>1.5999999999999979</v>
      </c>
      <c r="F281" s="104">
        <v>1000</v>
      </c>
      <c r="G281" s="105">
        <f t="shared" si="106"/>
        <v>500</v>
      </c>
      <c r="H281" s="105">
        <v>3094</v>
      </c>
      <c r="I281" s="106">
        <f t="shared" si="107"/>
        <v>0.16160310277957338</v>
      </c>
      <c r="J281" s="86">
        <v>0</v>
      </c>
      <c r="K281" s="87">
        <v>0</v>
      </c>
      <c r="L281" s="87">
        <v>0</v>
      </c>
      <c r="M281" s="87">
        <v>124</v>
      </c>
      <c r="N281" s="90">
        <v>1661</v>
      </c>
      <c r="O281" s="90">
        <v>1794</v>
      </c>
      <c r="P281" s="86">
        <f t="shared" si="120"/>
        <v>0</v>
      </c>
      <c r="Q281" s="87">
        <f t="shared" si="121"/>
        <v>0</v>
      </c>
      <c r="R281" s="87">
        <f t="shared" si="122"/>
        <v>0</v>
      </c>
      <c r="S281" s="88">
        <f t="shared" si="123"/>
        <v>198.39999999999975</v>
      </c>
      <c r="T281" s="89">
        <f t="shared" si="124"/>
        <v>2657.5999999999963</v>
      </c>
      <c r="U281" s="89">
        <f t="shared" si="108"/>
        <v>2870.399999999996</v>
      </c>
      <c r="V281" s="86">
        <v>716</v>
      </c>
      <c r="W281" s="87">
        <v>860</v>
      </c>
      <c r="X281" s="87">
        <v>913</v>
      </c>
      <c r="Y281" s="87">
        <v>731</v>
      </c>
      <c r="Z281" s="90">
        <v>73</v>
      </c>
      <c r="AA281" s="90">
        <v>859</v>
      </c>
      <c r="AB281" s="91">
        <f t="shared" si="109"/>
        <v>0.23141564318034907</v>
      </c>
      <c r="AC281" s="91">
        <f t="shared" si="110"/>
        <v>0.2779573367808662</v>
      </c>
      <c r="AD281" s="91">
        <f t="shared" si="111"/>
        <v>0.29508726567550098</v>
      </c>
      <c r="AE281" s="91">
        <f t="shared" si="112"/>
        <v>0.23626373626373626</v>
      </c>
      <c r="AF281" s="91">
        <f t="shared" si="113"/>
        <v>2.3594053005817711E-2</v>
      </c>
      <c r="AG281" s="91">
        <f t="shared" si="114"/>
        <v>0.27763413057530706</v>
      </c>
      <c r="AH281" s="92">
        <v>462.21999999999991</v>
      </c>
      <c r="AI281" s="93">
        <v>350.68999999999903</v>
      </c>
      <c r="AJ281" s="93">
        <v>350.68999999999915</v>
      </c>
      <c r="AK281" s="93">
        <v>315.29999999999967</v>
      </c>
      <c r="AL281" s="94">
        <v>803.95999999999697</v>
      </c>
      <c r="AM281" s="94">
        <v>1297.7</v>
      </c>
      <c r="AN281" s="94" t="s">
        <v>780</v>
      </c>
      <c r="AO281" s="111">
        <v>0</v>
      </c>
      <c r="AP281" s="112">
        <v>0</v>
      </c>
      <c r="AQ281" s="112">
        <v>0</v>
      </c>
      <c r="AR281" s="112">
        <v>3401.3199999999997</v>
      </c>
      <c r="AS281" s="113">
        <v>45443.200000000004</v>
      </c>
      <c r="AT281" s="113">
        <v>48797.75</v>
      </c>
      <c r="AU281" s="111">
        <v>0</v>
      </c>
      <c r="AV281" s="112">
        <v>0</v>
      </c>
      <c r="AW281" s="112">
        <v>0</v>
      </c>
      <c r="AX281" s="112">
        <v>0</v>
      </c>
      <c r="AY281" s="113">
        <v>0</v>
      </c>
      <c r="AZ281" s="113">
        <v>0</v>
      </c>
    </row>
    <row r="282" spans="1:52" x14ac:dyDescent="0.25">
      <c r="A282" s="101" t="s">
        <v>435</v>
      </c>
      <c r="B282" s="102" t="s">
        <v>436</v>
      </c>
      <c r="C282" s="102"/>
      <c r="D282" s="102" t="s">
        <v>1048</v>
      </c>
      <c r="E282" s="103">
        <v>1.5899999999999999</v>
      </c>
      <c r="F282" s="104">
        <v>2000</v>
      </c>
      <c r="G282" s="105">
        <f t="shared" si="106"/>
        <v>1000</v>
      </c>
      <c r="H282" s="105">
        <v>5526</v>
      </c>
      <c r="I282" s="106">
        <f t="shared" si="107"/>
        <v>0.18096272167933405</v>
      </c>
      <c r="J282" s="86">
        <v>400</v>
      </c>
      <c r="K282" s="87">
        <v>0</v>
      </c>
      <c r="L282" s="87">
        <v>284</v>
      </c>
      <c r="M282" s="87">
        <v>748</v>
      </c>
      <c r="N282" s="90">
        <v>752</v>
      </c>
      <c r="O282" s="90">
        <v>600</v>
      </c>
      <c r="P282" s="86">
        <f t="shared" si="120"/>
        <v>636</v>
      </c>
      <c r="Q282" s="87">
        <f t="shared" si="121"/>
        <v>0</v>
      </c>
      <c r="R282" s="87">
        <f t="shared" si="122"/>
        <v>451.55999999999995</v>
      </c>
      <c r="S282" s="88">
        <f t="shared" si="123"/>
        <v>1189.32</v>
      </c>
      <c r="T282" s="89">
        <f t="shared" si="124"/>
        <v>1195.6799999999998</v>
      </c>
      <c r="U282" s="89">
        <f t="shared" si="108"/>
        <v>953.99999999999989</v>
      </c>
      <c r="V282" s="86">
        <v>268</v>
      </c>
      <c r="W282" s="87">
        <v>413</v>
      </c>
      <c r="X282" s="87">
        <v>93</v>
      </c>
      <c r="Y282" s="87">
        <v>185</v>
      </c>
      <c r="Z282" s="90">
        <v>490</v>
      </c>
      <c r="AA282" s="90">
        <v>494</v>
      </c>
      <c r="AB282" s="91">
        <f t="shared" si="109"/>
        <v>4.8498009410061528E-2</v>
      </c>
      <c r="AC282" s="91">
        <f t="shared" si="110"/>
        <v>7.4737604053564971E-2</v>
      </c>
      <c r="AD282" s="91">
        <f t="shared" si="111"/>
        <v>1.6829533116178068E-2</v>
      </c>
      <c r="AE282" s="91">
        <f t="shared" si="112"/>
        <v>3.3478103510676802E-2</v>
      </c>
      <c r="AF282" s="91">
        <f t="shared" si="113"/>
        <v>8.8671733622873686E-2</v>
      </c>
      <c r="AG282" s="91">
        <f t="shared" si="114"/>
        <v>8.9395584509591022E-2</v>
      </c>
      <c r="AH282" s="92">
        <v>269.52999999999997</v>
      </c>
      <c r="AI282" s="93">
        <v>325.32999999999947</v>
      </c>
      <c r="AJ282" s="93">
        <v>325.32999999999953</v>
      </c>
      <c r="AK282" s="93">
        <v>151.29000000000002</v>
      </c>
      <c r="AL282" s="94">
        <v>314.83999999999997</v>
      </c>
      <c r="AM282" s="94">
        <v>637.28</v>
      </c>
      <c r="AN282" s="94" t="s">
        <v>779</v>
      </c>
      <c r="AO282" s="111">
        <v>5664</v>
      </c>
      <c r="AP282" s="112">
        <v>0</v>
      </c>
      <c r="AQ282" s="112">
        <v>3720.4</v>
      </c>
      <c r="AR282" s="112">
        <v>10049.56</v>
      </c>
      <c r="AS282" s="113">
        <v>10018.279999999999</v>
      </c>
      <c r="AT282" s="113">
        <v>7817</v>
      </c>
      <c r="AU282" s="111">
        <v>3937.4999999999991</v>
      </c>
      <c r="AV282" s="112">
        <v>6094.9399999999669</v>
      </c>
      <c r="AW282" s="112">
        <v>1369.5900000000001</v>
      </c>
      <c r="AX282" s="112">
        <v>2747.14</v>
      </c>
      <c r="AY282" s="113">
        <v>7167.9</v>
      </c>
      <c r="AZ282" s="113">
        <v>7194.41</v>
      </c>
    </row>
    <row r="283" spans="1:52" x14ac:dyDescent="0.25">
      <c r="A283" s="101" t="s">
        <v>969</v>
      </c>
      <c r="B283" s="102" t="s">
        <v>263</v>
      </c>
      <c r="C283" s="102"/>
      <c r="D283" s="102" t="s">
        <v>1048</v>
      </c>
      <c r="E283" s="103">
        <v>1.5599999999999996</v>
      </c>
      <c r="F283" s="104">
        <v>2000</v>
      </c>
      <c r="G283" s="105">
        <f t="shared" si="106"/>
        <v>1000</v>
      </c>
      <c r="H283" s="105">
        <v>1734</v>
      </c>
      <c r="I283" s="106">
        <f t="shared" si="107"/>
        <v>0.57670126874279126</v>
      </c>
      <c r="J283" s="86">
        <v>0</v>
      </c>
      <c r="K283" s="87">
        <v>0</v>
      </c>
      <c r="L283" s="87">
        <v>0</v>
      </c>
      <c r="M283" s="87">
        <v>0</v>
      </c>
      <c r="N283" s="90">
        <v>100</v>
      </c>
      <c r="O283" s="90">
        <v>300</v>
      </c>
      <c r="P283" s="86">
        <f t="shared" si="120"/>
        <v>0</v>
      </c>
      <c r="Q283" s="87">
        <f t="shared" si="121"/>
        <v>0</v>
      </c>
      <c r="R283" s="87">
        <f t="shared" si="122"/>
        <v>0</v>
      </c>
      <c r="S283" s="88">
        <f t="shared" si="123"/>
        <v>0</v>
      </c>
      <c r="T283" s="89">
        <f t="shared" si="124"/>
        <v>155.99999999999997</v>
      </c>
      <c r="U283" s="89">
        <f t="shared" si="108"/>
        <v>467.99999999999989</v>
      </c>
      <c r="V283" s="86">
        <v>652</v>
      </c>
      <c r="W283" s="87">
        <v>821</v>
      </c>
      <c r="X283" s="87">
        <v>828</v>
      </c>
      <c r="Y283" s="87">
        <v>1190</v>
      </c>
      <c r="Z283" s="90">
        <v>305</v>
      </c>
      <c r="AA283" s="90">
        <v>617</v>
      </c>
      <c r="AB283" s="91">
        <f t="shared" si="109"/>
        <v>0.37600922722029989</v>
      </c>
      <c r="AC283" s="91">
        <f t="shared" si="110"/>
        <v>0.47347174163783162</v>
      </c>
      <c r="AD283" s="91">
        <f t="shared" si="111"/>
        <v>0.47750865051903113</v>
      </c>
      <c r="AE283" s="91">
        <f t="shared" si="112"/>
        <v>0.68627450980392157</v>
      </c>
      <c r="AF283" s="91">
        <f t="shared" si="113"/>
        <v>0.17589388696655134</v>
      </c>
      <c r="AG283" s="91">
        <f t="shared" si="114"/>
        <v>0.35582468281430218</v>
      </c>
      <c r="AH283" s="92">
        <v>102.7</v>
      </c>
      <c r="AI283" s="93">
        <v>44.259999999999877</v>
      </c>
      <c r="AJ283" s="93">
        <v>44.259999999999884</v>
      </c>
      <c r="AK283" s="93">
        <v>32.219999999999985</v>
      </c>
      <c r="AL283" s="94">
        <v>958.37999999999897</v>
      </c>
      <c r="AM283" s="94">
        <v>993.34000000000106</v>
      </c>
      <c r="AN283" s="94" t="s">
        <v>779</v>
      </c>
      <c r="AO283" s="111">
        <v>0</v>
      </c>
      <c r="AP283" s="112">
        <v>0</v>
      </c>
      <c r="AQ283" s="112">
        <v>0</v>
      </c>
      <c r="AR283" s="112">
        <v>0</v>
      </c>
      <c r="AS283" s="113">
        <v>573</v>
      </c>
      <c r="AT283" s="113">
        <v>1710</v>
      </c>
      <c r="AU283" s="111">
        <v>0</v>
      </c>
      <c r="AV283" s="112">
        <v>0</v>
      </c>
      <c r="AW283" s="112">
        <v>0</v>
      </c>
      <c r="AX283" s="112">
        <v>0</v>
      </c>
      <c r="AY283" s="113">
        <v>0</v>
      </c>
      <c r="AZ283" s="113">
        <v>0</v>
      </c>
    </row>
    <row r="284" spans="1:52" x14ac:dyDescent="0.25">
      <c r="A284" s="101" t="s">
        <v>542</v>
      </c>
      <c r="B284" s="102" t="s">
        <v>543</v>
      </c>
      <c r="C284" s="102"/>
      <c r="D284" s="102" t="s">
        <v>1048</v>
      </c>
      <c r="E284" s="103">
        <v>1.5500000000000007</v>
      </c>
      <c r="F284" s="104">
        <v>400</v>
      </c>
      <c r="G284" s="105">
        <f t="shared" si="106"/>
        <v>200</v>
      </c>
      <c r="H284" s="105">
        <v>2496</v>
      </c>
      <c r="I284" s="106">
        <f t="shared" si="107"/>
        <v>8.0128205128205135E-2</v>
      </c>
      <c r="J284" s="86">
        <v>200</v>
      </c>
      <c r="K284" s="87">
        <v>300</v>
      </c>
      <c r="L284" s="87">
        <v>400</v>
      </c>
      <c r="M284" s="87">
        <v>1387</v>
      </c>
      <c r="N284" s="90"/>
      <c r="O284" s="90">
        <v>1400</v>
      </c>
      <c r="P284" s="86">
        <f t="shared" si="120"/>
        <v>310.00000000000011</v>
      </c>
      <c r="Q284" s="87">
        <f t="shared" si="121"/>
        <v>465.00000000000023</v>
      </c>
      <c r="R284" s="87">
        <f t="shared" si="122"/>
        <v>620.00000000000023</v>
      </c>
      <c r="S284" s="88">
        <f t="shared" si="123"/>
        <v>2149.8500000000008</v>
      </c>
      <c r="T284" s="89">
        <f t="shared" si="124"/>
        <v>0</v>
      </c>
      <c r="U284" s="89">
        <f t="shared" si="108"/>
        <v>2170.0000000000009</v>
      </c>
      <c r="V284" s="86">
        <v>861</v>
      </c>
      <c r="W284" s="87">
        <v>501</v>
      </c>
      <c r="X284" s="87">
        <v>784</v>
      </c>
      <c r="Y284" s="87">
        <v>574</v>
      </c>
      <c r="Z284" s="90">
        <v>762</v>
      </c>
      <c r="AA284" s="90">
        <v>1096</v>
      </c>
      <c r="AB284" s="91">
        <f t="shared" si="109"/>
        <v>0.34495192307692307</v>
      </c>
      <c r="AC284" s="91">
        <f t="shared" si="110"/>
        <v>0.20072115384615385</v>
      </c>
      <c r="AD284" s="91">
        <f t="shared" si="111"/>
        <v>0.3141025641025641</v>
      </c>
      <c r="AE284" s="91">
        <f t="shared" si="112"/>
        <v>0.22996794871794871</v>
      </c>
      <c r="AF284" s="91">
        <f t="shared" si="113"/>
        <v>0.30528846153846156</v>
      </c>
      <c r="AG284" s="91">
        <f t="shared" si="114"/>
        <v>0.4391025641025641</v>
      </c>
      <c r="AH284" s="92">
        <v>527.13999999999976</v>
      </c>
      <c r="AI284" s="93">
        <v>680.72999999999968</v>
      </c>
      <c r="AJ284" s="93">
        <v>680.72999999999956</v>
      </c>
      <c r="AK284" s="93">
        <v>925.55999999999722</v>
      </c>
      <c r="AL284" s="94">
        <v>1132.51</v>
      </c>
      <c r="AM284" s="94">
        <v>1796.12</v>
      </c>
      <c r="AN284" s="94" t="s">
        <v>780</v>
      </c>
      <c r="AO284" s="111">
        <v>4642</v>
      </c>
      <c r="AP284" s="112">
        <v>6756</v>
      </c>
      <c r="AQ284" s="112">
        <v>9068</v>
      </c>
      <c r="AR284" s="112">
        <v>30939.66</v>
      </c>
      <c r="AS284" s="113">
        <v>0</v>
      </c>
      <c r="AT284" s="113">
        <v>31108</v>
      </c>
      <c r="AU284" s="111">
        <v>21349.910000000011</v>
      </c>
      <c r="AV284" s="112">
        <v>12574.819999999992</v>
      </c>
      <c r="AW284" s="112">
        <v>19058.939999999977</v>
      </c>
      <c r="AX284" s="112">
        <v>14282.1</v>
      </c>
      <c r="AY284" s="113">
        <v>18583.900000000001</v>
      </c>
      <c r="AZ284" s="113">
        <v>26246.039999999899</v>
      </c>
    </row>
    <row r="285" spans="1:52" x14ac:dyDescent="0.25">
      <c r="A285" s="101" t="s">
        <v>970</v>
      </c>
      <c r="B285" s="102" t="s">
        <v>354</v>
      </c>
      <c r="C285" s="102"/>
      <c r="D285" s="102" t="s">
        <v>1048</v>
      </c>
      <c r="E285" s="103">
        <v>1.5499999999999989</v>
      </c>
      <c r="F285" s="104">
        <v>4000</v>
      </c>
      <c r="G285" s="105">
        <f t="shared" si="106"/>
        <v>2000</v>
      </c>
      <c r="H285" s="105">
        <v>25810</v>
      </c>
      <c r="I285" s="106">
        <f t="shared" si="107"/>
        <v>7.7489345215032937E-2</v>
      </c>
      <c r="J285" s="86">
        <v>1241</v>
      </c>
      <c r="K285" s="87">
        <v>55</v>
      </c>
      <c r="L285" s="87">
        <v>1378</v>
      </c>
      <c r="M285" s="87">
        <v>2933</v>
      </c>
      <c r="N285" s="90">
        <v>763</v>
      </c>
      <c r="O285" s="90">
        <v>400</v>
      </c>
      <c r="P285" s="86">
        <f t="shared" si="120"/>
        <v>1923.5499999999986</v>
      </c>
      <c r="Q285" s="87">
        <f t="shared" si="121"/>
        <v>85.249999999999943</v>
      </c>
      <c r="R285" s="87">
        <f t="shared" si="122"/>
        <v>2135.8999999999987</v>
      </c>
      <c r="S285" s="88">
        <f t="shared" si="123"/>
        <v>4546.1499999999969</v>
      </c>
      <c r="T285" s="89">
        <f t="shared" si="124"/>
        <v>1182.6499999999992</v>
      </c>
      <c r="U285" s="89">
        <f t="shared" si="108"/>
        <v>619.99999999999955</v>
      </c>
      <c r="V285" s="86">
        <v>159</v>
      </c>
      <c r="W285" s="87">
        <v>967</v>
      </c>
      <c r="X285" s="87">
        <v>362</v>
      </c>
      <c r="Y285" s="87">
        <v>935</v>
      </c>
      <c r="Z285" s="90">
        <v>2707</v>
      </c>
      <c r="AA285" s="90">
        <v>1404</v>
      </c>
      <c r="AB285" s="91">
        <f t="shared" si="109"/>
        <v>6.160402944595118E-3</v>
      </c>
      <c r="AC285" s="91">
        <f t="shared" si="110"/>
        <v>3.7466098411468425E-2</v>
      </c>
      <c r="AD285" s="91">
        <f t="shared" si="111"/>
        <v>1.4025571483920961E-2</v>
      </c>
      <c r="AE285" s="91">
        <f t="shared" si="112"/>
        <v>3.6226268888027893E-2</v>
      </c>
      <c r="AF285" s="91">
        <f t="shared" si="113"/>
        <v>0.10488182874854707</v>
      </c>
      <c r="AG285" s="91">
        <f t="shared" si="114"/>
        <v>5.4397520340953118E-2</v>
      </c>
      <c r="AH285" s="92">
        <v>316.99999999999989</v>
      </c>
      <c r="AI285" s="93">
        <v>1049.4199999999964</v>
      </c>
      <c r="AJ285" s="93">
        <v>1049.4199999999964</v>
      </c>
      <c r="AK285" s="93">
        <v>378.52999999999895</v>
      </c>
      <c r="AL285" s="94">
        <v>1525.78</v>
      </c>
      <c r="AM285" s="94">
        <v>1580.67</v>
      </c>
      <c r="AN285" s="94" t="s">
        <v>779</v>
      </c>
      <c r="AO285" s="111">
        <v>10205.330000000002</v>
      </c>
      <c r="AP285" s="112">
        <v>407</v>
      </c>
      <c r="AQ285" s="112">
        <v>12018.600000000002</v>
      </c>
      <c r="AR285" s="112">
        <v>24715.990000000005</v>
      </c>
      <c r="AS285" s="113">
        <v>6603.9500000000007</v>
      </c>
      <c r="AT285" s="113">
        <v>3534.2</v>
      </c>
      <c r="AU285" s="111">
        <v>0</v>
      </c>
      <c r="AV285" s="112">
        <v>0</v>
      </c>
      <c r="AW285" s="112">
        <v>0</v>
      </c>
      <c r="AX285" s="112">
        <v>0</v>
      </c>
      <c r="AY285" s="113">
        <v>0</v>
      </c>
      <c r="AZ285" s="113">
        <v>0</v>
      </c>
    </row>
    <row r="286" spans="1:52" x14ac:dyDescent="0.25">
      <c r="A286" s="101" t="s">
        <v>971</v>
      </c>
      <c r="B286" s="102" t="s">
        <v>583</v>
      </c>
      <c r="C286" s="102"/>
      <c r="D286" s="102" t="s">
        <v>1049</v>
      </c>
      <c r="E286" s="103">
        <v>1.5399999999999991</v>
      </c>
      <c r="F286" s="104">
        <v>30000</v>
      </c>
      <c r="G286" s="105">
        <f t="shared" si="106"/>
        <v>15000</v>
      </c>
      <c r="H286" s="105">
        <v>181544</v>
      </c>
      <c r="I286" s="106">
        <f t="shared" si="107"/>
        <v>8.2624597893623586E-2</v>
      </c>
      <c r="J286" s="86">
        <v>9449</v>
      </c>
      <c r="K286" s="87">
        <v>10863</v>
      </c>
      <c r="L286" s="87">
        <v>8454</v>
      </c>
      <c r="M286" s="87">
        <v>10127</v>
      </c>
      <c r="N286" s="90">
        <v>6360</v>
      </c>
      <c r="O286" s="90">
        <v>2258</v>
      </c>
      <c r="P286" s="86">
        <f t="shared" si="120"/>
        <v>14551.459999999992</v>
      </c>
      <c r="Q286" s="87">
        <f t="shared" si="121"/>
        <v>16729.01999999999</v>
      </c>
      <c r="R286" s="87">
        <f t="shared" si="122"/>
        <v>13019.159999999993</v>
      </c>
      <c r="S286" s="88">
        <f t="shared" si="123"/>
        <v>15595.579999999991</v>
      </c>
      <c r="T286" s="89">
        <f t="shared" si="124"/>
        <v>9794.3999999999942</v>
      </c>
      <c r="U286" s="89">
        <f t="shared" si="108"/>
        <v>3477.3199999999979</v>
      </c>
      <c r="V286" s="86">
        <v>4564</v>
      </c>
      <c r="W286" s="87">
        <v>7811</v>
      </c>
      <c r="X286" s="87">
        <v>10667</v>
      </c>
      <c r="Y286" s="87">
        <v>13147</v>
      </c>
      <c r="Z286" s="90">
        <v>10329</v>
      </c>
      <c r="AA286" s="90">
        <v>6920</v>
      </c>
      <c r="AB286" s="91">
        <f t="shared" si="109"/>
        <v>2.5139910985766536E-2</v>
      </c>
      <c r="AC286" s="91">
        <f t="shared" si="110"/>
        <v>4.3025382276472922E-2</v>
      </c>
      <c r="AD286" s="91">
        <f t="shared" si="111"/>
        <v>5.8757105715418853E-2</v>
      </c>
      <c r="AE286" s="91">
        <f t="shared" si="112"/>
        <v>7.2417705900497953E-2</v>
      </c>
      <c r="AF286" s="91">
        <f t="shared" si="113"/>
        <v>5.68952981095492E-2</v>
      </c>
      <c r="AG286" s="91">
        <f t="shared" si="114"/>
        <v>3.8117481161591679E-2</v>
      </c>
      <c r="AH286" s="92">
        <v>5607.0900000000029</v>
      </c>
      <c r="AI286" s="93">
        <v>10780.849999999975</v>
      </c>
      <c r="AJ286" s="93">
        <v>10780.849999999973</v>
      </c>
      <c r="AK286" s="93">
        <v>14131.679999999948</v>
      </c>
      <c r="AL286" s="94">
        <v>17423.700000000499</v>
      </c>
      <c r="AM286" s="94">
        <v>8088.4700000000103</v>
      </c>
      <c r="AN286" s="94" t="s">
        <v>780</v>
      </c>
      <c r="AO286" s="111">
        <v>255580.38000000003</v>
      </c>
      <c r="AP286" s="112">
        <v>294558.73</v>
      </c>
      <c r="AQ286" s="112">
        <v>228273.20999999996</v>
      </c>
      <c r="AR286" s="112">
        <v>275019.98</v>
      </c>
      <c r="AS286" s="113">
        <v>173503.08999999997</v>
      </c>
      <c r="AT286" s="113">
        <v>61586.53</v>
      </c>
      <c r="AU286" s="111">
        <v>0</v>
      </c>
      <c r="AV286" s="112">
        <v>0</v>
      </c>
      <c r="AW286" s="112">
        <v>0</v>
      </c>
      <c r="AX286" s="112">
        <v>0</v>
      </c>
      <c r="AY286" s="113">
        <v>0</v>
      </c>
      <c r="AZ286" s="113">
        <v>0</v>
      </c>
    </row>
    <row r="287" spans="1:52" x14ac:dyDescent="0.25">
      <c r="A287" s="101" t="s">
        <v>520</v>
      </c>
      <c r="B287" s="102" t="s">
        <v>521</v>
      </c>
      <c r="C287" s="102"/>
      <c r="D287" s="102" t="s">
        <v>1048</v>
      </c>
      <c r="E287" s="103">
        <v>1.5399999999999991</v>
      </c>
      <c r="F287" s="104">
        <v>15000</v>
      </c>
      <c r="G287" s="105">
        <f t="shared" si="106"/>
        <v>7500</v>
      </c>
      <c r="H287" s="105">
        <v>42443</v>
      </c>
      <c r="I287" s="106">
        <f t="shared" si="107"/>
        <v>0.17670758428951772</v>
      </c>
      <c r="J287" s="86">
        <v>3002</v>
      </c>
      <c r="K287" s="87">
        <v>8612.0909090909081</v>
      </c>
      <c r="L287" s="87">
        <v>6677.0606060606051</v>
      </c>
      <c r="M287" s="87">
        <v>8399.9090909090901</v>
      </c>
      <c r="N287" s="90">
        <v>6475.272727272727</v>
      </c>
      <c r="O287" s="90">
        <v>4266</v>
      </c>
      <c r="P287" s="86">
        <f t="shared" si="120"/>
        <v>4623.0799999999972</v>
      </c>
      <c r="Q287" s="87">
        <f t="shared" si="121"/>
        <v>13262.619999999992</v>
      </c>
      <c r="R287" s="87">
        <f t="shared" si="122"/>
        <v>10282.673333333327</v>
      </c>
      <c r="S287" s="88">
        <f t="shared" si="123"/>
        <v>12935.859999999991</v>
      </c>
      <c r="T287" s="89">
        <f t="shared" si="124"/>
        <v>9971.9199999999946</v>
      </c>
      <c r="U287" s="89">
        <f t="shared" si="108"/>
        <v>6569.6399999999967</v>
      </c>
      <c r="V287" s="86">
        <v>5570</v>
      </c>
      <c r="W287" s="87">
        <v>12126</v>
      </c>
      <c r="X287" s="87">
        <v>8601</v>
      </c>
      <c r="Y287" s="87">
        <v>2133</v>
      </c>
      <c r="Z287" s="90">
        <v>10416</v>
      </c>
      <c r="AA287" s="90">
        <v>11260</v>
      </c>
      <c r="AB287" s="91">
        <f t="shared" si="109"/>
        <v>0.13123483259901514</v>
      </c>
      <c r="AC287" s="91">
        <f t="shared" si="110"/>
        <v>0.28570082227929222</v>
      </c>
      <c r="AD287" s="91">
        <f t="shared" si="111"/>
        <v>0.20264825766321889</v>
      </c>
      <c r="AE287" s="91">
        <f t="shared" si="112"/>
        <v>5.0255636971938834E-2</v>
      </c>
      <c r="AF287" s="91">
        <f t="shared" si="113"/>
        <v>0.24541149306128218</v>
      </c>
      <c r="AG287" s="91">
        <f t="shared" si="114"/>
        <v>0.26529698654666256</v>
      </c>
      <c r="AH287" s="92">
        <v>4900.7399999999916</v>
      </c>
      <c r="AI287" s="93">
        <v>11616.169999999975</v>
      </c>
      <c r="AJ287" s="93">
        <v>11616.169999999978</v>
      </c>
      <c r="AK287" s="93">
        <v>13988.219999999979</v>
      </c>
      <c r="AL287" s="94">
        <v>4533.1900000000096</v>
      </c>
      <c r="AM287" s="94">
        <v>17404.050000000399</v>
      </c>
      <c r="AN287" s="94" t="s">
        <v>780</v>
      </c>
      <c r="AO287" s="111">
        <v>60252.02</v>
      </c>
      <c r="AP287" s="112">
        <v>167700.68999999997</v>
      </c>
      <c r="AQ287" s="112">
        <v>129171.78</v>
      </c>
      <c r="AR287" s="112">
        <v>162809.68000000002</v>
      </c>
      <c r="AS287" s="113">
        <v>125739.07</v>
      </c>
      <c r="AT287" s="113">
        <v>91557.1</v>
      </c>
      <c r="AU287" s="111">
        <v>120409.0599999995</v>
      </c>
      <c r="AV287" s="112">
        <v>261798.19999999911</v>
      </c>
      <c r="AW287" s="112">
        <v>184663.97999999978</v>
      </c>
      <c r="AX287" s="112">
        <v>45609.250000000102</v>
      </c>
      <c r="AY287" s="113">
        <v>223206.179999997</v>
      </c>
      <c r="AZ287" s="113">
        <v>237637.30000000601</v>
      </c>
    </row>
    <row r="288" spans="1:52" x14ac:dyDescent="0.25">
      <c r="A288" s="101" t="s">
        <v>972</v>
      </c>
      <c r="B288" s="102" t="s">
        <v>307</v>
      </c>
      <c r="C288" s="102"/>
      <c r="D288" s="102" t="s">
        <v>1048</v>
      </c>
      <c r="E288" s="103">
        <v>1.5099999999999998</v>
      </c>
      <c r="F288" s="104">
        <v>4000</v>
      </c>
      <c r="G288" s="105">
        <f t="shared" si="106"/>
        <v>2000</v>
      </c>
      <c r="H288" s="105">
        <v>7650</v>
      </c>
      <c r="I288" s="106">
        <f t="shared" si="107"/>
        <v>0.26143790849673204</v>
      </c>
      <c r="J288" s="86">
        <v>4960</v>
      </c>
      <c r="K288" s="87">
        <v>1250</v>
      </c>
      <c r="L288" s="87">
        <v>4298</v>
      </c>
      <c r="M288" s="87">
        <v>2500</v>
      </c>
      <c r="N288" s="90">
        <v>1700</v>
      </c>
      <c r="O288" s="90">
        <v>1391</v>
      </c>
      <c r="P288" s="86">
        <f t="shared" si="120"/>
        <v>7489.5999999999985</v>
      </c>
      <c r="Q288" s="87">
        <f t="shared" si="121"/>
        <v>1887.4999999999998</v>
      </c>
      <c r="R288" s="87">
        <f t="shared" si="122"/>
        <v>6489.9799999999987</v>
      </c>
      <c r="S288" s="88">
        <f t="shared" si="123"/>
        <v>3774.9999999999995</v>
      </c>
      <c r="T288" s="89">
        <f t="shared" si="124"/>
        <v>2566.9999999999995</v>
      </c>
      <c r="U288" s="89">
        <f t="shared" si="108"/>
        <v>2100.41</v>
      </c>
      <c r="V288" s="86">
        <v>1369</v>
      </c>
      <c r="W288" s="87">
        <v>2689</v>
      </c>
      <c r="X288" s="87">
        <v>3389</v>
      </c>
      <c r="Y288" s="87">
        <v>1422</v>
      </c>
      <c r="Z288" s="90">
        <v>1534</v>
      </c>
      <c r="AA288" s="90">
        <v>4629</v>
      </c>
      <c r="AB288" s="91">
        <f t="shared" si="109"/>
        <v>0.17895424836601306</v>
      </c>
      <c r="AC288" s="91">
        <f t="shared" si="110"/>
        <v>0.35150326797385623</v>
      </c>
      <c r="AD288" s="91">
        <f t="shared" si="111"/>
        <v>0.44300653594771244</v>
      </c>
      <c r="AE288" s="91">
        <f t="shared" si="112"/>
        <v>0.18588235294117647</v>
      </c>
      <c r="AF288" s="91">
        <f t="shared" si="113"/>
        <v>0.20052287581699346</v>
      </c>
      <c r="AG288" s="91">
        <f t="shared" si="114"/>
        <v>0.60509803921568628</v>
      </c>
      <c r="AH288" s="92">
        <v>1699.599999999999</v>
      </c>
      <c r="AI288" s="93">
        <v>3536.0699999999933</v>
      </c>
      <c r="AJ288" s="93">
        <v>3536.0699999999933</v>
      </c>
      <c r="AK288" s="93">
        <v>3851.279999999992</v>
      </c>
      <c r="AL288" s="94">
        <v>1780.78</v>
      </c>
      <c r="AM288" s="94">
        <v>5571.21000000002</v>
      </c>
      <c r="AN288" s="94" t="s">
        <v>779</v>
      </c>
      <c r="AO288" s="111">
        <v>32308</v>
      </c>
      <c r="AP288" s="112">
        <v>8087.5</v>
      </c>
      <c r="AQ288" s="112">
        <v>26990.94</v>
      </c>
      <c r="AR288" s="112">
        <v>16151</v>
      </c>
      <c r="AS288" s="113">
        <v>11006</v>
      </c>
      <c r="AT288" s="113">
        <v>8756.380000000001</v>
      </c>
      <c r="AU288" s="111">
        <v>0</v>
      </c>
      <c r="AV288" s="112">
        <v>0</v>
      </c>
      <c r="AW288" s="112">
        <v>0</v>
      </c>
      <c r="AX288" s="112">
        <v>0</v>
      </c>
      <c r="AY288" s="113">
        <v>0</v>
      </c>
      <c r="AZ288" s="113">
        <v>0</v>
      </c>
    </row>
    <row r="289" spans="1:52" x14ac:dyDescent="0.25">
      <c r="A289" s="101" t="s">
        <v>973</v>
      </c>
      <c r="B289" s="102" t="s">
        <v>492</v>
      </c>
      <c r="C289" s="102"/>
      <c r="D289" s="102" t="s">
        <v>1048</v>
      </c>
      <c r="E289" s="103">
        <v>1.4899999999999984</v>
      </c>
      <c r="F289" s="104">
        <v>6000</v>
      </c>
      <c r="G289" s="105">
        <f t="shared" si="106"/>
        <v>3000</v>
      </c>
      <c r="H289" s="105">
        <v>21532</v>
      </c>
      <c r="I289" s="106">
        <f t="shared" si="107"/>
        <v>0.13932751253947612</v>
      </c>
      <c r="J289" s="86">
        <v>3669</v>
      </c>
      <c r="K289" s="87">
        <v>3810</v>
      </c>
      <c r="L289" s="87">
        <v>2896</v>
      </c>
      <c r="M289" s="87">
        <v>1184</v>
      </c>
      <c r="N289" s="90">
        <v>1050</v>
      </c>
      <c r="O289" s="90">
        <v>3458</v>
      </c>
      <c r="P289" s="86">
        <f t="shared" si="120"/>
        <v>5466.809999999994</v>
      </c>
      <c r="Q289" s="87">
        <f t="shared" si="121"/>
        <v>5676.8999999999942</v>
      </c>
      <c r="R289" s="87">
        <f t="shared" si="122"/>
        <v>4315.0399999999954</v>
      </c>
      <c r="S289" s="88">
        <f t="shared" si="123"/>
        <v>1764.159999999998</v>
      </c>
      <c r="T289" s="89">
        <f t="shared" si="124"/>
        <v>1564.4999999999984</v>
      </c>
      <c r="U289" s="89">
        <f t="shared" si="108"/>
        <v>5152.4199999999946</v>
      </c>
      <c r="V289" s="86">
        <v>1978</v>
      </c>
      <c r="W289" s="87">
        <v>2637</v>
      </c>
      <c r="X289" s="87">
        <v>4700</v>
      </c>
      <c r="Y289" s="87">
        <v>1977</v>
      </c>
      <c r="Z289" s="90">
        <v>2308</v>
      </c>
      <c r="AA289" s="90">
        <v>2208</v>
      </c>
      <c r="AB289" s="91">
        <f t="shared" si="109"/>
        <v>9.1863273267694598E-2</v>
      </c>
      <c r="AC289" s="91">
        <f t="shared" si="110"/>
        <v>0.12246888352219952</v>
      </c>
      <c r="AD289" s="91">
        <f t="shared" si="111"/>
        <v>0.21827976964517926</v>
      </c>
      <c r="AE289" s="91">
        <f t="shared" si="112"/>
        <v>9.1816830763514767E-2</v>
      </c>
      <c r="AF289" s="91">
        <f t="shared" si="113"/>
        <v>0.10718929964703697</v>
      </c>
      <c r="AG289" s="91">
        <f t="shared" si="114"/>
        <v>0.10254504922905443</v>
      </c>
      <c r="AH289" s="92">
        <v>2959.2999999999952</v>
      </c>
      <c r="AI289" s="93">
        <v>3820.6099999999942</v>
      </c>
      <c r="AJ289" s="93">
        <v>3820.6099999999938</v>
      </c>
      <c r="AK289" s="93">
        <v>7544.2199999999893</v>
      </c>
      <c r="AL289" s="94">
        <v>3334.96</v>
      </c>
      <c r="AM289" s="94">
        <v>3266.3800000000201</v>
      </c>
      <c r="AN289" s="94" t="s">
        <v>780</v>
      </c>
      <c r="AO289" s="111">
        <v>62591.6</v>
      </c>
      <c r="AP289" s="112">
        <v>64545.17</v>
      </c>
      <c r="AQ289" s="112">
        <v>48963.25</v>
      </c>
      <c r="AR289" s="112">
        <v>19891.16</v>
      </c>
      <c r="AS289" s="113">
        <v>17667.400000000001</v>
      </c>
      <c r="AT289" s="113">
        <v>58477.41</v>
      </c>
      <c r="AU289" s="111">
        <v>0</v>
      </c>
      <c r="AV289" s="112">
        <v>0</v>
      </c>
      <c r="AW289" s="112">
        <v>0</v>
      </c>
      <c r="AX289" s="112">
        <v>0</v>
      </c>
      <c r="AY289" s="113">
        <v>0</v>
      </c>
      <c r="AZ289" s="113">
        <v>0</v>
      </c>
    </row>
    <row r="290" spans="1:52" x14ac:dyDescent="0.25">
      <c r="A290" s="101" t="s">
        <v>974</v>
      </c>
      <c r="B290" s="102" t="s">
        <v>480</v>
      </c>
      <c r="C290" s="102"/>
      <c r="D290" s="102" t="s">
        <v>1048</v>
      </c>
      <c r="E290" s="103">
        <v>1.4800000000000022</v>
      </c>
      <c r="F290" s="104">
        <v>400</v>
      </c>
      <c r="G290" s="105">
        <f t="shared" si="106"/>
        <v>200</v>
      </c>
      <c r="H290" s="105">
        <v>1545</v>
      </c>
      <c r="I290" s="106">
        <f t="shared" si="107"/>
        <v>0.12944983818770225</v>
      </c>
      <c r="J290" s="86">
        <v>571</v>
      </c>
      <c r="K290" s="87">
        <v>150</v>
      </c>
      <c r="L290" s="87">
        <v>0</v>
      </c>
      <c r="M290" s="87">
        <v>0</v>
      </c>
      <c r="N290" s="90">
        <v>360</v>
      </c>
      <c r="O290" s="90">
        <v>0</v>
      </c>
      <c r="P290" s="86">
        <f t="shared" si="120"/>
        <v>845.08000000000129</v>
      </c>
      <c r="Q290" s="87">
        <f t="shared" si="121"/>
        <v>222.00000000000034</v>
      </c>
      <c r="R290" s="87">
        <f t="shared" si="122"/>
        <v>0</v>
      </c>
      <c r="S290" s="88">
        <f t="shared" si="123"/>
        <v>0</v>
      </c>
      <c r="T290" s="89">
        <f t="shared" si="124"/>
        <v>532.80000000000075</v>
      </c>
      <c r="U290" s="89">
        <f t="shared" si="108"/>
        <v>0</v>
      </c>
      <c r="V290" s="86">
        <v>173</v>
      </c>
      <c r="W290" s="87">
        <v>158</v>
      </c>
      <c r="X290" s="87">
        <v>193</v>
      </c>
      <c r="Y290" s="87">
        <v>153</v>
      </c>
      <c r="Z290" s="90">
        <v>166</v>
      </c>
      <c r="AA290" s="90">
        <v>275</v>
      </c>
      <c r="AB290" s="91">
        <f t="shared" si="109"/>
        <v>0.11197411003236246</v>
      </c>
      <c r="AC290" s="91">
        <f t="shared" si="110"/>
        <v>0.1022653721682848</v>
      </c>
      <c r="AD290" s="91">
        <f t="shared" si="111"/>
        <v>0.12491909385113269</v>
      </c>
      <c r="AE290" s="91">
        <f t="shared" si="112"/>
        <v>9.9029126213592236E-2</v>
      </c>
      <c r="AF290" s="91">
        <f t="shared" si="113"/>
        <v>0.10744336569579288</v>
      </c>
      <c r="AG290" s="91">
        <f t="shared" si="114"/>
        <v>0.17799352750809061</v>
      </c>
      <c r="AH290" s="92">
        <v>112.04</v>
      </c>
      <c r="AI290" s="93">
        <v>325.97000000000003</v>
      </c>
      <c r="AJ290" s="93">
        <v>325.96999999999997</v>
      </c>
      <c r="AK290" s="93">
        <v>391.52999999999963</v>
      </c>
      <c r="AL290" s="94">
        <v>346.29</v>
      </c>
      <c r="AM290" s="94">
        <v>346.52</v>
      </c>
      <c r="AN290" s="94" t="s">
        <v>780</v>
      </c>
      <c r="AO290" s="111">
        <v>9108.91</v>
      </c>
      <c r="AP290" s="112">
        <v>2410.5</v>
      </c>
      <c r="AQ290" s="112">
        <v>0</v>
      </c>
      <c r="AR290" s="112">
        <v>0</v>
      </c>
      <c r="AS290" s="113">
        <v>5774.7</v>
      </c>
      <c r="AT290" s="113">
        <v>0</v>
      </c>
      <c r="AU290" s="111">
        <v>0</v>
      </c>
      <c r="AV290" s="112">
        <v>0</v>
      </c>
      <c r="AW290" s="112">
        <v>0</v>
      </c>
      <c r="AX290" s="112">
        <v>0</v>
      </c>
      <c r="AY290" s="113">
        <v>0</v>
      </c>
      <c r="AZ290" s="113">
        <v>0</v>
      </c>
    </row>
    <row r="291" spans="1:52" x14ac:dyDescent="0.25">
      <c r="A291" s="101" t="s">
        <v>975</v>
      </c>
      <c r="B291" s="102" t="s">
        <v>168</v>
      </c>
      <c r="C291" s="102"/>
      <c r="D291" s="102" t="s">
        <v>1048</v>
      </c>
      <c r="E291" s="103">
        <v>1.48</v>
      </c>
      <c r="F291" s="104">
        <v>800</v>
      </c>
      <c r="G291" s="105">
        <f t="shared" si="106"/>
        <v>400</v>
      </c>
      <c r="H291" s="105">
        <v>1462</v>
      </c>
      <c r="I291" s="106">
        <f t="shared" si="107"/>
        <v>0.27359781121751026</v>
      </c>
      <c r="J291" s="86">
        <v>0</v>
      </c>
      <c r="K291" s="87">
        <v>0</v>
      </c>
      <c r="L291" s="87">
        <v>0</v>
      </c>
      <c r="M291" s="87">
        <v>240</v>
      </c>
      <c r="N291" s="90"/>
      <c r="O291" s="90">
        <v>0</v>
      </c>
      <c r="P291" s="86">
        <f t="shared" si="120"/>
        <v>0</v>
      </c>
      <c r="Q291" s="87">
        <f t="shared" si="121"/>
        <v>0</v>
      </c>
      <c r="R291" s="87">
        <f t="shared" si="122"/>
        <v>0</v>
      </c>
      <c r="S291" s="88">
        <f t="shared" si="123"/>
        <v>355.2</v>
      </c>
      <c r="T291" s="89">
        <f t="shared" si="124"/>
        <v>0</v>
      </c>
      <c r="U291" s="89">
        <f t="shared" si="108"/>
        <v>0</v>
      </c>
      <c r="V291" s="86">
        <v>0</v>
      </c>
      <c r="W291" s="87">
        <v>0</v>
      </c>
      <c r="X291" s="87">
        <v>0</v>
      </c>
      <c r="Y291" s="87">
        <v>0</v>
      </c>
      <c r="Z291" s="90">
        <v>239</v>
      </c>
      <c r="AA291" s="90">
        <v>0</v>
      </c>
      <c r="AB291" s="91">
        <f t="shared" si="109"/>
        <v>0</v>
      </c>
      <c r="AC291" s="91">
        <f t="shared" si="110"/>
        <v>0</v>
      </c>
      <c r="AD291" s="91">
        <f t="shared" si="111"/>
        <v>0</v>
      </c>
      <c r="AE291" s="91">
        <f t="shared" si="112"/>
        <v>0</v>
      </c>
      <c r="AF291" s="91">
        <f t="shared" si="113"/>
        <v>0.16347469220246238</v>
      </c>
      <c r="AG291" s="91">
        <f t="shared" si="114"/>
        <v>0</v>
      </c>
      <c r="AH291" s="92">
        <v>0</v>
      </c>
      <c r="AI291" s="93">
        <v>0</v>
      </c>
      <c r="AJ291" s="93">
        <v>0</v>
      </c>
      <c r="AK291" s="93">
        <v>0</v>
      </c>
      <c r="AL291" s="94">
        <v>353.71999999999997</v>
      </c>
      <c r="AM291" s="94">
        <v>0</v>
      </c>
      <c r="AN291" s="94" t="s">
        <v>779</v>
      </c>
      <c r="AO291" s="111">
        <v>0</v>
      </c>
      <c r="AP291" s="112">
        <v>0</v>
      </c>
      <c r="AQ291" s="112">
        <v>0</v>
      </c>
      <c r="AR291" s="112">
        <v>741.6</v>
      </c>
      <c r="AS291" s="113">
        <v>0</v>
      </c>
      <c r="AT291" s="113">
        <v>0</v>
      </c>
      <c r="AU291" s="111">
        <v>0</v>
      </c>
      <c r="AV291" s="112">
        <v>0</v>
      </c>
      <c r="AW291" s="112">
        <v>0</v>
      </c>
      <c r="AX291" s="112">
        <v>0</v>
      </c>
      <c r="AY291" s="113">
        <v>0</v>
      </c>
      <c r="AZ291" s="113">
        <v>0</v>
      </c>
    </row>
    <row r="292" spans="1:52" x14ac:dyDescent="0.25">
      <c r="A292" s="101" t="s">
        <v>381</v>
      </c>
      <c r="B292" s="102" t="s">
        <v>382</v>
      </c>
      <c r="C292" s="102"/>
      <c r="D292" s="102" t="s">
        <v>1048</v>
      </c>
      <c r="E292" s="103">
        <v>1.4799999999999986</v>
      </c>
      <c r="F292" s="104">
        <v>4000</v>
      </c>
      <c r="G292" s="105">
        <f t="shared" si="106"/>
        <v>2000</v>
      </c>
      <c r="H292" s="105">
        <v>26566</v>
      </c>
      <c r="I292" s="106">
        <f t="shared" si="107"/>
        <v>7.5284197846871945E-2</v>
      </c>
      <c r="J292" s="86">
        <v>0</v>
      </c>
      <c r="K292" s="87">
        <v>167</v>
      </c>
      <c r="L292" s="87">
        <v>774</v>
      </c>
      <c r="M292" s="87">
        <v>551</v>
      </c>
      <c r="N292" s="90">
        <v>141</v>
      </c>
      <c r="O292" s="90">
        <v>151</v>
      </c>
      <c r="P292" s="86">
        <f t="shared" si="120"/>
        <v>0</v>
      </c>
      <c r="Q292" s="87">
        <f t="shared" si="121"/>
        <v>247.15999999999977</v>
      </c>
      <c r="R292" s="87">
        <f t="shared" si="122"/>
        <v>1145.5199999999988</v>
      </c>
      <c r="S292" s="88">
        <f t="shared" si="123"/>
        <v>815.47999999999922</v>
      </c>
      <c r="T292" s="89">
        <f t="shared" si="124"/>
        <v>208.67999999999981</v>
      </c>
      <c r="U292" s="89">
        <f t="shared" si="108"/>
        <v>223.47999999999979</v>
      </c>
      <c r="V292" s="86">
        <v>36</v>
      </c>
      <c r="W292" s="87">
        <v>369</v>
      </c>
      <c r="X292" s="87">
        <v>78</v>
      </c>
      <c r="Y292" s="87">
        <v>87</v>
      </c>
      <c r="Z292" s="90">
        <v>589</v>
      </c>
      <c r="AA292" s="90">
        <v>69</v>
      </c>
      <c r="AB292" s="91">
        <f t="shared" si="109"/>
        <v>1.355115561243695E-3</v>
      </c>
      <c r="AC292" s="91">
        <f t="shared" si="110"/>
        <v>1.3889934502747872E-2</v>
      </c>
      <c r="AD292" s="91">
        <f t="shared" si="111"/>
        <v>2.9360837160280059E-3</v>
      </c>
      <c r="AE292" s="91">
        <f t="shared" si="112"/>
        <v>3.2748626063389295E-3</v>
      </c>
      <c r="AF292" s="91">
        <f t="shared" si="113"/>
        <v>2.2171196265903786E-2</v>
      </c>
      <c r="AG292" s="91">
        <f t="shared" si="114"/>
        <v>2.5973048257170819E-3</v>
      </c>
      <c r="AH292" s="92">
        <v>57.120000000000012</v>
      </c>
      <c r="AI292" s="93">
        <v>551.35999999999797</v>
      </c>
      <c r="AJ292" s="93">
        <v>551.35999999999797</v>
      </c>
      <c r="AK292" s="93">
        <v>119.21999999999989</v>
      </c>
      <c r="AL292" s="94">
        <v>124.99999999999901</v>
      </c>
      <c r="AM292" s="94">
        <v>87.409999999999897</v>
      </c>
      <c r="AN292" s="94" t="s">
        <v>779</v>
      </c>
      <c r="AO292" s="111">
        <v>2297.4</v>
      </c>
      <c r="AP292" s="112">
        <v>780.16</v>
      </c>
      <c r="AQ292" s="112">
        <v>3637.83</v>
      </c>
      <c r="AR292" s="112">
        <v>2586.19</v>
      </c>
      <c r="AS292" s="113">
        <v>660.29</v>
      </c>
      <c r="AT292" s="113">
        <v>708.19</v>
      </c>
      <c r="AU292" s="111">
        <v>385.19999999999987</v>
      </c>
      <c r="AV292" s="112">
        <v>3969.1999999999971</v>
      </c>
      <c r="AW292" s="112">
        <v>847.49999999999898</v>
      </c>
      <c r="AX292" s="112">
        <v>942.79999999999905</v>
      </c>
      <c r="AY292" s="113">
        <v>6288.1800000000103</v>
      </c>
      <c r="AZ292" s="113">
        <v>734.62999999999897</v>
      </c>
    </row>
    <row r="293" spans="1:52" x14ac:dyDescent="0.25">
      <c r="A293" s="101" t="s">
        <v>794</v>
      </c>
      <c r="B293" s="102" t="s">
        <v>837</v>
      </c>
      <c r="C293" s="102"/>
      <c r="D293" s="102" t="s">
        <v>1048</v>
      </c>
      <c r="E293" s="103">
        <v>1.4784819190834213</v>
      </c>
      <c r="F293" s="104">
        <v>600</v>
      </c>
      <c r="G293" s="105">
        <f t="shared" si="106"/>
        <v>300</v>
      </c>
      <c r="H293" s="105">
        <v>1569</v>
      </c>
      <c r="I293" s="106">
        <f t="shared" si="107"/>
        <v>0.19120458891013384</v>
      </c>
      <c r="J293" s="86">
        <v>0</v>
      </c>
      <c r="K293" s="86">
        <v>0</v>
      </c>
      <c r="L293" s="86">
        <v>0</v>
      </c>
      <c r="M293" s="86">
        <v>0</v>
      </c>
      <c r="N293" s="86">
        <v>0</v>
      </c>
      <c r="O293" s="90">
        <v>175</v>
      </c>
      <c r="P293" s="86"/>
      <c r="Q293" s="87"/>
      <c r="R293" s="87"/>
      <c r="S293" s="88"/>
      <c r="T293" s="89"/>
      <c r="U293" s="89">
        <f t="shared" si="108"/>
        <v>258.73433583959871</v>
      </c>
      <c r="V293" s="86"/>
      <c r="W293" s="87"/>
      <c r="X293" s="87"/>
      <c r="Y293" s="87"/>
      <c r="Z293" s="90"/>
      <c r="AA293" s="90"/>
      <c r="AB293" s="91">
        <f t="shared" si="109"/>
        <v>0</v>
      </c>
      <c r="AC293" s="91">
        <f t="shared" si="110"/>
        <v>0</v>
      </c>
      <c r="AD293" s="91">
        <f t="shared" si="111"/>
        <v>0</v>
      </c>
      <c r="AE293" s="91">
        <f t="shared" si="112"/>
        <v>0</v>
      </c>
      <c r="AF293" s="91">
        <f t="shared" si="113"/>
        <v>0</v>
      </c>
      <c r="AG293" s="91">
        <f t="shared" si="114"/>
        <v>0</v>
      </c>
      <c r="AH293" s="92"/>
      <c r="AI293" s="93"/>
      <c r="AJ293" s="93"/>
      <c r="AK293" s="93"/>
      <c r="AL293" s="94"/>
      <c r="AM293" s="94"/>
      <c r="AN293" s="94" t="s">
        <v>780</v>
      </c>
      <c r="AO293" s="111">
        <v>0</v>
      </c>
      <c r="AP293" s="112">
        <v>0</v>
      </c>
      <c r="AQ293" s="112">
        <v>0</v>
      </c>
      <c r="AR293" s="112">
        <v>0</v>
      </c>
      <c r="AS293" s="113">
        <v>0</v>
      </c>
      <c r="AT293" s="113">
        <v>2255.75</v>
      </c>
      <c r="AU293" s="111">
        <v>0</v>
      </c>
      <c r="AV293" s="112">
        <v>0</v>
      </c>
      <c r="AW293" s="112">
        <v>0</v>
      </c>
      <c r="AX293" s="112">
        <v>0</v>
      </c>
      <c r="AY293" s="113">
        <v>0</v>
      </c>
      <c r="AZ293" s="113">
        <v>0</v>
      </c>
    </row>
    <row r="294" spans="1:52" x14ac:dyDescent="0.25">
      <c r="A294" s="101" t="s">
        <v>976</v>
      </c>
      <c r="B294" s="102" t="s">
        <v>375</v>
      </c>
      <c r="C294" s="102"/>
      <c r="D294" s="102" t="s">
        <v>1048</v>
      </c>
      <c r="E294" s="103">
        <v>1.4699999999999989</v>
      </c>
      <c r="F294" s="104">
        <v>6000</v>
      </c>
      <c r="G294" s="105">
        <f t="shared" si="106"/>
        <v>3000</v>
      </c>
      <c r="H294" s="105">
        <v>30080</v>
      </c>
      <c r="I294" s="106">
        <f t="shared" si="107"/>
        <v>9.9734042553191488E-2</v>
      </c>
      <c r="J294" s="86">
        <v>0</v>
      </c>
      <c r="K294" s="87">
        <v>0</v>
      </c>
      <c r="L294" s="87">
        <v>3000</v>
      </c>
      <c r="M294" s="87">
        <v>5660</v>
      </c>
      <c r="N294" s="90">
        <v>13480</v>
      </c>
      <c r="O294" s="90">
        <v>460</v>
      </c>
      <c r="P294" s="86">
        <f t="shared" ref="P294:P302" si="125">+J294*E294</f>
        <v>0</v>
      </c>
      <c r="Q294" s="87">
        <f t="shared" ref="Q294:Q302" si="126">+K294*E294</f>
        <v>0</v>
      </c>
      <c r="R294" s="87">
        <f t="shared" ref="R294:R302" si="127">+L294*E294</f>
        <v>4409.9999999999964</v>
      </c>
      <c r="S294" s="88">
        <f t="shared" ref="S294:S302" si="128">+M294*E294</f>
        <v>8320.1999999999935</v>
      </c>
      <c r="T294" s="89">
        <f t="shared" ref="T294:T302" si="129">+N294*E294</f>
        <v>19815.599999999984</v>
      </c>
      <c r="U294" s="89">
        <f t="shared" si="108"/>
        <v>676.19999999999948</v>
      </c>
      <c r="V294" s="86">
        <v>3638</v>
      </c>
      <c r="W294" s="87">
        <v>982</v>
      </c>
      <c r="X294" s="87">
        <v>2985</v>
      </c>
      <c r="Y294" s="87">
        <v>2510</v>
      </c>
      <c r="Z294" s="90">
        <v>3225</v>
      </c>
      <c r="AA294" s="90">
        <v>8677</v>
      </c>
      <c r="AB294" s="91">
        <f t="shared" si="109"/>
        <v>0.12094414893617021</v>
      </c>
      <c r="AC294" s="91">
        <f t="shared" si="110"/>
        <v>3.2646276595744678E-2</v>
      </c>
      <c r="AD294" s="91">
        <f t="shared" si="111"/>
        <v>9.9235372340425537E-2</v>
      </c>
      <c r="AE294" s="91">
        <f t="shared" si="112"/>
        <v>8.3444148936170207E-2</v>
      </c>
      <c r="AF294" s="91">
        <f t="shared" si="113"/>
        <v>0.10721409574468085</v>
      </c>
      <c r="AG294" s="91">
        <f t="shared" si="114"/>
        <v>0.28846409574468085</v>
      </c>
      <c r="AH294" s="92">
        <v>2355.0000000000018</v>
      </c>
      <c r="AI294" s="93">
        <v>1337.3199999999974</v>
      </c>
      <c r="AJ294" s="93">
        <v>1337.319999999997</v>
      </c>
      <c r="AK294" s="93">
        <v>2448.7799999999938</v>
      </c>
      <c r="AL294" s="94">
        <v>2546.0699999999902</v>
      </c>
      <c r="AM294" s="94">
        <v>8112.82</v>
      </c>
      <c r="AN294" s="94" t="s">
        <v>779</v>
      </c>
      <c r="AO294" s="111">
        <v>0</v>
      </c>
      <c r="AP294" s="112">
        <v>0</v>
      </c>
      <c r="AQ294" s="112">
        <v>25890</v>
      </c>
      <c r="AR294" s="112">
        <v>49072.2</v>
      </c>
      <c r="AS294" s="113">
        <v>116332.40000000001</v>
      </c>
      <c r="AT294" s="113">
        <v>3818</v>
      </c>
      <c r="AU294" s="111">
        <v>0</v>
      </c>
      <c r="AV294" s="112">
        <v>0</v>
      </c>
      <c r="AW294" s="112">
        <v>0</v>
      </c>
      <c r="AX294" s="112">
        <v>0</v>
      </c>
      <c r="AY294" s="113">
        <v>0</v>
      </c>
      <c r="AZ294" s="113">
        <v>0</v>
      </c>
    </row>
    <row r="295" spans="1:52" x14ac:dyDescent="0.25">
      <c r="A295" s="101" t="s">
        <v>977</v>
      </c>
      <c r="B295" s="102" t="s">
        <v>117</v>
      </c>
      <c r="C295" s="102"/>
      <c r="D295" s="102" t="s">
        <v>1048</v>
      </c>
      <c r="E295" s="103">
        <v>1.46</v>
      </c>
      <c r="F295" s="104">
        <v>7000</v>
      </c>
      <c r="G295" s="105">
        <f t="shared" si="106"/>
        <v>3500</v>
      </c>
      <c r="H295" s="105">
        <v>15198</v>
      </c>
      <c r="I295" s="106">
        <f t="shared" si="107"/>
        <v>0.23029345966574549</v>
      </c>
      <c r="J295" s="86">
        <v>0</v>
      </c>
      <c r="K295" s="87">
        <v>0</v>
      </c>
      <c r="L295" s="87">
        <v>0</v>
      </c>
      <c r="M295" s="87">
        <v>0</v>
      </c>
      <c r="N295" s="90">
        <v>1890</v>
      </c>
      <c r="O295" s="90">
        <v>11372</v>
      </c>
      <c r="P295" s="86">
        <f t="shared" si="125"/>
        <v>0</v>
      </c>
      <c r="Q295" s="87">
        <f t="shared" si="126"/>
        <v>0</v>
      </c>
      <c r="R295" s="87">
        <f t="shared" si="127"/>
        <v>0</v>
      </c>
      <c r="S295" s="88">
        <f t="shared" si="128"/>
        <v>0</v>
      </c>
      <c r="T295" s="89">
        <f t="shared" si="129"/>
        <v>2759.4</v>
      </c>
      <c r="U295" s="89">
        <f t="shared" si="108"/>
        <v>16603.12</v>
      </c>
      <c r="V295" s="86">
        <v>0</v>
      </c>
      <c r="W295" s="87">
        <v>0</v>
      </c>
      <c r="X295" s="87">
        <v>0</v>
      </c>
      <c r="Y295" s="87">
        <v>0</v>
      </c>
      <c r="Z295" s="90">
        <v>0</v>
      </c>
      <c r="AA295" s="90">
        <v>1818</v>
      </c>
      <c r="AB295" s="91">
        <f t="shared" si="109"/>
        <v>0</v>
      </c>
      <c r="AC295" s="91">
        <f t="shared" si="110"/>
        <v>0</v>
      </c>
      <c r="AD295" s="91">
        <f t="shared" si="111"/>
        <v>0</v>
      </c>
      <c r="AE295" s="91">
        <f t="shared" si="112"/>
        <v>0</v>
      </c>
      <c r="AF295" s="91">
        <f t="shared" si="113"/>
        <v>0</v>
      </c>
      <c r="AG295" s="91">
        <f t="shared" si="114"/>
        <v>0.11962100276352151</v>
      </c>
      <c r="AH295" s="92">
        <v>0</v>
      </c>
      <c r="AI295" s="93">
        <v>0</v>
      </c>
      <c r="AJ295" s="93">
        <v>0</v>
      </c>
      <c r="AK295" s="93">
        <v>0</v>
      </c>
      <c r="AL295" s="94">
        <v>0</v>
      </c>
      <c r="AM295" s="94">
        <v>2117.94</v>
      </c>
      <c r="AN295" s="94" t="s">
        <v>779</v>
      </c>
      <c r="AO295" s="111">
        <v>0</v>
      </c>
      <c r="AP295" s="112">
        <v>0</v>
      </c>
      <c r="AQ295" s="112">
        <v>0</v>
      </c>
      <c r="AR295" s="112">
        <v>0</v>
      </c>
      <c r="AS295" s="113">
        <v>4441.5</v>
      </c>
      <c r="AT295" s="113">
        <v>26167.940000000002</v>
      </c>
      <c r="AU295" s="111">
        <v>0</v>
      </c>
      <c r="AV295" s="112">
        <v>0</v>
      </c>
      <c r="AW295" s="112">
        <v>0</v>
      </c>
      <c r="AX295" s="112">
        <v>0</v>
      </c>
      <c r="AY295" s="113">
        <v>0</v>
      </c>
      <c r="AZ295" s="113">
        <v>0</v>
      </c>
    </row>
    <row r="296" spans="1:52" x14ac:dyDescent="0.25">
      <c r="A296" s="101" t="s">
        <v>422</v>
      </c>
      <c r="B296" s="102" t="s">
        <v>423</v>
      </c>
      <c r="C296" s="102"/>
      <c r="D296" s="102" t="s">
        <v>1048</v>
      </c>
      <c r="E296" s="103">
        <v>1.4599999999999991</v>
      </c>
      <c r="F296" s="104">
        <v>2000</v>
      </c>
      <c r="G296" s="105">
        <f t="shared" si="106"/>
        <v>1000</v>
      </c>
      <c r="H296" s="105">
        <v>11254</v>
      </c>
      <c r="I296" s="106">
        <f t="shared" si="107"/>
        <v>8.8857295183934606E-2</v>
      </c>
      <c r="J296" s="86">
        <v>0</v>
      </c>
      <c r="K296" s="87">
        <v>203</v>
      </c>
      <c r="L296" s="87">
        <v>4409</v>
      </c>
      <c r="M296" s="87">
        <v>2621</v>
      </c>
      <c r="N296" s="90"/>
      <c r="O296" s="90">
        <v>500</v>
      </c>
      <c r="P296" s="86">
        <f t="shared" si="125"/>
        <v>0</v>
      </c>
      <c r="Q296" s="87">
        <f t="shared" si="126"/>
        <v>296.37999999999982</v>
      </c>
      <c r="R296" s="87">
        <f t="shared" si="127"/>
        <v>6437.1399999999958</v>
      </c>
      <c r="S296" s="88">
        <f t="shared" si="128"/>
        <v>3826.6599999999976</v>
      </c>
      <c r="T296" s="89">
        <f t="shared" si="129"/>
        <v>0</v>
      </c>
      <c r="U296" s="89">
        <f t="shared" si="108"/>
        <v>729.99999999999955</v>
      </c>
      <c r="V296" s="86">
        <v>2715</v>
      </c>
      <c r="W296" s="87">
        <v>1202</v>
      </c>
      <c r="X296" s="87">
        <v>228</v>
      </c>
      <c r="Y296" s="87">
        <v>1552</v>
      </c>
      <c r="Z296" s="90">
        <v>1927</v>
      </c>
      <c r="AA296" s="90">
        <v>1832</v>
      </c>
      <c r="AB296" s="91">
        <f t="shared" si="109"/>
        <v>0.24124755642438245</v>
      </c>
      <c r="AC296" s="91">
        <f t="shared" si="110"/>
        <v>0.10680646881108939</v>
      </c>
      <c r="AD296" s="91">
        <f t="shared" si="111"/>
        <v>2.0259463301937088E-2</v>
      </c>
      <c r="AE296" s="91">
        <f t="shared" si="112"/>
        <v>0.1379065221254665</v>
      </c>
      <c r="AF296" s="91">
        <f t="shared" si="113"/>
        <v>0.17122800781944197</v>
      </c>
      <c r="AG296" s="91">
        <f t="shared" si="114"/>
        <v>0.16278656477696818</v>
      </c>
      <c r="AH296" s="92">
        <v>547.7399999999999</v>
      </c>
      <c r="AI296" s="93">
        <v>345.93999999999954</v>
      </c>
      <c r="AJ296" s="93">
        <v>345.93999999999949</v>
      </c>
      <c r="AK296" s="93">
        <v>267.79999999999961</v>
      </c>
      <c r="AL296" s="94">
        <v>1158.8900000000001</v>
      </c>
      <c r="AM296" s="94">
        <v>-168.539999999999</v>
      </c>
      <c r="AN296" s="94" t="s">
        <v>780</v>
      </c>
      <c r="AO296" s="111">
        <v>0</v>
      </c>
      <c r="AP296" s="112">
        <v>2663.36</v>
      </c>
      <c r="AQ296" s="112">
        <v>56865.789999999994</v>
      </c>
      <c r="AR296" s="112">
        <v>33418.43</v>
      </c>
      <c r="AS296" s="113">
        <v>0</v>
      </c>
      <c r="AT296" s="113">
        <v>5700</v>
      </c>
      <c r="AU296" s="111">
        <v>38325.690000000017</v>
      </c>
      <c r="AV296" s="112">
        <v>16971.829999999936</v>
      </c>
      <c r="AW296" s="112">
        <v>3229.7599999999979</v>
      </c>
      <c r="AX296" s="112">
        <v>21181.369999999799</v>
      </c>
      <c r="AY296" s="113">
        <v>25394.979999999901</v>
      </c>
      <c r="AZ296" s="113">
        <v>23262.5000000002</v>
      </c>
    </row>
    <row r="297" spans="1:52" x14ac:dyDescent="0.25">
      <c r="A297" s="101" t="s">
        <v>640</v>
      </c>
      <c r="B297" s="102" t="s">
        <v>641</v>
      </c>
      <c r="C297" s="102"/>
      <c r="D297" s="102" t="s">
        <v>1048</v>
      </c>
      <c r="E297" s="103">
        <v>1.4299999999999997</v>
      </c>
      <c r="F297" s="104">
        <v>3000</v>
      </c>
      <c r="G297" s="105">
        <f t="shared" si="106"/>
        <v>1500</v>
      </c>
      <c r="H297" s="105">
        <v>7585</v>
      </c>
      <c r="I297" s="106">
        <f t="shared" si="107"/>
        <v>0.19775873434410018</v>
      </c>
      <c r="J297" s="86">
        <v>293</v>
      </c>
      <c r="K297" s="87">
        <v>0</v>
      </c>
      <c r="L297" s="87">
        <v>170</v>
      </c>
      <c r="M297" s="87">
        <v>124</v>
      </c>
      <c r="N297" s="90">
        <v>329</v>
      </c>
      <c r="O297" s="90">
        <v>185</v>
      </c>
      <c r="P297" s="86">
        <f t="shared" si="125"/>
        <v>418.9899999999999</v>
      </c>
      <c r="Q297" s="87">
        <f t="shared" si="126"/>
        <v>0</v>
      </c>
      <c r="R297" s="87">
        <f t="shared" si="127"/>
        <v>243.09999999999997</v>
      </c>
      <c r="S297" s="88">
        <f t="shared" si="128"/>
        <v>177.31999999999996</v>
      </c>
      <c r="T297" s="89">
        <f t="shared" si="129"/>
        <v>470.46999999999991</v>
      </c>
      <c r="U297" s="89">
        <f t="shared" si="108"/>
        <v>264.54999999999995</v>
      </c>
      <c r="V297" s="86">
        <v>0</v>
      </c>
      <c r="W297" s="87">
        <v>776</v>
      </c>
      <c r="X297" s="87">
        <v>165</v>
      </c>
      <c r="Y297" s="87">
        <v>120</v>
      </c>
      <c r="Z297" s="90">
        <v>214</v>
      </c>
      <c r="AA297" s="90">
        <v>573</v>
      </c>
      <c r="AB297" s="91">
        <f t="shared" si="109"/>
        <v>0</v>
      </c>
      <c r="AC297" s="91">
        <f t="shared" si="110"/>
        <v>0.1023071852340145</v>
      </c>
      <c r="AD297" s="91">
        <f t="shared" si="111"/>
        <v>2.1753460777851022E-2</v>
      </c>
      <c r="AE297" s="91">
        <f t="shared" si="112"/>
        <v>1.5820698747528016E-2</v>
      </c>
      <c r="AF297" s="91">
        <f t="shared" si="113"/>
        <v>2.8213579433091628E-2</v>
      </c>
      <c r="AG297" s="91">
        <f t="shared" si="114"/>
        <v>7.5543836519446281E-2</v>
      </c>
      <c r="AH297" s="92">
        <v>0.39999999999999952</v>
      </c>
      <c r="AI297" s="93">
        <v>1385.979999999995</v>
      </c>
      <c r="AJ297" s="93">
        <v>1385.9799999999946</v>
      </c>
      <c r="AK297" s="93">
        <v>150.0199999999999</v>
      </c>
      <c r="AL297" s="94">
        <v>330.43999999999897</v>
      </c>
      <c r="AM297" s="94">
        <v>709.770000000001</v>
      </c>
      <c r="AN297" s="94" t="s">
        <v>780</v>
      </c>
      <c r="AO297" s="111">
        <v>10952.99</v>
      </c>
      <c r="AP297" s="112">
        <v>0</v>
      </c>
      <c r="AQ297" s="112">
        <v>6298.5</v>
      </c>
      <c r="AR297" s="112">
        <v>4622.5300000000007</v>
      </c>
      <c r="AS297" s="113">
        <v>12221.53</v>
      </c>
      <c r="AT297" s="113">
        <v>6861.1399999999994</v>
      </c>
      <c r="AU297" s="111">
        <v>0.40000000000000568</v>
      </c>
      <c r="AV297" s="112">
        <v>31029.429999999938</v>
      </c>
      <c r="AW297" s="112">
        <v>6461.6799999999903</v>
      </c>
      <c r="AX297" s="112">
        <v>4820.8399999999901</v>
      </c>
      <c r="AY297" s="113">
        <v>8465.7999999999993</v>
      </c>
      <c r="AZ297" s="113">
        <v>22173.1</v>
      </c>
    </row>
    <row r="298" spans="1:52" x14ac:dyDescent="0.25">
      <c r="A298" s="101" t="s">
        <v>978</v>
      </c>
      <c r="B298" s="102" t="s">
        <v>434</v>
      </c>
      <c r="C298" s="102"/>
      <c r="D298" s="102" t="s">
        <v>1048</v>
      </c>
      <c r="E298" s="103">
        <v>1.42</v>
      </c>
      <c r="F298" s="104">
        <v>3000</v>
      </c>
      <c r="G298" s="105">
        <f t="shared" si="106"/>
        <v>1500</v>
      </c>
      <c r="H298" s="105">
        <v>5729</v>
      </c>
      <c r="I298" s="106">
        <f t="shared" si="107"/>
        <v>0.26182579856868565</v>
      </c>
      <c r="J298" s="86">
        <v>1081</v>
      </c>
      <c r="K298" s="87">
        <v>1679</v>
      </c>
      <c r="L298" s="87">
        <v>876</v>
      </c>
      <c r="M298" s="87">
        <v>585</v>
      </c>
      <c r="N298" s="90">
        <v>229</v>
      </c>
      <c r="O298" s="90">
        <v>314</v>
      </c>
      <c r="P298" s="86">
        <f t="shared" si="125"/>
        <v>1535.02</v>
      </c>
      <c r="Q298" s="87">
        <f t="shared" si="126"/>
        <v>2384.1799999999998</v>
      </c>
      <c r="R298" s="87">
        <f t="shared" si="127"/>
        <v>1243.9199999999998</v>
      </c>
      <c r="S298" s="88">
        <f t="shared" si="128"/>
        <v>830.69999999999993</v>
      </c>
      <c r="T298" s="89">
        <f t="shared" si="129"/>
        <v>325.18</v>
      </c>
      <c r="U298" s="89">
        <f t="shared" si="108"/>
        <v>445.88</v>
      </c>
      <c r="V298" s="86">
        <v>831</v>
      </c>
      <c r="W298" s="87">
        <v>1404</v>
      </c>
      <c r="X298" s="87">
        <v>1520</v>
      </c>
      <c r="Y298" s="87">
        <v>760</v>
      </c>
      <c r="Z298" s="90">
        <v>1126</v>
      </c>
      <c r="AA298" s="90">
        <v>434</v>
      </c>
      <c r="AB298" s="91">
        <f t="shared" si="109"/>
        <v>0.14505149240705184</v>
      </c>
      <c r="AC298" s="91">
        <f t="shared" si="110"/>
        <v>0.24506894746028976</v>
      </c>
      <c r="AD298" s="91">
        <f t="shared" si="111"/>
        <v>0.2653168092162681</v>
      </c>
      <c r="AE298" s="91">
        <f t="shared" si="112"/>
        <v>0.13265840460813405</v>
      </c>
      <c r="AF298" s="91">
        <f t="shared" si="113"/>
        <v>0.19654389945889336</v>
      </c>
      <c r="AG298" s="91">
        <f t="shared" si="114"/>
        <v>7.5754931052539706E-2</v>
      </c>
      <c r="AH298" s="92">
        <v>667.15000000000032</v>
      </c>
      <c r="AI298" s="93">
        <v>769.42999999999938</v>
      </c>
      <c r="AJ298" s="93">
        <v>769.42999999999961</v>
      </c>
      <c r="AK298" s="93">
        <v>1102.4899999999989</v>
      </c>
      <c r="AL298" s="94">
        <v>795.99999999999704</v>
      </c>
      <c r="AM298" s="94">
        <v>466.52000000000203</v>
      </c>
      <c r="AN298" s="94" t="s">
        <v>779</v>
      </c>
      <c r="AO298" s="111">
        <v>13329.630000000001</v>
      </c>
      <c r="AP298" s="112">
        <v>20936.149999999998</v>
      </c>
      <c r="AQ298" s="112">
        <v>10243.26</v>
      </c>
      <c r="AR298" s="112">
        <v>6971.3600000000006</v>
      </c>
      <c r="AS298" s="113">
        <v>2706.8700000000003</v>
      </c>
      <c r="AT298" s="113">
        <v>3729.4</v>
      </c>
      <c r="AU298" s="111">
        <v>0</v>
      </c>
      <c r="AV298" s="112">
        <v>0</v>
      </c>
      <c r="AW298" s="112">
        <v>0</v>
      </c>
      <c r="AX298" s="112">
        <v>0</v>
      </c>
      <c r="AY298" s="113">
        <v>0</v>
      </c>
      <c r="AZ298" s="113">
        <v>0</v>
      </c>
    </row>
    <row r="299" spans="1:52" x14ac:dyDescent="0.25">
      <c r="A299" s="101" t="s">
        <v>979</v>
      </c>
      <c r="B299" s="102" t="s">
        <v>228</v>
      </c>
      <c r="C299" s="102"/>
      <c r="D299" s="102" t="s">
        <v>1048</v>
      </c>
      <c r="E299" s="103">
        <v>1.4199999999999995</v>
      </c>
      <c r="F299" s="104">
        <v>3000</v>
      </c>
      <c r="G299" s="105">
        <f t="shared" si="106"/>
        <v>1500</v>
      </c>
      <c r="H299" s="105">
        <v>31761</v>
      </c>
      <c r="I299" s="106">
        <f t="shared" si="107"/>
        <v>4.7227732124303388E-2</v>
      </c>
      <c r="J299" s="86">
        <v>0</v>
      </c>
      <c r="K299" s="87">
        <v>447</v>
      </c>
      <c r="L299" s="87">
        <v>438</v>
      </c>
      <c r="M299" s="87">
        <v>268</v>
      </c>
      <c r="N299" s="90">
        <v>192</v>
      </c>
      <c r="O299" s="90">
        <v>304</v>
      </c>
      <c r="P299" s="86">
        <f t="shared" si="125"/>
        <v>0</v>
      </c>
      <c r="Q299" s="87">
        <f t="shared" si="126"/>
        <v>634.73999999999978</v>
      </c>
      <c r="R299" s="87">
        <f t="shared" si="127"/>
        <v>621.95999999999981</v>
      </c>
      <c r="S299" s="88">
        <f t="shared" si="128"/>
        <v>380.55999999999989</v>
      </c>
      <c r="T299" s="89">
        <f t="shared" si="129"/>
        <v>272.63999999999987</v>
      </c>
      <c r="U299" s="89">
        <f t="shared" si="108"/>
        <v>431.67999999999984</v>
      </c>
      <c r="V299" s="86">
        <v>123</v>
      </c>
      <c r="W299" s="87">
        <v>12</v>
      </c>
      <c r="X299" s="87">
        <v>446</v>
      </c>
      <c r="Y299" s="87">
        <v>436</v>
      </c>
      <c r="Z299" s="90">
        <v>267</v>
      </c>
      <c r="AA299" s="90">
        <v>94</v>
      </c>
      <c r="AB299" s="91">
        <f t="shared" si="109"/>
        <v>3.8726740341928781E-3</v>
      </c>
      <c r="AC299" s="91">
        <f t="shared" si="110"/>
        <v>3.7782185699442711E-4</v>
      </c>
      <c r="AD299" s="91">
        <f t="shared" si="111"/>
        <v>1.4042379018292875E-2</v>
      </c>
      <c r="AE299" s="91">
        <f t="shared" si="112"/>
        <v>1.3727527470797519E-2</v>
      </c>
      <c r="AF299" s="91">
        <f t="shared" si="113"/>
        <v>8.4065363181260039E-3</v>
      </c>
      <c r="AG299" s="91">
        <f t="shared" si="114"/>
        <v>2.9596045464563457E-3</v>
      </c>
      <c r="AH299" s="92">
        <v>125.48</v>
      </c>
      <c r="AI299" s="93">
        <v>12.36</v>
      </c>
      <c r="AJ299" s="93">
        <v>12.36</v>
      </c>
      <c r="AK299" s="93">
        <v>527.03</v>
      </c>
      <c r="AL299" s="94">
        <v>566.38</v>
      </c>
      <c r="AM299" s="94">
        <v>119.42</v>
      </c>
      <c r="AN299" s="94" t="s">
        <v>779</v>
      </c>
      <c r="AO299" s="111">
        <v>0</v>
      </c>
      <c r="AP299" s="112">
        <v>1701.51</v>
      </c>
      <c r="AQ299" s="112">
        <v>1689.24</v>
      </c>
      <c r="AR299" s="112">
        <v>1021.08</v>
      </c>
      <c r="AS299" s="113">
        <v>735.36</v>
      </c>
      <c r="AT299" s="113">
        <v>1181.3600000000001</v>
      </c>
      <c r="AU299" s="111">
        <v>0</v>
      </c>
      <c r="AV299" s="112">
        <v>0</v>
      </c>
      <c r="AW299" s="112">
        <v>0</v>
      </c>
      <c r="AX299" s="112">
        <v>0</v>
      </c>
      <c r="AY299" s="113">
        <v>0</v>
      </c>
      <c r="AZ299" s="113">
        <v>0</v>
      </c>
    </row>
    <row r="300" spans="1:52" x14ac:dyDescent="0.25">
      <c r="A300" s="101" t="s">
        <v>980</v>
      </c>
      <c r="B300" s="102" t="s">
        <v>597</v>
      </c>
      <c r="C300" s="102"/>
      <c r="D300" s="102" t="s">
        <v>1049</v>
      </c>
      <c r="E300" s="103">
        <v>1.4100000000000001</v>
      </c>
      <c r="F300" s="104">
        <v>15000</v>
      </c>
      <c r="G300" s="105">
        <f t="shared" si="106"/>
        <v>7500</v>
      </c>
      <c r="H300" s="105">
        <v>209608</v>
      </c>
      <c r="I300" s="106">
        <f t="shared" si="107"/>
        <v>3.5781077058127553E-2</v>
      </c>
      <c r="J300" s="86">
        <v>4013.3333333333335</v>
      </c>
      <c r="K300" s="87">
        <v>4080.6666666666665</v>
      </c>
      <c r="L300" s="87">
        <v>3875.6666666666665</v>
      </c>
      <c r="M300" s="87">
        <v>4625.333333333333</v>
      </c>
      <c r="N300" s="90">
        <v>6344.333333333333</v>
      </c>
      <c r="O300" s="90">
        <v>7478.71</v>
      </c>
      <c r="P300" s="86">
        <f t="shared" si="125"/>
        <v>5658.8000000000011</v>
      </c>
      <c r="Q300" s="87">
        <f t="shared" si="126"/>
        <v>5753.7400000000007</v>
      </c>
      <c r="R300" s="87">
        <f t="shared" si="127"/>
        <v>5464.6900000000005</v>
      </c>
      <c r="S300" s="88">
        <f t="shared" si="128"/>
        <v>6521.72</v>
      </c>
      <c r="T300" s="89">
        <f t="shared" si="129"/>
        <v>8945.51</v>
      </c>
      <c r="U300" s="89">
        <f t="shared" si="108"/>
        <v>10544.981100000001</v>
      </c>
      <c r="V300" s="86">
        <v>2750</v>
      </c>
      <c r="W300" s="87">
        <v>4641</v>
      </c>
      <c r="X300" s="87">
        <v>1291</v>
      </c>
      <c r="Y300" s="87">
        <v>5155</v>
      </c>
      <c r="Z300" s="90">
        <v>5495</v>
      </c>
      <c r="AA300" s="90">
        <v>8397</v>
      </c>
      <c r="AB300" s="91">
        <f t="shared" si="109"/>
        <v>1.311972825464677E-2</v>
      </c>
      <c r="AC300" s="91">
        <f t="shared" si="110"/>
        <v>2.2141330483569331E-2</v>
      </c>
      <c r="AD300" s="91">
        <f t="shared" si="111"/>
        <v>6.1591160642723557E-3</v>
      </c>
      <c r="AE300" s="91">
        <f t="shared" si="112"/>
        <v>2.459352696461967E-2</v>
      </c>
      <c r="AF300" s="91">
        <f t="shared" si="113"/>
        <v>2.6215602457921452E-2</v>
      </c>
      <c r="AG300" s="91">
        <f t="shared" si="114"/>
        <v>4.006049387427961E-2</v>
      </c>
      <c r="AH300" s="92">
        <v>3480.599999999994</v>
      </c>
      <c r="AI300" s="93">
        <v>5808.4399999999914</v>
      </c>
      <c r="AJ300" s="93">
        <v>5808.4399999999923</v>
      </c>
      <c r="AK300" s="93">
        <v>1638.4299999999992</v>
      </c>
      <c r="AL300" s="94">
        <v>5451.2399999999197</v>
      </c>
      <c r="AM300" s="94">
        <v>9219.9499999998607</v>
      </c>
      <c r="AN300" s="94" t="s">
        <v>780</v>
      </c>
      <c r="AO300" s="111">
        <v>112817.81999999999</v>
      </c>
      <c r="AP300" s="112">
        <v>112263.81000000001</v>
      </c>
      <c r="AQ300" s="112">
        <v>105847.21000000002</v>
      </c>
      <c r="AR300" s="112">
        <v>126420.86000000002</v>
      </c>
      <c r="AS300" s="113">
        <v>174699.27000000002</v>
      </c>
      <c r="AT300" s="113">
        <v>214286.15</v>
      </c>
      <c r="AU300" s="111">
        <v>0</v>
      </c>
      <c r="AV300" s="112">
        <v>0</v>
      </c>
      <c r="AW300" s="112">
        <v>0</v>
      </c>
      <c r="AX300" s="112">
        <v>0</v>
      </c>
      <c r="AY300" s="113">
        <v>0</v>
      </c>
      <c r="AZ300" s="113">
        <v>0</v>
      </c>
    </row>
    <row r="301" spans="1:52" x14ac:dyDescent="0.25">
      <c r="A301" s="101" t="s">
        <v>981</v>
      </c>
      <c r="B301" s="102" t="s">
        <v>525</v>
      </c>
      <c r="C301" s="102"/>
      <c r="D301" s="102" t="s">
        <v>1048</v>
      </c>
      <c r="E301" s="103">
        <v>1.4100000000000001</v>
      </c>
      <c r="F301" s="104">
        <v>1000</v>
      </c>
      <c r="G301" s="105">
        <f t="shared" si="106"/>
        <v>500</v>
      </c>
      <c r="H301" s="105">
        <v>1921</v>
      </c>
      <c r="I301" s="106">
        <f t="shared" si="107"/>
        <v>0.26028110359187923</v>
      </c>
      <c r="J301" s="86">
        <v>1376</v>
      </c>
      <c r="K301" s="87">
        <v>155</v>
      </c>
      <c r="L301" s="87">
        <v>845</v>
      </c>
      <c r="M301" s="87">
        <v>1724</v>
      </c>
      <c r="N301" s="90">
        <v>2919</v>
      </c>
      <c r="O301" s="90">
        <v>1243</v>
      </c>
      <c r="P301" s="86">
        <f t="shared" si="125"/>
        <v>1940.1600000000003</v>
      </c>
      <c r="Q301" s="87">
        <f t="shared" si="126"/>
        <v>218.55</v>
      </c>
      <c r="R301" s="87">
        <f t="shared" si="127"/>
        <v>1191.45</v>
      </c>
      <c r="S301" s="88">
        <f t="shared" si="128"/>
        <v>2430.84</v>
      </c>
      <c r="T301" s="89">
        <f t="shared" si="129"/>
        <v>4115.79</v>
      </c>
      <c r="U301" s="89">
        <f t="shared" si="108"/>
        <v>1752.63</v>
      </c>
      <c r="V301" s="86">
        <v>2691</v>
      </c>
      <c r="W301" s="87">
        <v>2427</v>
      </c>
      <c r="X301" s="87">
        <v>2186</v>
      </c>
      <c r="Y301" s="87">
        <v>1736</v>
      </c>
      <c r="Z301" s="90">
        <v>853</v>
      </c>
      <c r="AA301" s="90">
        <v>982</v>
      </c>
      <c r="AB301" s="91">
        <f t="shared" si="109"/>
        <v>1.400832899531494</v>
      </c>
      <c r="AC301" s="91">
        <f t="shared" si="110"/>
        <v>1.2634044768349817</v>
      </c>
      <c r="AD301" s="91">
        <f t="shared" si="111"/>
        <v>1.1379489849036959</v>
      </c>
      <c r="AE301" s="91">
        <f t="shared" si="112"/>
        <v>0.90369599167100467</v>
      </c>
      <c r="AF301" s="91">
        <f t="shared" si="113"/>
        <v>0.44403956272774597</v>
      </c>
      <c r="AG301" s="91">
        <f t="shared" si="114"/>
        <v>0.51119208745445077</v>
      </c>
      <c r="AH301" s="92">
        <v>9266.7900000000009</v>
      </c>
      <c r="AI301" s="93">
        <v>7569.1199999999808</v>
      </c>
      <c r="AJ301" s="93">
        <v>7569.1199999999808</v>
      </c>
      <c r="AK301" s="93">
        <v>6875.9299999999967</v>
      </c>
      <c r="AL301" s="94">
        <v>4950.5999999999904</v>
      </c>
      <c r="AM301" s="94">
        <v>1173.0699999999899</v>
      </c>
      <c r="AN301" s="94" t="s">
        <v>780</v>
      </c>
      <c r="AO301" s="111">
        <v>26306.079999999998</v>
      </c>
      <c r="AP301" s="112">
        <v>2743.5</v>
      </c>
      <c r="AQ301" s="112">
        <v>15693.28</v>
      </c>
      <c r="AR301" s="112">
        <v>31900.559999999998</v>
      </c>
      <c r="AS301" s="113">
        <v>25403.920000000002</v>
      </c>
      <c r="AT301" s="113">
        <v>22736.620000000003</v>
      </c>
      <c r="AU301" s="111">
        <v>0</v>
      </c>
      <c r="AV301" s="112">
        <v>0</v>
      </c>
      <c r="AW301" s="112">
        <v>0</v>
      </c>
      <c r="AX301" s="112">
        <v>0</v>
      </c>
      <c r="AY301" s="113">
        <v>0</v>
      </c>
      <c r="AZ301" s="113">
        <v>0</v>
      </c>
    </row>
    <row r="302" spans="1:52" x14ac:dyDescent="0.25">
      <c r="A302" s="101" t="s">
        <v>360</v>
      </c>
      <c r="B302" s="102" t="s">
        <v>361</v>
      </c>
      <c r="C302" s="102"/>
      <c r="D302" s="102" t="s">
        <v>1048</v>
      </c>
      <c r="E302" s="103">
        <v>1.4099999999999993</v>
      </c>
      <c r="F302" s="104">
        <v>2000</v>
      </c>
      <c r="G302" s="105">
        <f t="shared" si="106"/>
        <v>1000</v>
      </c>
      <c r="H302" s="105">
        <v>546</v>
      </c>
      <c r="I302" s="106">
        <f t="shared" si="107"/>
        <v>1.8315018315018314</v>
      </c>
      <c r="J302" s="86">
        <v>1069</v>
      </c>
      <c r="K302" s="87">
        <v>373</v>
      </c>
      <c r="L302" s="87">
        <v>497</v>
      </c>
      <c r="M302" s="87">
        <v>621</v>
      </c>
      <c r="N302" s="90">
        <v>555</v>
      </c>
      <c r="O302" s="90">
        <v>148</v>
      </c>
      <c r="P302" s="86">
        <f t="shared" si="125"/>
        <v>1507.2899999999993</v>
      </c>
      <c r="Q302" s="87">
        <f t="shared" si="126"/>
        <v>525.92999999999972</v>
      </c>
      <c r="R302" s="87">
        <f t="shared" si="127"/>
        <v>700.76999999999964</v>
      </c>
      <c r="S302" s="88">
        <f t="shared" si="128"/>
        <v>875.60999999999956</v>
      </c>
      <c r="T302" s="89">
        <f t="shared" si="129"/>
        <v>782.54999999999961</v>
      </c>
      <c r="U302" s="89">
        <f t="shared" si="108"/>
        <v>208.67999999999989</v>
      </c>
      <c r="V302" s="86">
        <v>458</v>
      </c>
      <c r="W302" s="87">
        <v>996</v>
      </c>
      <c r="X302" s="87">
        <v>712</v>
      </c>
      <c r="Y302" s="87">
        <v>298</v>
      </c>
      <c r="Z302" s="90">
        <v>0</v>
      </c>
      <c r="AA302" s="90">
        <v>0</v>
      </c>
      <c r="AB302" s="91">
        <f t="shared" si="109"/>
        <v>0.83882783882783885</v>
      </c>
      <c r="AC302" s="91">
        <f t="shared" si="110"/>
        <v>1.8241758241758241</v>
      </c>
      <c r="AD302" s="91">
        <f t="shared" si="111"/>
        <v>1.3040293040293041</v>
      </c>
      <c r="AE302" s="91">
        <f t="shared" si="112"/>
        <v>0.54578754578754574</v>
      </c>
      <c r="AF302" s="91">
        <f t="shared" si="113"/>
        <v>0</v>
      </c>
      <c r="AG302" s="91">
        <f t="shared" si="114"/>
        <v>0</v>
      </c>
      <c r="AH302" s="92">
        <v>384.92</v>
      </c>
      <c r="AI302" s="93">
        <v>597.32999999999959</v>
      </c>
      <c r="AJ302" s="93">
        <v>597.32999999999947</v>
      </c>
      <c r="AK302" s="93">
        <v>669.39999999999873</v>
      </c>
      <c r="AL302" s="94">
        <v>392.61999999999898</v>
      </c>
      <c r="AM302" s="94">
        <v>0</v>
      </c>
      <c r="AN302" s="94" t="s">
        <v>779</v>
      </c>
      <c r="AO302" s="111">
        <v>8689.64</v>
      </c>
      <c r="AP302" s="112">
        <v>2954.62</v>
      </c>
      <c r="AQ302" s="112">
        <v>3884.99</v>
      </c>
      <c r="AR302" s="112">
        <v>4943.16</v>
      </c>
      <c r="AS302" s="113">
        <v>4446.45</v>
      </c>
      <c r="AT302" s="113">
        <v>1218.04</v>
      </c>
      <c r="AU302" s="111">
        <v>4092.2099999999991</v>
      </c>
      <c r="AV302" s="112">
        <v>8646.2199999999975</v>
      </c>
      <c r="AW302" s="112">
        <v>6372.7899999999872</v>
      </c>
      <c r="AX302" s="112">
        <v>2727.23</v>
      </c>
      <c r="AY302" s="113">
        <v>0</v>
      </c>
      <c r="AZ302" s="113">
        <v>0</v>
      </c>
    </row>
    <row r="303" spans="1:52" x14ac:dyDescent="0.25">
      <c r="A303" s="101" t="s">
        <v>800</v>
      </c>
      <c r="B303" s="102" t="s">
        <v>843</v>
      </c>
      <c r="C303" s="102"/>
      <c r="D303" s="102" t="s">
        <v>1048</v>
      </c>
      <c r="E303" s="103">
        <v>1.4058073755818112</v>
      </c>
      <c r="F303" s="104">
        <v>50</v>
      </c>
      <c r="G303" s="105">
        <f t="shared" si="106"/>
        <v>25</v>
      </c>
      <c r="H303" s="105">
        <v>45</v>
      </c>
      <c r="I303" s="106">
        <f t="shared" si="107"/>
        <v>0.55555555555555558</v>
      </c>
      <c r="J303" s="86">
        <v>0</v>
      </c>
      <c r="K303" s="86">
        <v>0</v>
      </c>
      <c r="L303" s="86">
        <v>0</v>
      </c>
      <c r="M303" s="86">
        <v>0</v>
      </c>
      <c r="N303" s="86">
        <v>0</v>
      </c>
      <c r="O303" s="90">
        <v>100</v>
      </c>
      <c r="P303" s="86"/>
      <c r="Q303" s="87"/>
      <c r="R303" s="87"/>
      <c r="S303" s="88"/>
      <c r="T303" s="89"/>
      <c r="U303" s="89">
        <f t="shared" si="108"/>
        <v>140.58073755818111</v>
      </c>
      <c r="V303" s="86"/>
      <c r="W303" s="87"/>
      <c r="X303" s="87"/>
      <c r="Y303" s="87"/>
      <c r="Z303" s="90"/>
      <c r="AA303" s="90"/>
      <c r="AB303" s="91">
        <f t="shared" si="109"/>
        <v>0</v>
      </c>
      <c r="AC303" s="91">
        <f t="shared" si="110"/>
        <v>0</v>
      </c>
      <c r="AD303" s="91">
        <f t="shared" si="111"/>
        <v>0</v>
      </c>
      <c r="AE303" s="91">
        <f t="shared" si="112"/>
        <v>0</v>
      </c>
      <c r="AF303" s="91">
        <f t="shared" si="113"/>
        <v>0</v>
      </c>
      <c r="AG303" s="91">
        <f t="shared" si="114"/>
        <v>0</v>
      </c>
      <c r="AH303" s="92"/>
      <c r="AI303" s="93"/>
      <c r="AJ303" s="93"/>
      <c r="AK303" s="93"/>
      <c r="AL303" s="94"/>
      <c r="AM303" s="94"/>
      <c r="AN303" s="94" t="s">
        <v>780</v>
      </c>
      <c r="AO303" s="111">
        <v>0</v>
      </c>
      <c r="AP303" s="112">
        <v>0</v>
      </c>
      <c r="AQ303" s="112">
        <v>0</v>
      </c>
      <c r="AR303" s="112">
        <v>0</v>
      </c>
      <c r="AS303" s="113">
        <v>0</v>
      </c>
      <c r="AT303" s="113">
        <v>636.5</v>
      </c>
      <c r="AU303" s="111">
        <v>119.94</v>
      </c>
      <c r="AV303" s="112">
        <v>230.57000000000002</v>
      </c>
      <c r="AW303" s="112">
        <v>6.2599999999999962</v>
      </c>
      <c r="AX303" s="112">
        <v>45.149999999999899</v>
      </c>
      <c r="AY303" s="113">
        <v>12.64</v>
      </c>
      <c r="AZ303" s="113">
        <v>0</v>
      </c>
    </row>
    <row r="304" spans="1:52" x14ac:dyDescent="0.25">
      <c r="A304" s="101" t="s">
        <v>982</v>
      </c>
      <c r="B304" s="102" t="s">
        <v>476</v>
      </c>
      <c r="C304" s="102"/>
      <c r="D304" s="102" t="s">
        <v>1048</v>
      </c>
      <c r="E304" s="103">
        <v>1.4000000000000021</v>
      </c>
      <c r="F304" s="104">
        <v>500</v>
      </c>
      <c r="G304" s="105">
        <f t="shared" si="106"/>
        <v>250</v>
      </c>
      <c r="H304" s="105">
        <v>1361</v>
      </c>
      <c r="I304" s="106">
        <f t="shared" si="107"/>
        <v>0.18368846436443792</v>
      </c>
      <c r="J304" s="86">
        <v>0</v>
      </c>
      <c r="K304" s="87">
        <v>100</v>
      </c>
      <c r="L304" s="87">
        <v>350</v>
      </c>
      <c r="M304" s="87">
        <v>827</v>
      </c>
      <c r="N304" s="90">
        <v>450</v>
      </c>
      <c r="O304" s="90">
        <v>0</v>
      </c>
      <c r="P304" s="86">
        <f t="shared" ref="P304:P313" si="130">+J304*E304</f>
        <v>0</v>
      </c>
      <c r="Q304" s="87">
        <f t="shared" ref="Q304:Q313" si="131">+K304*E304</f>
        <v>140.00000000000023</v>
      </c>
      <c r="R304" s="87">
        <f t="shared" ref="R304:R313" si="132">+L304*E304</f>
        <v>490.00000000000074</v>
      </c>
      <c r="S304" s="88">
        <f t="shared" ref="S304:S313" si="133">+M304*E304</f>
        <v>1157.8000000000018</v>
      </c>
      <c r="T304" s="89">
        <f t="shared" ref="T304:T313" si="134">+N304*E304</f>
        <v>630.00000000000091</v>
      </c>
      <c r="U304" s="89">
        <f t="shared" si="108"/>
        <v>0</v>
      </c>
      <c r="V304" s="86">
        <v>332</v>
      </c>
      <c r="W304" s="87">
        <v>469</v>
      </c>
      <c r="X304" s="87">
        <v>236</v>
      </c>
      <c r="Y304" s="87">
        <v>230</v>
      </c>
      <c r="Z304" s="90">
        <v>539</v>
      </c>
      <c r="AA304" s="90">
        <v>517</v>
      </c>
      <c r="AB304" s="91">
        <f t="shared" si="109"/>
        <v>0.24393828067597356</v>
      </c>
      <c r="AC304" s="91">
        <f t="shared" si="110"/>
        <v>0.34459955914768553</v>
      </c>
      <c r="AD304" s="91">
        <f t="shared" si="111"/>
        <v>0.17340191036002939</v>
      </c>
      <c r="AE304" s="91">
        <f t="shared" si="112"/>
        <v>0.16899338721528287</v>
      </c>
      <c r="AF304" s="91">
        <f t="shared" si="113"/>
        <v>0.39603232916972814</v>
      </c>
      <c r="AG304" s="91">
        <f t="shared" si="114"/>
        <v>0.37986774430565762</v>
      </c>
      <c r="AH304" s="92">
        <v>1077.08</v>
      </c>
      <c r="AI304" s="93">
        <v>1145.27</v>
      </c>
      <c r="AJ304" s="93">
        <v>1145.27</v>
      </c>
      <c r="AK304" s="93">
        <v>820.49999999999977</v>
      </c>
      <c r="AL304" s="94">
        <v>493.16999999999899</v>
      </c>
      <c r="AM304" s="94">
        <v>476.62999999999897</v>
      </c>
      <c r="AN304" s="94" t="s">
        <v>780</v>
      </c>
      <c r="AO304" s="111">
        <v>0</v>
      </c>
      <c r="AP304" s="112">
        <v>1542</v>
      </c>
      <c r="AQ304" s="112">
        <v>5195</v>
      </c>
      <c r="AR304" s="112">
        <v>12351.83</v>
      </c>
      <c r="AS304" s="113">
        <v>6570</v>
      </c>
      <c r="AT304" s="113">
        <v>0</v>
      </c>
      <c r="AU304" s="111">
        <v>0</v>
      </c>
      <c r="AV304" s="112">
        <v>0</v>
      </c>
      <c r="AW304" s="112">
        <v>0</v>
      </c>
      <c r="AX304" s="112">
        <v>0</v>
      </c>
      <c r="AY304" s="113">
        <v>0</v>
      </c>
      <c r="AZ304" s="113">
        <v>0</v>
      </c>
    </row>
    <row r="305" spans="1:52" x14ac:dyDescent="0.25">
      <c r="A305" s="101" t="s">
        <v>727</v>
      </c>
      <c r="B305" s="102" t="s">
        <v>728</v>
      </c>
      <c r="C305" s="102"/>
      <c r="D305" s="102" t="s">
        <v>1048</v>
      </c>
      <c r="E305" s="103">
        <v>1.4</v>
      </c>
      <c r="F305" s="104">
        <v>160</v>
      </c>
      <c r="G305" s="105">
        <f t="shared" si="106"/>
        <v>80</v>
      </c>
      <c r="H305" s="105">
        <v>80</v>
      </c>
      <c r="I305" s="106">
        <f t="shared" si="107"/>
        <v>1</v>
      </c>
      <c r="J305" s="86">
        <v>1030</v>
      </c>
      <c r="K305" s="87">
        <v>598</v>
      </c>
      <c r="L305" s="87">
        <v>0</v>
      </c>
      <c r="M305" s="87">
        <v>0</v>
      </c>
      <c r="N305" s="90"/>
      <c r="O305" s="90">
        <v>0</v>
      </c>
      <c r="P305" s="86">
        <f t="shared" si="130"/>
        <v>1442</v>
      </c>
      <c r="Q305" s="87">
        <f t="shared" si="131"/>
        <v>837.19999999999993</v>
      </c>
      <c r="R305" s="87">
        <f t="shared" si="132"/>
        <v>0</v>
      </c>
      <c r="S305" s="88">
        <f t="shared" si="133"/>
        <v>0</v>
      </c>
      <c r="T305" s="89">
        <f t="shared" si="134"/>
        <v>0</v>
      </c>
      <c r="U305" s="89">
        <f t="shared" si="108"/>
        <v>0</v>
      </c>
      <c r="V305" s="86">
        <v>23</v>
      </c>
      <c r="W305" s="87">
        <v>146</v>
      </c>
      <c r="X305" s="87">
        <v>99</v>
      </c>
      <c r="Y305" s="87">
        <v>201</v>
      </c>
      <c r="Z305" s="90">
        <v>654</v>
      </c>
      <c r="AA305" s="90">
        <v>136</v>
      </c>
      <c r="AB305" s="91">
        <f t="shared" si="109"/>
        <v>0.28749999999999998</v>
      </c>
      <c r="AC305" s="91">
        <f t="shared" si="110"/>
        <v>1.825</v>
      </c>
      <c r="AD305" s="91">
        <f t="shared" si="111"/>
        <v>1.2375</v>
      </c>
      <c r="AE305" s="91">
        <f t="shared" si="112"/>
        <v>2.5125000000000002</v>
      </c>
      <c r="AF305" s="91">
        <f t="shared" si="113"/>
        <v>8.1750000000000007</v>
      </c>
      <c r="AG305" s="91">
        <f t="shared" si="114"/>
        <v>1.7</v>
      </c>
      <c r="AH305" s="92">
        <v>32.270000000000003</v>
      </c>
      <c r="AI305" s="93">
        <v>195.5</v>
      </c>
      <c r="AJ305" s="93">
        <v>195.5</v>
      </c>
      <c r="AK305" s="93">
        <v>34.399999999999984</v>
      </c>
      <c r="AL305" s="94">
        <v>22.9299999999999</v>
      </c>
      <c r="AM305" s="94">
        <v>7.62</v>
      </c>
      <c r="AN305" s="94" t="s">
        <v>780</v>
      </c>
      <c r="AO305" s="111">
        <v>11430.8</v>
      </c>
      <c r="AP305" s="112">
        <v>6679.380000000001</v>
      </c>
      <c r="AQ305" s="112">
        <v>0</v>
      </c>
      <c r="AR305" s="112">
        <v>0</v>
      </c>
      <c r="AS305" s="113">
        <v>0</v>
      </c>
      <c r="AT305" s="113">
        <v>0</v>
      </c>
      <c r="AU305" s="111">
        <v>293.17</v>
      </c>
      <c r="AV305" s="112">
        <v>1823.3999999999999</v>
      </c>
      <c r="AW305" s="112">
        <v>1138.2499999999989</v>
      </c>
      <c r="AX305" s="112">
        <v>2264.08</v>
      </c>
      <c r="AY305" s="113">
        <v>7367.8299999999899</v>
      </c>
      <c r="AZ305" s="113">
        <v>1524.02</v>
      </c>
    </row>
    <row r="306" spans="1:52" x14ac:dyDescent="0.25">
      <c r="A306" s="101" t="s">
        <v>983</v>
      </c>
      <c r="B306" s="102" t="s">
        <v>637</v>
      </c>
      <c r="C306" s="102"/>
      <c r="D306" s="102" t="s">
        <v>1048</v>
      </c>
      <c r="E306" s="103">
        <v>1.3999999999999986</v>
      </c>
      <c r="F306" s="104">
        <v>800</v>
      </c>
      <c r="G306" s="105">
        <f t="shared" si="106"/>
        <v>400</v>
      </c>
      <c r="H306" s="105">
        <v>478</v>
      </c>
      <c r="I306" s="106">
        <f t="shared" si="107"/>
        <v>0.83682008368200833</v>
      </c>
      <c r="J306" s="86">
        <v>0</v>
      </c>
      <c r="K306" s="87">
        <v>0</v>
      </c>
      <c r="L306" s="87">
        <v>0</v>
      </c>
      <c r="M306" s="87">
        <v>0</v>
      </c>
      <c r="N306" s="90"/>
      <c r="O306" s="90">
        <v>0</v>
      </c>
      <c r="P306" s="86">
        <f t="shared" si="130"/>
        <v>0</v>
      </c>
      <c r="Q306" s="87">
        <f t="shared" si="131"/>
        <v>0</v>
      </c>
      <c r="R306" s="87">
        <f t="shared" si="132"/>
        <v>0</v>
      </c>
      <c r="S306" s="88">
        <f t="shared" si="133"/>
        <v>0</v>
      </c>
      <c r="T306" s="89">
        <f t="shared" si="134"/>
        <v>0</v>
      </c>
      <c r="U306" s="89">
        <f t="shared" si="108"/>
        <v>0</v>
      </c>
      <c r="V306" s="86">
        <v>0</v>
      </c>
      <c r="W306" s="87">
        <v>0</v>
      </c>
      <c r="X306" s="87">
        <v>57</v>
      </c>
      <c r="Y306" s="87">
        <v>0</v>
      </c>
      <c r="Z306" s="90">
        <v>0</v>
      </c>
      <c r="AA306" s="90">
        <v>0</v>
      </c>
      <c r="AB306" s="91">
        <f t="shared" si="109"/>
        <v>0</v>
      </c>
      <c r="AC306" s="91">
        <f t="shared" si="110"/>
        <v>0</v>
      </c>
      <c r="AD306" s="91">
        <f t="shared" si="111"/>
        <v>0.1192468619246862</v>
      </c>
      <c r="AE306" s="91">
        <f t="shared" si="112"/>
        <v>0</v>
      </c>
      <c r="AF306" s="91">
        <f t="shared" si="113"/>
        <v>0</v>
      </c>
      <c r="AG306" s="91">
        <f t="shared" si="114"/>
        <v>0</v>
      </c>
      <c r="AH306" s="92">
        <v>0</v>
      </c>
      <c r="AI306" s="93">
        <v>0</v>
      </c>
      <c r="AJ306" s="93">
        <v>79.799999999999926</v>
      </c>
      <c r="AK306" s="93">
        <v>79.819999999999808</v>
      </c>
      <c r="AL306" s="94">
        <v>0</v>
      </c>
      <c r="AM306" s="94">
        <v>0</v>
      </c>
      <c r="AN306" s="94" t="s">
        <v>780</v>
      </c>
      <c r="AO306" s="111">
        <v>0</v>
      </c>
      <c r="AP306" s="112">
        <v>0</v>
      </c>
      <c r="AQ306" s="112">
        <v>0</v>
      </c>
      <c r="AR306" s="112">
        <v>0</v>
      </c>
      <c r="AS306" s="113">
        <v>0</v>
      </c>
      <c r="AT306" s="113">
        <v>0</v>
      </c>
      <c r="AU306" s="111">
        <v>0</v>
      </c>
      <c r="AV306" s="112">
        <v>0</v>
      </c>
      <c r="AW306" s="112">
        <v>0</v>
      </c>
      <c r="AX306" s="112">
        <v>0</v>
      </c>
      <c r="AY306" s="113">
        <v>0</v>
      </c>
      <c r="AZ306" s="113">
        <v>0</v>
      </c>
    </row>
    <row r="307" spans="1:52" x14ac:dyDescent="0.25">
      <c r="A307" s="101" t="s">
        <v>522</v>
      </c>
      <c r="B307" s="102" t="s">
        <v>523</v>
      </c>
      <c r="C307" s="102"/>
      <c r="D307" s="102" t="s">
        <v>1048</v>
      </c>
      <c r="E307" s="103">
        <v>1.3900000000000006</v>
      </c>
      <c r="F307" s="104">
        <v>1000</v>
      </c>
      <c r="G307" s="105">
        <f t="shared" si="106"/>
        <v>500</v>
      </c>
      <c r="H307" s="105">
        <v>1290</v>
      </c>
      <c r="I307" s="106">
        <f t="shared" si="107"/>
        <v>0.38759689922480622</v>
      </c>
      <c r="J307" s="86">
        <v>0</v>
      </c>
      <c r="K307" s="87">
        <v>0</v>
      </c>
      <c r="L307" s="87">
        <v>200</v>
      </c>
      <c r="M307" s="87">
        <v>300</v>
      </c>
      <c r="N307" s="90">
        <v>100</v>
      </c>
      <c r="O307" s="90">
        <v>0</v>
      </c>
      <c r="P307" s="86">
        <f t="shared" si="130"/>
        <v>0</v>
      </c>
      <c r="Q307" s="87">
        <f t="shared" si="131"/>
        <v>0</v>
      </c>
      <c r="R307" s="87">
        <f t="shared" si="132"/>
        <v>278.00000000000011</v>
      </c>
      <c r="S307" s="88">
        <f t="shared" si="133"/>
        <v>417.00000000000017</v>
      </c>
      <c r="T307" s="89">
        <f t="shared" si="134"/>
        <v>139.00000000000006</v>
      </c>
      <c r="U307" s="89">
        <f t="shared" si="108"/>
        <v>0</v>
      </c>
      <c r="V307" s="86">
        <v>444</v>
      </c>
      <c r="W307" s="87">
        <v>524</v>
      </c>
      <c r="X307" s="87">
        <v>397</v>
      </c>
      <c r="Y307" s="87">
        <v>298</v>
      </c>
      <c r="Z307" s="90">
        <v>437</v>
      </c>
      <c r="AA307" s="90">
        <v>363</v>
      </c>
      <c r="AB307" s="91">
        <f t="shared" si="109"/>
        <v>0.34418604651162793</v>
      </c>
      <c r="AC307" s="91">
        <f t="shared" si="110"/>
        <v>0.40620155038759692</v>
      </c>
      <c r="AD307" s="91">
        <f t="shared" si="111"/>
        <v>0.30775193798449613</v>
      </c>
      <c r="AE307" s="91">
        <f t="shared" si="112"/>
        <v>0.23100775193798451</v>
      </c>
      <c r="AF307" s="91">
        <f t="shared" si="113"/>
        <v>0.33875968992248062</v>
      </c>
      <c r="AG307" s="91">
        <f t="shared" si="114"/>
        <v>0.28139534883720929</v>
      </c>
      <c r="AH307" s="92">
        <v>937.03000000000065</v>
      </c>
      <c r="AI307" s="93">
        <v>1071.5499999999981</v>
      </c>
      <c r="AJ307" s="93">
        <v>1071.5499999999981</v>
      </c>
      <c r="AK307" s="93">
        <v>1326.8199999999979</v>
      </c>
      <c r="AL307" s="94">
        <v>1061.53999999999</v>
      </c>
      <c r="AM307" s="94">
        <v>770.74999999999795</v>
      </c>
      <c r="AN307" s="94" t="s">
        <v>780</v>
      </c>
      <c r="AO307" s="111">
        <v>0</v>
      </c>
      <c r="AP307" s="112">
        <v>0</v>
      </c>
      <c r="AQ307" s="112">
        <v>3746</v>
      </c>
      <c r="AR307" s="112">
        <v>5407</v>
      </c>
      <c r="AS307" s="113">
        <v>1770</v>
      </c>
      <c r="AT307" s="113">
        <v>0</v>
      </c>
      <c r="AU307" s="111">
        <v>9315.3199999999961</v>
      </c>
      <c r="AV307" s="112">
        <v>10660.679999999984</v>
      </c>
      <c r="AW307" s="112">
        <v>8345.309999999994</v>
      </c>
      <c r="AX307" s="112">
        <v>6289.8599999999897</v>
      </c>
      <c r="AY307" s="113">
        <v>8377.0499999999902</v>
      </c>
      <c r="AZ307" s="113">
        <v>7286.6300000000101</v>
      </c>
    </row>
    <row r="308" spans="1:52" x14ac:dyDescent="0.25">
      <c r="A308" s="101" t="s">
        <v>984</v>
      </c>
      <c r="B308" s="102" t="s">
        <v>320</v>
      </c>
      <c r="C308" s="102"/>
      <c r="D308" s="102" t="s">
        <v>1049</v>
      </c>
      <c r="E308" s="103">
        <v>1.3899999999999997</v>
      </c>
      <c r="F308" s="104">
        <v>2000</v>
      </c>
      <c r="G308" s="105">
        <f t="shared" si="106"/>
        <v>1000</v>
      </c>
      <c r="H308" s="105">
        <v>5925</v>
      </c>
      <c r="I308" s="106">
        <f t="shared" si="107"/>
        <v>0.16877637130801687</v>
      </c>
      <c r="J308" s="86">
        <v>1950</v>
      </c>
      <c r="K308" s="87">
        <v>2945</v>
      </c>
      <c r="L308" s="87">
        <v>3256</v>
      </c>
      <c r="M308" s="87">
        <v>290</v>
      </c>
      <c r="N308" s="90"/>
      <c r="O308" s="90">
        <v>2136</v>
      </c>
      <c r="P308" s="86">
        <f t="shared" si="130"/>
        <v>2710.4999999999995</v>
      </c>
      <c r="Q308" s="87">
        <f t="shared" si="131"/>
        <v>4093.5499999999993</v>
      </c>
      <c r="R308" s="87">
        <f t="shared" si="132"/>
        <v>4525.8399999999992</v>
      </c>
      <c r="S308" s="88">
        <f t="shared" si="133"/>
        <v>403.09999999999991</v>
      </c>
      <c r="T308" s="89">
        <f t="shared" si="134"/>
        <v>0</v>
      </c>
      <c r="U308" s="89">
        <f t="shared" si="108"/>
        <v>2969.0399999999995</v>
      </c>
      <c r="V308" s="86">
        <v>731</v>
      </c>
      <c r="W308" s="87">
        <v>545</v>
      </c>
      <c r="X308" s="87">
        <v>1365</v>
      </c>
      <c r="Y308" s="87">
        <v>2031</v>
      </c>
      <c r="Z308" s="90">
        <v>1381</v>
      </c>
      <c r="AA308" s="90">
        <v>1920</v>
      </c>
      <c r="AB308" s="91">
        <f t="shared" si="109"/>
        <v>0.12337552742616034</v>
      </c>
      <c r="AC308" s="91">
        <f t="shared" si="110"/>
        <v>9.1983122362869194E-2</v>
      </c>
      <c r="AD308" s="91">
        <f t="shared" si="111"/>
        <v>0.23037974683544304</v>
      </c>
      <c r="AE308" s="91">
        <f t="shared" si="112"/>
        <v>0.3427848101265823</v>
      </c>
      <c r="AF308" s="91">
        <f t="shared" si="113"/>
        <v>0.2330801687763713</v>
      </c>
      <c r="AG308" s="91">
        <f t="shared" si="114"/>
        <v>0.32405063291139241</v>
      </c>
      <c r="AH308" s="92">
        <v>2161.9200000000042</v>
      </c>
      <c r="AI308" s="93">
        <v>1168.6699999999976</v>
      </c>
      <c r="AJ308" s="93">
        <v>1168.6699999999976</v>
      </c>
      <c r="AK308" s="93">
        <v>2013.2799999999952</v>
      </c>
      <c r="AL308" s="94">
        <v>2776.0899999999901</v>
      </c>
      <c r="AM308" s="94">
        <v>2270.1100000000201</v>
      </c>
      <c r="AN308" s="94" t="s">
        <v>779</v>
      </c>
      <c r="AO308" s="111">
        <v>12209</v>
      </c>
      <c r="AP308" s="112">
        <v>18201.79</v>
      </c>
      <c r="AQ308" s="112">
        <v>20284.86</v>
      </c>
      <c r="AR308" s="112">
        <v>1780.6</v>
      </c>
      <c r="AS308" s="113">
        <v>0</v>
      </c>
      <c r="AT308" s="113">
        <v>13391.939999999999</v>
      </c>
      <c r="AU308" s="111">
        <v>0</v>
      </c>
      <c r="AV308" s="112">
        <v>0</v>
      </c>
      <c r="AW308" s="112">
        <v>0</v>
      </c>
      <c r="AX308" s="112">
        <v>0</v>
      </c>
      <c r="AY308" s="113">
        <v>0</v>
      </c>
      <c r="AZ308" s="113">
        <v>0</v>
      </c>
    </row>
    <row r="309" spans="1:52" x14ac:dyDescent="0.25">
      <c r="A309" s="101" t="s">
        <v>985</v>
      </c>
      <c r="B309" s="102" t="s">
        <v>308</v>
      </c>
      <c r="C309" s="102"/>
      <c r="D309" s="102" t="s">
        <v>1048</v>
      </c>
      <c r="E309" s="103">
        <v>1.38</v>
      </c>
      <c r="F309" s="104">
        <v>3000</v>
      </c>
      <c r="G309" s="105">
        <f t="shared" si="106"/>
        <v>1500</v>
      </c>
      <c r="H309" s="105">
        <v>2399</v>
      </c>
      <c r="I309" s="106">
        <f t="shared" si="107"/>
        <v>0.62526052521884123</v>
      </c>
      <c r="J309" s="86">
        <v>275</v>
      </c>
      <c r="K309" s="87">
        <v>652</v>
      </c>
      <c r="L309" s="87">
        <v>1223</v>
      </c>
      <c r="M309" s="87">
        <v>1355</v>
      </c>
      <c r="N309" s="90">
        <v>300</v>
      </c>
      <c r="O309" s="90">
        <v>0</v>
      </c>
      <c r="P309" s="86">
        <f t="shared" si="130"/>
        <v>379.49999999999994</v>
      </c>
      <c r="Q309" s="87">
        <f t="shared" si="131"/>
        <v>899.75999999999988</v>
      </c>
      <c r="R309" s="87">
        <f t="shared" si="132"/>
        <v>1687.7399999999998</v>
      </c>
      <c r="S309" s="88">
        <f t="shared" si="133"/>
        <v>1869.8999999999999</v>
      </c>
      <c r="T309" s="89">
        <f t="shared" si="134"/>
        <v>413.99999999999994</v>
      </c>
      <c r="U309" s="89">
        <f t="shared" si="108"/>
        <v>0</v>
      </c>
      <c r="V309" s="86">
        <v>900</v>
      </c>
      <c r="W309" s="87">
        <v>1464</v>
      </c>
      <c r="X309" s="87">
        <v>469</v>
      </c>
      <c r="Y309" s="87">
        <v>887</v>
      </c>
      <c r="Z309" s="90">
        <v>1192</v>
      </c>
      <c r="AA309" s="90">
        <v>967</v>
      </c>
      <c r="AB309" s="91">
        <f t="shared" si="109"/>
        <v>0.37515631513130471</v>
      </c>
      <c r="AC309" s="91">
        <f t="shared" si="110"/>
        <v>0.610254272613589</v>
      </c>
      <c r="AD309" s="91">
        <f t="shared" si="111"/>
        <v>0.19549812421842436</v>
      </c>
      <c r="AE309" s="91">
        <f t="shared" si="112"/>
        <v>0.36973739057940808</v>
      </c>
      <c r="AF309" s="91">
        <f t="shared" si="113"/>
        <v>0.4968736973739058</v>
      </c>
      <c r="AG309" s="91">
        <f t="shared" si="114"/>
        <v>0.40308461859107964</v>
      </c>
      <c r="AH309" s="92">
        <v>669.72999999999956</v>
      </c>
      <c r="AI309" s="93">
        <v>968.86999999999773</v>
      </c>
      <c r="AJ309" s="93">
        <v>968.86999999999773</v>
      </c>
      <c r="AK309" s="93">
        <v>428.60999999999973</v>
      </c>
      <c r="AL309" s="94">
        <v>943.53999999999701</v>
      </c>
      <c r="AM309" s="94">
        <v>835.31999999999903</v>
      </c>
      <c r="AN309" s="94" t="s">
        <v>779</v>
      </c>
      <c r="AO309" s="111">
        <v>1655.5</v>
      </c>
      <c r="AP309" s="112">
        <v>3840.76</v>
      </c>
      <c r="AQ309" s="112">
        <v>7116.4699999999993</v>
      </c>
      <c r="AR309" s="112">
        <v>8008.41</v>
      </c>
      <c r="AS309" s="113">
        <v>1755</v>
      </c>
      <c r="AT309" s="113">
        <v>0</v>
      </c>
      <c r="AU309" s="111">
        <v>0</v>
      </c>
      <c r="AV309" s="112">
        <v>0</v>
      </c>
      <c r="AW309" s="112">
        <v>0</v>
      </c>
      <c r="AX309" s="112">
        <v>0</v>
      </c>
      <c r="AY309" s="113">
        <v>0</v>
      </c>
      <c r="AZ309" s="113">
        <v>0</v>
      </c>
    </row>
    <row r="310" spans="1:52" x14ac:dyDescent="0.25">
      <c r="A310" s="101" t="s">
        <v>986</v>
      </c>
      <c r="B310" s="102" t="s">
        <v>491</v>
      </c>
      <c r="C310" s="102"/>
      <c r="D310" s="102" t="s">
        <v>1048</v>
      </c>
      <c r="E310" s="103">
        <v>1.3600000000000012</v>
      </c>
      <c r="F310" s="104">
        <v>4000</v>
      </c>
      <c r="G310" s="105">
        <f t="shared" si="106"/>
        <v>2000</v>
      </c>
      <c r="H310" s="105">
        <v>29001</v>
      </c>
      <c r="I310" s="106">
        <f t="shared" si="107"/>
        <v>6.8963139202096485E-2</v>
      </c>
      <c r="J310" s="86">
        <v>5105</v>
      </c>
      <c r="K310" s="87">
        <v>816</v>
      </c>
      <c r="L310" s="87">
        <v>6349</v>
      </c>
      <c r="M310" s="87">
        <v>6087</v>
      </c>
      <c r="N310" s="90">
        <v>3878</v>
      </c>
      <c r="O310" s="90">
        <v>4231</v>
      </c>
      <c r="P310" s="86">
        <f t="shared" si="130"/>
        <v>6942.8000000000065</v>
      </c>
      <c r="Q310" s="87">
        <f t="shared" si="131"/>
        <v>1109.7600000000009</v>
      </c>
      <c r="R310" s="87">
        <f t="shared" si="132"/>
        <v>8634.6400000000085</v>
      </c>
      <c r="S310" s="88">
        <f t="shared" si="133"/>
        <v>8278.320000000007</v>
      </c>
      <c r="T310" s="89">
        <f t="shared" si="134"/>
        <v>5274.0800000000045</v>
      </c>
      <c r="U310" s="89">
        <f t="shared" si="108"/>
        <v>5754.1600000000053</v>
      </c>
      <c r="V310" s="86">
        <v>3355</v>
      </c>
      <c r="W310" s="87">
        <v>5997</v>
      </c>
      <c r="X310" s="87">
        <v>4226</v>
      </c>
      <c r="Y310" s="87">
        <v>7854</v>
      </c>
      <c r="Z310" s="90">
        <v>5291</v>
      </c>
      <c r="AA310" s="90">
        <v>7424</v>
      </c>
      <c r="AB310" s="91">
        <f t="shared" si="109"/>
        <v>0.11568566601151685</v>
      </c>
      <c r="AC310" s="91">
        <f t="shared" si="110"/>
        <v>0.20678597289748629</v>
      </c>
      <c r="AD310" s="91">
        <f t="shared" si="111"/>
        <v>0.14571911313402985</v>
      </c>
      <c r="AE310" s="91">
        <f t="shared" si="112"/>
        <v>0.27081824764663287</v>
      </c>
      <c r="AF310" s="91">
        <f t="shared" si="113"/>
        <v>0.18244198475914625</v>
      </c>
      <c r="AG310" s="91">
        <f t="shared" si="114"/>
        <v>0.25599117271818211</v>
      </c>
      <c r="AH310" s="92">
        <v>2775.0499999999979</v>
      </c>
      <c r="AI310" s="93">
        <v>8385.9399999999969</v>
      </c>
      <c r="AJ310" s="93">
        <v>8385.9399999999969</v>
      </c>
      <c r="AK310" s="93">
        <v>14081.299999999957</v>
      </c>
      <c r="AL310" s="94">
        <v>15895.290000000199</v>
      </c>
      <c r="AM310" s="94">
        <v>13534.4399999997</v>
      </c>
      <c r="AN310" s="94" t="s">
        <v>780</v>
      </c>
      <c r="AO310" s="111">
        <v>86417.29</v>
      </c>
      <c r="AP310" s="112">
        <v>13692.48</v>
      </c>
      <c r="AQ310" s="112">
        <v>105625.66999999998</v>
      </c>
      <c r="AR310" s="112">
        <v>97285.950000000012</v>
      </c>
      <c r="AS310" s="113">
        <v>61923.76</v>
      </c>
      <c r="AT310" s="113">
        <v>66576.3</v>
      </c>
      <c r="AU310" s="111">
        <v>0</v>
      </c>
      <c r="AV310" s="112">
        <v>0</v>
      </c>
      <c r="AW310" s="112">
        <v>0</v>
      </c>
      <c r="AX310" s="112">
        <v>0</v>
      </c>
      <c r="AY310" s="113">
        <v>0</v>
      </c>
      <c r="AZ310" s="113">
        <v>0</v>
      </c>
    </row>
    <row r="311" spans="1:52" x14ac:dyDescent="0.25">
      <c r="A311" s="101" t="s">
        <v>987</v>
      </c>
      <c r="B311" s="102" t="s">
        <v>309</v>
      </c>
      <c r="C311" s="102"/>
      <c r="D311" s="102" t="s">
        <v>1048</v>
      </c>
      <c r="E311" s="103">
        <v>1.3600000000000003</v>
      </c>
      <c r="F311" s="104">
        <v>9000</v>
      </c>
      <c r="G311" s="105">
        <f t="shared" si="106"/>
        <v>4500</v>
      </c>
      <c r="H311" s="105">
        <v>8376</v>
      </c>
      <c r="I311" s="106">
        <f t="shared" si="107"/>
        <v>0.53724928366762181</v>
      </c>
      <c r="J311" s="86">
        <v>3150</v>
      </c>
      <c r="K311" s="87">
        <v>0</v>
      </c>
      <c r="L311" s="87">
        <v>0</v>
      </c>
      <c r="M311" s="87">
        <v>870</v>
      </c>
      <c r="N311" s="90">
        <v>1764</v>
      </c>
      <c r="O311" s="90">
        <v>3022</v>
      </c>
      <c r="P311" s="86">
        <f t="shared" si="130"/>
        <v>4284.0000000000009</v>
      </c>
      <c r="Q311" s="87">
        <f t="shared" si="131"/>
        <v>0</v>
      </c>
      <c r="R311" s="87">
        <f t="shared" si="132"/>
        <v>0</v>
      </c>
      <c r="S311" s="88">
        <f t="shared" si="133"/>
        <v>1183.2000000000003</v>
      </c>
      <c r="T311" s="89">
        <f t="shared" si="134"/>
        <v>2399.0400000000004</v>
      </c>
      <c r="U311" s="89">
        <f t="shared" si="108"/>
        <v>4109.920000000001</v>
      </c>
      <c r="V311" s="86">
        <v>3419</v>
      </c>
      <c r="W311" s="87">
        <v>2876</v>
      </c>
      <c r="X311" s="87">
        <v>7440</v>
      </c>
      <c r="Y311" s="87">
        <v>3281</v>
      </c>
      <c r="Z311" s="90">
        <v>810</v>
      </c>
      <c r="AA311" s="90">
        <v>1876</v>
      </c>
      <c r="AB311" s="91">
        <f t="shared" si="109"/>
        <v>0.40819006685768866</v>
      </c>
      <c r="AC311" s="91">
        <f t="shared" si="110"/>
        <v>0.34336198662846229</v>
      </c>
      <c r="AD311" s="91">
        <f t="shared" si="111"/>
        <v>0.88825214899713467</v>
      </c>
      <c r="AE311" s="91">
        <f t="shared" si="112"/>
        <v>0.39171442215854824</v>
      </c>
      <c r="AF311" s="91">
        <f t="shared" si="113"/>
        <v>9.6704871060171921E-2</v>
      </c>
      <c r="AG311" s="91">
        <f t="shared" si="114"/>
        <v>0.22397325692454631</v>
      </c>
      <c r="AH311" s="92">
        <v>4313.5499999999975</v>
      </c>
      <c r="AI311" s="93">
        <v>4612.9099999999953</v>
      </c>
      <c r="AJ311" s="93">
        <v>4612.9099999999953</v>
      </c>
      <c r="AK311" s="93">
        <v>6428.2499999999945</v>
      </c>
      <c r="AL311" s="94">
        <v>1588.0599999999799</v>
      </c>
      <c r="AM311" s="94">
        <v>1272.76999999999</v>
      </c>
      <c r="AN311" s="94" t="s">
        <v>779</v>
      </c>
      <c r="AO311" s="111">
        <v>18210</v>
      </c>
      <c r="AP311" s="112">
        <v>0</v>
      </c>
      <c r="AQ311" s="112">
        <v>0</v>
      </c>
      <c r="AR311" s="112">
        <v>5194.2</v>
      </c>
      <c r="AS311" s="113">
        <v>10363.429999999998</v>
      </c>
      <c r="AT311" s="113">
        <v>18078.509999999998</v>
      </c>
      <c r="AU311" s="111">
        <v>0</v>
      </c>
      <c r="AV311" s="112">
        <v>0</v>
      </c>
      <c r="AW311" s="112">
        <v>0</v>
      </c>
      <c r="AX311" s="112">
        <v>0</v>
      </c>
      <c r="AY311" s="113">
        <v>0</v>
      </c>
      <c r="AZ311" s="113">
        <v>0</v>
      </c>
    </row>
    <row r="312" spans="1:52" x14ac:dyDescent="0.25">
      <c r="A312" s="101" t="s">
        <v>218</v>
      </c>
      <c r="B312" s="102" t="s">
        <v>219</v>
      </c>
      <c r="C312" s="102"/>
      <c r="D312" s="102" t="s">
        <v>1048</v>
      </c>
      <c r="E312" s="103">
        <v>1.3599999999999999</v>
      </c>
      <c r="F312" s="104">
        <v>8000</v>
      </c>
      <c r="G312" s="105">
        <f t="shared" si="106"/>
        <v>4000</v>
      </c>
      <c r="H312" s="105">
        <v>5579</v>
      </c>
      <c r="I312" s="106">
        <f t="shared" si="107"/>
        <v>0.71697436816633808</v>
      </c>
      <c r="J312" s="86">
        <v>0</v>
      </c>
      <c r="K312" s="87">
        <v>0</v>
      </c>
      <c r="L312" s="87">
        <v>0</v>
      </c>
      <c r="M312" s="87">
        <v>192</v>
      </c>
      <c r="N312" s="90">
        <v>1500</v>
      </c>
      <c r="O312" s="90">
        <v>0</v>
      </c>
      <c r="P312" s="86">
        <f t="shared" si="130"/>
        <v>0</v>
      </c>
      <c r="Q312" s="87">
        <f t="shared" si="131"/>
        <v>0</v>
      </c>
      <c r="R312" s="87">
        <f t="shared" si="132"/>
        <v>0</v>
      </c>
      <c r="S312" s="88">
        <f t="shared" si="133"/>
        <v>261.12</v>
      </c>
      <c r="T312" s="89">
        <f t="shared" si="134"/>
        <v>2039.9999999999998</v>
      </c>
      <c r="U312" s="89">
        <f t="shared" si="108"/>
        <v>0</v>
      </c>
      <c r="V312" s="86">
        <v>0</v>
      </c>
      <c r="W312" s="87">
        <v>0</v>
      </c>
      <c r="X312" s="87">
        <v>343</v>
      </c>
      <c r="Y312" s="87">
        <v>2802</v>
      </c>
      <c r="Z312" s="90">
        <v>4568</v>
      </c>
      <c r="AA312" s="90">
        <v>3418</v>
      </c>
      <c r="AB312" s="91">
        <f t="shared" si="109"/>
        <v>0</v>
      </c>
      <c r="AC312" s="91">
        <f t="shared" si="110"/>
        <v>0</v>
      </c>
      <c r="AD312" s="91">
        <f t="shared" si="111"/>
        <v>6.148055207026349E-2</v>
      </c>
      <c r="AE312" s="91">
        <f t="shared" si="112"/>
        <v>0.50224054490051984</v>
      </c>
      <c r="AF312" s="91">
        <f t="shared" si="113"/>
        <v>0.81878472844595807</v>
      </c>
      <c r="AG312" s="91">
        <f t="shared" si="114"/>
        <v>0.6126545975981359</v>
      </c>
      <c r="AH312" s="92">
        <v>0</v>
      </c>
      <c r="AI312" s="93">
        <v>0</v>
      </c>
      <c r="AJ312" s="93">
        <v>466.47999999999996</v>
      </c>
      <c r="AK312" s="93">
        <v>616.14999999999793</v>
      </c>
      <c r="AL312" s="94">
        <v>3430.8700000000199</v>
      </c>
      <c r="AM312" s="94">
        <v>3195.4199999999901</v>
      </c>
      <c r="AN312" s="94" t="s">
        <v>779</v>
      </c>
      <c r="AO312" s="111">
        <v>0</v>
      </c>
      <c r="AP312" s="112">
        <v>0</v>
      </c>
      <c r="AQ312" s="112">
        <v>0</v>
      </c>
      <c r="AR312" s="112">
        <v>764.16</v>
      </c>
      <c r="AS312" s="113">
        <v>5490</v>
      </c>
      <c r="AT312" s="113">
        <v>0</v>
      </c>
      <c r="AU312" s="111">
        <v>0</v>
      </c>
      <c r="AV312" s="112">
        <v>0</v>
      </c>
      <c r="AW312" s="112">
        <v>1840.659999999996</v>
      </c>
      <c r="AX312" s="112">
        <v>13434.01</v>
      </c>
      <c r="AY312" s="113">
        <v>21418.5899999998</v>
      </c>
      <c r="AZ312" s="113">
        <v>15500.219999999799</v>
      </c>
    </row>
    <row r="313" spans="1:52" x14ac:dyDescent="0.25">
      <c r="A313" s="101" t="s">
        <v>988</v>
      </c>
      <c r="B313" s="102" t="s">
        <v>101</v>
      </c>
      <c r="C313" s="102"/>
      <c r="D313" s="102" t="s">
        <v>1048</v>
      </c>
      <c r="E313" s="103">
        <v>1.3599999999999999</v>
      </c>
      <c r="F313" s="104">
        <v>170.20000000000002</v>
      </c>
      <c r="G313" s="105">
        <f t="shared" si="106"/>
        <v>85.100000000000009</v>
      </c>
      <c r="H313" s="105">
        <v>851</v>
      </c>
      <c r="I313" s="106">
        <f t="shared" si="107"/>
        <v>0.1</v>
      </c>
      <c r="J313" s="86">
        <v>0</v>
      </c>
      <c r="K313" s="87">
        <v>0</v>
      </c>
      <c r="L313" s="87">
        <v>300</v>
      </c>
      <c r="M313" s="87">
        <v>0</v>
      </c>
      <c r="N313" s="90"/>
      <c r="O313" s="90">
        <v>0</v>
      </c>
      <c r="P313" s="86">
        <f t="shared" si="130"/>
        <v>0</v>
      </c>
      <c r="Q313" s="87">
        <f t="shared" si="131"/>
        <v>0</v>
      </c>
      <c r="R313" s="87">
        <f t="shared" si="132"/>
        <v>407.99999999999994</v>
      </c>
      <c r="S313" s="88">
        <f t="shared" si="133"/>
        <v>0</v>
      </c>
      <c r="T313" s="89">
        <f t="shared" si="134"/>
        <v>0</v>
      </c>
      <c r="U313" s="89">
        <f t="shared" si="108"/>
        <v>0</v>
      </c>
      <c r="V313" s="86">
        <v>0</v>
      </c>
      <c r="W313" s="87">
        <v>0</v>
      </c>
      <c r="X313" s="87">
        <v>0</v>
      </c>
      <c r="Y313" s="87">
        <v>83</v>
      </c>
      <c r="Z313" s="90">
        <v>229</v>
      </c>
      <c r="AA313" s="90">
        <v>258</v>
      </c>
      <c r="AB313" s="91">
        <f t="shared" si="109"/>
        <v>0</v>
      </c>
      <c r="AC313" s="91">
        <f t="shared" si="110"/>
        <v>0</v>
      </c>
      <c r="AD313" s="91">
        <f t="shared" si="111"/>
        <v>0</v>
      </c>
      <c r="AE313" s="91">
        <f t="shared" si="112"/>
        <v>9.7532314923619273E-2</v>
      </c>
      <c r="AF313" s="91">
        <f t="shared" si="113"/>
        <v>0.2690951821386604</v>
      </c>
      <c r="AG313" s="91">
        <f t="shared" si="114"/>
        <v>0.30317273795534666</v>
      </c>
      <c r="AH313" s="92">
        <v>0</v>
      </c>
      <c r="AI313" s="93">
        <v>0</v>
      </c>
      <c r="AJ313" s="93">
        <v>0</v>
      </c>
      <c r="AK313" s="93">
        <v>112.88</v>
      </c>
      <c r="AL313" s="94">
        <v>129.52999999999901</v>
      </c>
      <c r="AM313" s="94">
        <v>312.74000000000098</v>
      </c>
      <c r="AN313" s="94" t="s">
        <v>779</v>
      </c>
      <c r="AO313" s="111">
        <v>0</v>
      </c>
      <c r="AP313" s="112">
        <v>0</v>
      </c>
      <c r="AQ313" s="112">
        <v>534</v>
      </c>
      <c r="AR313" s="112">
        <v>0</v>
      </c>
      <c r="AS313" s="113">
        <v>0</v>
      </c>
      <c r="AT313" s="113">
        <v>0</v>
      </c>
      <c r="AU313" s="111">
        <v>0</v>
      </c>
      <c r="AV313" s="112">
        <v>0</v>
      </c>
      <c r="AW313" s="112">
        <v>0</v>
      </c>
      <c r="AX313" s="112">
        <v>0</v>
      </c>
      <c r="AY313" s="113">
        <v>0</v>
      </c>
      <c r="AZ313" s="113">
        <v>0</v>
      </c>
    </row>
    <row r="314" spans="1:52" x14ac:dyDescent="0.25">
      <c r="A314" s="101" t="s">
        <v>810</v>
      </c>
      <c r="B314" s="102" t="s">
        <v>853</v>
      </c>
      <c r="C314" s="102"/>
      <c r="D314" s="102" t="s">
        <v>1048</v>
      </c>
      <c r="E314" s="103">
        <v>1.3539883733001119</v>
      </c>
      <c r="F314" s="104">
        <v>300</v>
      </c>
      <c r="G314" s="105">
        <f t="shared" si="106"/>
        <v>150</v>
      </c>
      <c r="H314" s="105">
        <v>479</v>
      </c>
      <c r="I314" s="106">
        <f t="shared" si="107"/>
        <v>0.31315240083507306</v>
      </c>
      <c r="J314" s="86">
        <v>0</v>
      </c>
      <c r="K314" s="86">
        <v>0</v>
      </c>
      <c r="L314" s="86">
        <v>0</v>
      </c>
      <c r="M314" s="86">
        <v>0</v>
      </c>
      <c r="N314" s="86">
        <v>0</v>
      </c>
      <c r="O314" s="90">
        <v>170</v>
      </c>
      <c r="P314" s="86"/>
      <c r="Q314" s="87"/>
      <c r="R314" s="87"/>
      <c r="S314" s="88"/>
      <c r="T314" s="89"/>
      <c r="U314" s="89">
        <f t="shared" si="108"/>
        <v>230.17802346101902</v>
      </c>
      <c r="V314" s="86"/>
      <c r="W314" s="87"/>
      <c r="X314" s="87"/>
      <c r="Y314" s="87"/>
      <c r="Z314" s="90"/>
      <c r="AA314" s="90"/>
      <c r="AB314" s="91">
        <f t="shared" si="109"/>
        <v>0</v>
      </c>
      <c r="AC314" s="91">
        <f t="shared" si="110"/>
        <v>0</v>
      </c>
      <c r="AD314" s="91">
        <f t="shared" si="111"/>
        <v>0</v>
      </c>
      <c r="AE314" s="91">
        <f t="shared" si="112"/>
        <v>0</v>
      </c>
      <c r="AF314" s="91">
        <f t="shared" si="113"/>
        <v>0</v>
      </c>
      <c r="AG314" s="91">
        <f t="shared" si="114"/>
        <v>0</v>
      </c>
      <c r="AH314" s="92"/>
      <c r="AI314" s="93"/>
      <c r="AJ314" s="93"/>
      <c r="AK314" s="93"/>
      <c r="AL314" s="94"/>
      <c r="AM314" s="94"/>
      <c r="AN314" s="94" t="s">
        <v>780</v>
      </c>
      <c r="AO314" s="111">
        <v>0</v>
      </c>
      <c r="AP314" s="112">
        <v>9987.5499999999993</v>
      </c>
      <c r="AQ314" s="112">
        <v>9482.6</v>
      </c>
      <c r="AR314" s="112">
        <v>5950.5</v>
      </c>
      <c r="AS314" s="113">
        <v>4105.59</v>
      </c>
      <c r="AT314" s="113">
        <v>3536</v>
      </c>
      <c r="AU314" s="111">
        <v>0</v>
      </c>
      <c r="AV314" s="112">
        <v>0</v>
      </c>
      <c r="AW314" s="112">
        <v>0</v>
      </c>
      <c r="AX314" s="112">
        <v>4072.05</v>
      </c>
      <c r="AY314" s="113">
        <v>9683.39</v>
      </c>
      <c r="AZ314" s="113">
        <v>2460.1</v>
      </c>
    </row>
    <row r="315" spans="1:52" x14ac:dyDescent="0.25">
      <c r="A315" s="101" t="s">
        <v>817</v>
      </c>
      <c r="B315" s="102" t="s">
        <v>860</v>
      </c>
      <c r="C315" s="102"/>
      <c r="D315" s="102" t="s">
        <v>1048</v>
      </c>
      <c r="E315" s="103">
        <v>1.350497076023391</v>
      </c>
      <c r="F315" s="104">
        <v>8000</v>
      </c>
      <c r="G315" s="105">
        <f t="shared" si="106"/>
        <v>4000</v>
      </c>
      <c r="H315" s="105">
        <v>15339</v>
      </c>
      <c r="I315" s="106">
        <f t="shared" si="107"/>
        <v>0.26077319251580938</v>
      </c>
      <c r="J315" s="86">
        <v>0</v>
      </c>
      <c r="K315" s="86">
        <v>0</v>
      </c>
      <c r="L315" s="86">
        <v>0</v>
      </c>
      <c r="M315" s="86">
        <v>0</v>
      </c>
      <c r="N315" s="86">
        <v>0</v>
      </c>
      <c r="O315" s="90">
        <v>1715</v>
      </c>
      <c r="P315" s="86"/>
      <c r="Q315" s="87"/>
      <c r="R315" s="87"/>
      <c r="S315" s="88"/>
      <c r="T315" s="89"/>
      <c r="U315" s="89">
        <f t="shared" si="108"/>
        <v>2316.1024853801155</v>
      </c>
      <c r="V315" s="86"/>
      <c r="W315" s="87"/>
      <c r="X315" s="87"/>
      <c r="Y315" s="87"/>
      <c r="Z315" s="90"/>
      <c r="AA315" s="90"/>
      <c r="AB315" s="91">
        <f t="shared" si="109"/>
        <v>0</v>
      </c>
      <c r="AC315" s="91">
        <f t="shared" si="110"/>
        <v>0</v>
      </c>
      <c r="AD315" s="91">
        <f t="shared" si="111"/>
        <v>0</v>
      </c>
      <c r="AE315" s="91">
        <f t="shared" si="112"/>
        <v>0</v>
      </c>
      <c r="AF315" s="91">
        <f t="shared" si="113"/>
        <v>0</v>
      </c>
      <c r="AG315" s="91">
        <f t="shared" si="114"/>
        <v>0</v>
      </c>
      <c r="AH315" s="92"/>
      <c r="AI315" s="93"/>
      <c r="AJ315" s="93"/>
      <c r="AK315" s="93"/>
      <c r="AL315" s="94"/>
      <c r="AM315" s="94"/>
      <c r="AN315" s="94" t="s">
        <v>780</v>
      </c>
      <c r="AO315" s="111">
        <v>57161.79</v>
      </c>
      <c r="AP315" s="112">
        <v>43601.18</v>
      </c>
      <c r="AQ315" s="112">
        <v>65290.460000000006</v>
      </c>
      <c r="AR315" s="112">
        <v>42076.510000000009</v>
      </c>
      <c r="AS315" s="113">
        <v>103151.96999999999</v>
      </c>
      <c r="AT315" s="113">
        <v>46288.36</v>
      </c>
      <c r="AU315" s="111">
        <v>25883.790000000019</v>
      </c>
      <c r="AV315" s="112">
        <v>66651.290000000052</v>
      </c>
      <c r="AW315" s="112">
        <v>45815.890000000021</v>
      </c>
      <c r="AX315" s="112">
        <v>35828.799999999901</v>
      </c>
      <c r="AY315" s="113">
        <v>58860.560000000303</v>
      </c>
      <c r="AZ315" s="113">
        <v>118368.80000000101</v>
      </c>
    </row>
    <row r="316" spans="1:52" x14ac:dyDescent="0.25">
      <c r="A316" s="101" t="s">
        <v>989</v>
      </c>
      <c r="B316" s="102" t="s">
        <v>260</v>
      </c>
      <c r="C316" s="102"/>
      <c r="D316" s="102" t="s">
        <v>1049</v>
      </c>
      <c r="E316" s="103">
        <v>1.3499999999999996</v>
      </c>
      <c r="F316" s="104">
        <v>16000</v>
      </c>
      <c r="G316" s="105">
        <f t="shared" si="106"/>
        <v>8000</v>
      </c>
      <c r="H316" s="105">
        <v>84219</v>
      </c>
      <c r="I316" s="106">
        <f t="shared" si="107"/>
        <v>9.4990441586815327E-2</v>
      </c>
      <c r="J316" s="86">
        <v>16239</v>
      </c>
      <c r="K316" s="87">
        <v>9460</v>
      </c>
      <c r="L316" s="87">
        <v>7293</v>
      </c>
      <c r="M316" s="87">
        <v>20031</v>
      </c>
      <c r="N316" s="90">
        <v>12922</v>
      </c>
      <c r="O316" s="90">
        <v>18817</v>
      </c>
      <c r="P316" s="86">
        <f>+J316*E316</f>
        <v>21922.649999999994</v>
      </c>
      <c r="Q316" s="87">
        <f>+K316*E316</f>
        <v>12770.999999999996</v>
      </c>
      <c r="R316" s="87">
        <f>+L316*E316</f>
        <v>9845.5499999999975</v>
      </c>
      <c r="S316" s="88">
        <f>+M316*E316</f>
        <v>27041.849999999991</v>
      </c>
      <c r="T316" s="89">
        <f>+N316*E316</f>
        <v>17444.699999999997</v>
      </c>
      <c r="U316" s="89">
        <f t="shared" si="108"/>
        <v>25402.949999999993</v>
      </c>
      <c r="V316" s="86">
        <v>10310</v>
      </c>
      <c r="W316" s="87">
        <v>14502</v>
      </c>
      <c r="X316" s="87">
        <v>19894</v>
      </c>
      <c r="Y316" s="87">
        <v>10861</v>
      </c>
      <c r="Z316" s="90">
        <v>14135</v>
      </c>
      <c r="AA316" s="90">
        <v>21472</v>
      </c>
      <c r="AB316" s="91">
        <f t="shared" si="109"/>
        <v>0.12241893159500825</v>
      </c>
      <c r="AC316" s="91">
        <f t="shared" si="110"/>
        <v>0.17219392298649949</v>
      </c>
      <c r="AD316" s="91">
        <f t="shared" si="111"/>
        <v>0.23621748061601303</v>
      </c>
      <c r="AE316" s="91">
        <f t="shared" si="112"/>
        <v>0.12896139825930017</v>
      </c>
      <c r="AF316" s="91">
        <f t="shared" si="113"/>
        <v>0.16783623647870433</v>
      </c>
      <c r="AG316" s="91">
        <f t="shared" si="114"/>
        <v>0.25495434521901233</v>
      </c>
      <c r="AH316" s="92">
        <v>6452.4399999999914</v>
      </c>
      <c r="AI316" s="93">
        <v>9314.1599999999835</v>
      </c>
      <c r="AJ316" s="93">
        <v>9314.1599999999835</v>
      </c>
      <c r="AK316" s="93">
        <v>13075.63000000003</v>
      </c>
      <c r="AL316" s="94">
        <v>7308.2100000000601</v>
      </c>
      <c r="AM316" s="94">
        <v>26526.230000001899</v>
      </c>
      <c r="AN316" s="94" t="s">
        <v>779</v>
      </c>
      <c r="AO316" s="111">
        <v>85552.650000000009</v>
      </c>
      <c r="AP316" s="112">
        <v>48786.840000000004</v>
      </c>
      <c r="AQ316" s="112">
        <v>36815.99</v>
      </c>
      <c r="AR316" s="112">
        <v>88563.02</v>
      </c>
      <c r="AS316" s="113">
        <v>56829.760000000009</v>
      </c>
      <c r="AT316" s="113">
        <v>81948.150000000009</v>
      </c>
      <c r="AU316" s="111">
        <v>0</v>
      </c>
      <c r="AV316" s="112">
        <v>0</v>
      </c>
      <c r="AW316" s="112">
        <v>0</v>
      </c>
      <c r="AX316" s="112">
        <v>0</v>
      </c>
      <c r="AY316" s="113">
        <v>0</v>
      </c>
      <c r="AZ316" s="113">
        <v>0</v>
      </c>
    </row>
    <row r="317" spans="1:52" x14ac:dyDescent="0.25">
      <c r="A317" s="101" t="s">
        <v>591</v>
      </c>
      <c r="B317" s="102" t="s">
        <v>592</v>
      </c>
      <c r="C317" s="102"/>
      <c r="D317" s="102" t="s">
        <v>1048</v>
      </c>
      <c r="E317" s="103">
        <v>1.3399999999999999</v>
      </c>
      <c r="F317" s="104">
        <v>6000</v>
      </c>
      <c r="G317" s="105">
        <f t="shared" si="106"/>
        <v>3000</v>
      </c>
      <c r="H317" s="105">
        <v>67343</v>
      </c>
      <c r="I317" s="106">
        <f t="shared" si="107"/>
        <v>4.4548059931989958E-2</v>
      </c>
      <c r="J317" s="86">
        <v>315</v>
      </c>
      <c r="K317" s="87">
        <v>131</v>
      </c>
      <c r="L317" s="87">
        <v>2449</v>
      </c>
      <c r="M317" s="87">
        <v>2139</v>
      </c>
      <c r="N317" s="90">
        <v>99</v>
      </c>
      <c r="O317" s="90">
        <v>149</v>
      </c>
      <c r="P317" s="86">
        <f>+J317*E317</f>
        <v>422.09999999999997</v>
      </c>
      <c r="Q317" s="87">
        <f>+K317*E317</f>
        <v>175.54</v>
      </c>
      <c r="R317" s="87">
        <f>+L317*E317</f>
        <v>3281.66</v>
      </c>
      <c r="S317" s="88">
        <f>+M317*E317</f>
        <v>2866.2599999999998</v>
      </c>
      <c r="T317" s="89">
        <f>+N317*E317</f>
        <v>132.66</v>
      </c>
      <c r="U317" s="89">
        <f t="shared" si="108"/>
        <v>199.65999999999997</v>
      </c>
      <c r="V317" s="86">
        <v>241</v>
      </c>
      <c r="W317" s="87">
        <v>310</v>
      </c>
      <c r="X317" s="87">
        <v>883</v>
      </c>
      <c r="Y317" s="87">
        <v>1293</v>
      </c>
      <c r="Z317" s="90">
        <v>2248</v>
      </c>
      <c r="AA317" s="90">
        <v>466</v>
      </c>
      <c r="AB317" s="91">
        <f t="shared" si="109"/>
        <v>3.5786941478698603E-3</v>
      </c>
      <c r="AC317" s="91">
        <f t="shared" si="110"/>
        <v>4.6032995263056292E-3</v>
      </c>
      <c r="AD317" s="91">
        <f t="shared" si="111"/>
        <v>1.3111978973315713E-2</v>
      </c>
      <c r="AE317" s="91">
        <f t="shared" si="112"/>
        <v>1.9200213830687672E-2</v>
      </c>
      <c r="AF317" s="91">
        <f t="shared" si="113"/>
        <v>3.3381346242371143E-2</v>
      </c>
      <c r="AG317" s="91">
        <f t="shared" si="114"/>
        <v>6.9197986427691075E-3</v>
      </c>
      <c r="AH317" s="92">
        <v>279.87</v>
      </c>
      <c r="AI317" s="93">
        <v>348.16999999999905</v>
      </c>
      <c r="AJ317" s="93">
        <v>348.16999999999905</v>
      </c>
      <c r="AK317" s="93">
        <v>1249.0299999999979</v>
      </c>
      <c r="AL317" s="94">
        <v>1551.53</v>
      </c>
      <c r="AM317" s="94">
        <v>572.32000000000005</v>
      </c>
      <c r="AN317" s="94" t="s">
        <v>780</v>
      </c>
      <c r="AO317" s="111">
        <v>7816.7</v>
      </c>
      <c r="AP317" s="112">
        <v>3268.3</v>
      </c>
      <c r="AQ317" s="112">
        <v>60949.58</v>
      </c>
      <c r="AR317" s="112">
        <v>53489.920000000006</v>
      </c>
      <c r="AS317" s="113">
        <v>2460.15</v>
      </c>
      <c r="AT317" s="113">
        <v>3680.8700000000003</v>
      </c>
      <c r="AU317" s="111">
        <v>6310.630000000001</v>
      </c>
      <c r="AV317" s="112">
        <v>8090.8499999999894</v>
      </c>
      <c r="AW317" s="112">
        <v>23143.859999999979</v>
      </c>
      <c r="AX317" s="112">
        <v>33700.919999999896</v>
      </c>
      <c r="AY317" s="113">
        <v>58472.119999999901</v>
      </c>
      <c r="AZ317" s="113">
        <v>12159.3999999999</v>
      </c>
    </row>
    <row r="318" spans="1:52" x14ac:dyDescent="0.25">
      <c r="A318" s="101" t="s">
        <v>828</v>
      </c>
      <c r="B318" s="102" t="s">
        <v>871</v>
      </c>
      <c r="C318" s="102"/>
      <c r="D318" s="102" t="s">
        <v>1048</v>
      </c>
      <c r="E318" s="103">
        <v>1.3393141945773515</v>
      </c>
      <c r="F318" s="104">
        <v>25000</v>
      </c>
      <c r="G318" s="105">
        <f t="shared" si="106"/>
        <v>12500</v>
      </c>
      <c r="H318" s="105">
        <v>74244</v>
      </c>
      <c r="I318" s="106">
        <f t="shared" si="107"/>
        <v>0.16836377350358278</v>
      </c>
      <c r="J318" s="86">
        <v>0</v>
      </c>
      <c r="K318" s="86">
        <v>0</v>
      </c>
      <c r="L318" s="86">
        <v>0</v>
      </c>
      <c r="M318" s="86">
        <v>0</v>
      </c>
      <c r="N318" s="86">
        <v>0</v>
      </c>
      <c r="O318" s="90">
        <v>250</v>
      </c>
      <c r="P318" s="86"/>
      <c r="Q318" s="87"/>
      <c r="R318" s="87"/>
      <c r="S318" s="88"/>
      <c r="T318" s="89"/>
      <c r="U318" s="89">
        <f t="shared" si="108"/>
        <v>334.82854864433784</v>
      </c>
      <c r="V318" s="86"/>
      <c r="W318" s="87"/>
      <c r="X318" s="87"/>
      <c r="Y318" s="87"/>
      <c r="Z318" s="90"/>
      <c r="AA318" s="90"/>
      <c r="AB318" s="91">
        <f t="shared" si="109"/>
        <v>0</v>
      </c>
      <c r="AC318" s="91">
        <f t="shared" si="110"/>
        <v>0</v>
      </c>
      <c r="AD318" s="91">
        <f t="shared" si="111"/>
        <v>0</v>
      </c>
      <c r="AE318" s="91">
        <f t="shared" si="112"/>
        <v>0</v>
      </c>
      <c r="AF318" s="91">
        <f t="shared" si="113"/>
        <v>0</v>
      </c>
      <c r="AG318" s="91">
        <f t="shared" si="114"/>
        <v>0</v>
      </c>
      <c r="AH318" s="92"/>
      <c r="AI318" s="93"/>
      <c r="AJ318" s="93"/>
      <c r="AK318" s="93"/>
      <c r="AL318" s="94"/>
      <c r="AM318" s="94"/>
      <c r="AN318" s="94" t="s">
        <v>780</v>
      </c>
      <c r="AO318" s="111">
        <v>10948</v>
      </c>
      <c r="AP318" s="112">
        <v>4844</v>
      </c>
      <c r="AQ318" s="112">
        <v>2762</v>
      </c>
      <c r="AR318" s="112">
        <v>13608.5</v>
      </c>
      <c r="AS318" s="113">
        <v>4162.5</v>
      </c>
      <c r="AT318" s="113">
        <v>6937.5</v>
      </c>
      <c r="AU318" s="111">
        <v>0</v>
      </c>
      <c r="AV318" s="112">
        <v>14429.8399999999</v>
      </c>
      <c r="AW318" s="112">
        <v>4964.8999999999996</v>
      </c>
      <c r="AX318" s="112">
        <v>2856.5</v>
      </c>
      <c r="AY318" s="113">
        <v>14487.4299999999</v>
      </c>
      <c r="AZ318" s="113">
        <v>4340.71</v>
      </c>
    </row>
    <row r="319" spans="1:52" x14ac:dyDescent="0.25">
      <c r="A319" s="101" t="s">
        <v>607</v>
      </c>
      <c r="B319" s="102" t="s">
        <v>608</v>
      </c>
      <c r="C319" s="102"/>
      <c r="D319" s="102" t="s">
        <v>1049</v>
      </c>
      <c r="E319" s="103">
        <v>1.3300000000000018</v>
      </c>
      <c r="F319" s="104">
        <v>6000</v>
      </c>
      <c r="G319" s="105">
        <f t="shared" si="106"/>
        <v>3000</v>
      </c>
      <c r="H319" s="105">
        <v>59528</v>
      </c>
      <c r="I319" s="106">
        <f t="shared" si="107"/>
        <v>5.0396452089772878E-2</v>
      </c>
      <c r="J319" s="86">
        <v>230</v>
      </c>
      <c r="K319" s="87">
        <v>237</v>
      </c>
      <c r="L319" s="87">
        <v>164</v>
      </c>
      <c r="M319" s="87">
        <v>615</v>
      </c>
      <c r="N319" s="90">
        <v>300</v>
      </c>
      <c r="O319" s="90">
        <v>427</v>
      </c>
      <c r="P319" s="86">
        <f>+J319*E319</f>
        <v>305.90000000000043</v>
      </c>
      <c r="Q319" s="87">
        <f>+K319*E319</f>
        <v>315.21000000000043</v>
      </c>
      <c r="R319" s="87">
        <f>+L319*E319</f>
        <v>218.12000000000029</v>
      </c>
      <c r="S319" s="88">
        <f>+M319*E319</f>
        <v>817.95000000000118</v>
      </c>
      <c r="T319" s="89">
        <f>+N319*E319</f>
        <v>399.00000000000057</v>
      </c>
      <c r="U319" s="89">
        <f t="shared" si="108"/>
        <v>567.91000000000076</v>
      </c>
      <c r="V319" s="86">
        <v>240</v>
      </c>
      <c r="W319" s="87">
        <v>228</v>
      </c>
      <c r="X319" s="87">
        <v>349</v>
      </c>
      <c r="Y319" s="87">
        <v>46</v>
      </c>
      <c r="Z319" s="90">
        <v>610</v>
      </c>
      <c r="AA319" s="90">
        <v>299</v>
      </c>
      <c r="AB319" s="91">
        <f t="shared" si="109"/>
        <v>4.0317161671818303E-3</v>
      </c>
      <c r="AC319" s="91">
        <f t="shared" si="110"/>
        <v>3.830130358822739E-3</v>
      </c>
      <c r="AD319" s="91">
        <f t="shared" si="111"/>
        <v>5.8627872597769113E-3</v>
      </c>
      <c r="AE319" s="91">
        <f t="shared" si="112"/>
        <v>7.7274559870985082E-4</v>
      </c>
      <c r="AF319" s="91">
        <f t="shared" si="113"/>
        <v>1.0247278591587153E-2</v>
      </c>
      <c r="AG319" s="91">
        <f t="shared" si="114"/>
        <v>5.0228463916140303E-3</v>
      </c>
      <c r="AH319" s="92">
        <v>204.86</v>
      </c>
      <c r="AI319" s="93">
        <v>183.2999999999999</v>
      </c>
      <c r="AJ319" s="93">
        <v>183.2999999999999</v>
      </c>
      <c r="AK319" s="93">
        <v>335.70999999999879</v>
      </c>
      <c r="AL319" s="94">
        <v>52.5</v>
      </c>
      <c r="AM319" s="94">
        <v>370.59</v>
      </c>
      <c r="AN319" s="94" t="s">
        <v>780</v>
      </c>
      <c r="AO319" s="111">
        <v>6371</v>
      </c>
      <c r="AP319" s="112">
        <v>6636.15</v>
      </c>
      <c r="AQ319" s="112">
        <v>4542.8</v>
      </c>
      <c r="AR319" s="112">
        <v>16764.900000000001</v>
      </c>
      <c r="AS319" s="113">
        <v>8218.68</v>
      </c>
      <c r="AT319" s="113">
        <v>11704.029999999999</v>
      </c>
      <c r="AU319" s="111">
        <v>6903.26</v>
      </c>
      <c r="AV319" s="112">
        <v>6547.2199999999693</v>
      </c>
      <c r="AW319" s="112">
        <v>9996.6399999999812</v>
      </c>
      <c r="AX319" s="112">
        <v>1326.23999999999</v>
      </c>
      <c r="AY319" s="113">
        <v>17434.029999999901</v>
      </c>
      <c r="AZ319" s="113">
        <v>8536.2800000000007</v>
      </c>
    </row>
    <row r="320" spans="1:52" x14ac:dyDescent="0.25">
      <c r="A320" s="101" t="s">
        <v>457</v>
      </c>
      <c r="B320" s="102" t="s">
        <v>458</v>
      </c>
      <c r="C320" s="102"/>
      <c r="D320" s="102" t="s">
        <v>1048</v>
      </c>
      <c r="E320" s="103">
        <v>1.33</v>
      </c>
      <c r="F320" s="104">
        <v>5000</v>
      </c>
      <c r="G320" s="105">
        <f t="shared" si="106"/>
        <v>2500</v>
      </c>
      <c r="H320" s="105">
        <v>4999</v>
      </c>
      <c r="I320" s="106">
        <f t="shared" si="107"/>
        <v>0.50010002000400078</v>
      </c>
      <c r="J320" s="86">
        <v>1845</v>
      </c>
      <c r="K320" s="87">
        <v>2042</v>
      </c>
      <c r="L320" s="87">
        <v>771</v>
      </c>
      <c r="M320" s="87">
        <v>1080</v>
      </c>
      <c r="N320" s="90">
        <v>992</v>
      </c>
      <c r="O320" s="90">
        <v>1242</v>
      </c>
      <c r="P320" s="86">
        <f>+J320*E320</f>
        <v>2453.85</v>
      </c>
      <c r="Q320" s="87">
        <f>+K320*E320</f>
        <v>2715.86</v>
      </c>
      <c r="R320" s="87">
        <f>+L320*E320</f>
        <v>1025.43</v>
      </c>
      <c r="S320" s="88">
        <f>+M320*E320</f>
        <v>1436.4</v>
      </c>
      <c r="T320" s="89">
        <f>+N320*E320</f>
        <v>1319.3600000000001</v>
      </c>
      <c r="U320" s="89">
        <f t="shared" si="108"/>
        <v>1651.8600000000001</v>
      </c>
      <c r="V320" s="86">
        <v>1480</v>
      </c>
      <c r="W320" s="87">
        <v>1829</v>
      </c>
      <c r="X320" s="87">
        <v>2833</v>
      </c>
      <c r="Y320" s="87">
        <v>604</v>
      </c>
      <c r="Z320" s="90">
        <v>1441</v>
      </c>
      <c r="AA320" s="90">
        <v>568</v>
      </c>
      <c r="AB320" s="91">
        <f t="shared" si="109"/>
        <v>0.2960592118423685</v>
      </c>
      <c r="AC320" s="91">
        <f t="shared" si="110"/>
        <v>0.36587317463492697</v>
      </c>
      <c r="AD320" s="91">
        <f t="shared" si="111"/>
        <v>0.56671334266853368</v>
      </c>
      <c r="AE320" s="91">
        <f t="shared" si="112"/>
        <v>0.1208241648329666</v>
      </c>
      <c r="AF320" s="91">
        <f t="shared" si="113"/>
        <v>0.28825765153030608</v>
      </c>
      <c r="AG320" s="91">
        <f t="shared" si="114"/>
        <v>0.11362272454490899</v>
      </c>
      <c r="AH320" s="92">
        <v>1561.899999999999</v>
      </c>
      <c r="AI320" s="93">
        <v>2864.5299999999966</v>
      </c>
      <c r="AJ320" s="93">
        <v>2864.529999999997</v>
      </c>
      <c r="AK320" s="93">
        <v>4466.6999999999944</v>
      </c>
      <c r="AL320" s="94">
        <v>955.699999999998</v>
      </c>
      <c r="AM320" s="94">
        <v>1026.8900000000001</v>
      </c>
      <c r="AN320" s="94" t="s">
        <v>780</v>
      </c>
      <c r="AO320" s="111">
        <v>22181.329999999994</v>
      </c>
      <c r="AP320" s="112">
        <v>25163.430000000004</v>
      </c>
      <c r="AQ320" s="112">
        <v>9254.16</v>
      </c>
      <c r="AR320" s="112">
        <v>12980.12</v>
      </c>
      <c r="AS320" s="113">
        <v>12280.820000000002</v>
      </c>
      <c r="AT320" s="113">
        <v>15040.630000000003</v>
      </c>
      <c r="AU320" s="111">
        <v>19539.12000000001</v>
      </c>
      <c r="AV320" s="112">
        <v>25307.86999999997</v>
      </c>
      <c r="AW320" s="112">
        <v>39037.439999999944</v>
      </c>
      <c r="AX320" s="112">
        <v>8281.0299999999806</v>
      </c>
      <c r="AY320" s="113">
        <v>19848.019999999899</v>
      </c>
      <c r="AZ320" s="113">
        <v>7821.9099999999899</v>
      </c>
    </row>
    <row r="321" spans="1:52" x14ac:dyDescent="0.25">
      <c r="A321" s="101" t="s">
        <v>816</v>
      </c>
      <c r="B321" s="102" t="s">
        <v>859</v>
      </c>
      <c r="C321" s="102"/>
      <c r="D321" s="102" t="s">
        <v>1048</v>
      </c>
      <c r="E321" s="103">
        <v>1.3081669691470061</v>
      </c>
      <c r="F321" s="104">
        <v>4000</v>
      </c>
      <c r="G321" s="105">
        <f t="shared" si="106"/>
        <v>2000</v>
      </c>
      <c r="H321" s="105">
        <v>7392</v>
      </c>
      <c r="I321" s="106">
        <f t="shared" si="107"/>
        <v>0.27056277056277056</v>
      </c>
      <c r="J321" s="86">
        <v>0</v>
      </c>
      <c r="K321" s="86">
        <v>0</v>
      </c>
      <c r="L321" s="86">
        <v>0</v>
      </c>
      <c r="M321" s="86">
        <v>0</v>
      </c>
      <c r="N321" s="86">
        <v>0</v>
      </c>
      <c r="O321" s="90">
        <v>1681</v>
      </c>
      <c r="P321" s="86"/>
      <c r="Q321" s="87"/>
      <c r="R321" s="87"/>
      <c r="S321" s="88"/>
      <c r="T321" s="89"/>
      <c r="U321" s="89">
        <f t="shared" si="108"/>
        <v>2199.0286751361173</v>
      </c>
      <c r="V321" s="86"/>
      <c r="W321" s="87"/>
      <c r="X321" s="87"/>
      <c r="Y321" s="87"/>
      <c r="Z321" s="90"/>
      <c r="AA321" s="90"/>
      <c r="AB321" s="91">
        <f t="shared" si="109"/>
        <v>0</v>
      </c>
      <c r="AC321" s="91">
        <f t="shared" si="110"/>
        <v>0</v>
      </c>
      <c r="AD321" s="91">
        <f t="shared" si="111"/>
        <v>0</v>
      </c>
      <c r="AE321" s="91">
        <f t="shared" si="112"/>
        <v>0</v>
      </c>
      <c r="AF321" s="91">
        <f t="shared" si="113"/>
        <v>0</v>
      </c>
      <c r="AG321" s="91">
        <f t="shared" si="114"/>
        <v>0</v>
      </c>
      <c r="AH321" s="92"/>
      <c r="AI321" s="93"/>
      <c r="AJ321" s="93"/>
      <c r="AK321" s="93"/>
      <c r="AL321" s="94"/>
      <c r="AM321" s="94"/>
      <c r="AN321" s="94" t="s">
        <v>780</v>
      </c>
      <c r="AO321" s="111">
        <v>79536.819999999992</v>
      </c>
      <c r="AP321" s="112">
        <v>93643.940000000017</v>
      </c>
      <c r="AQ321" s="112">
        <v>65115.17</v>
      </c>
      <c r="AR321" s="112">
        <v>40080.199999999997</v>
      </c>
      <c r="AS321" s="113">
        <v>40575.14</v>
      </c>
      <c r="AT321" s="113">
        <v>47947.35</v>
      </c>
      <c r="AU321" s="111">
        <v>51217.829999999958</v>
      </c>
      <c r="AV321" s="112">
        <v>95395.73999999986</v>
      </c>
      <c r="AW321" s="112">
        <v>84646.450000000041</v>
      </c>
      <c r="AX321" s="112">
        <v>68239.6500000003</v>
      </c>
      <c r="AY321" s="113">
        <v>62188.800000000003</v>
      </c>
      <c r="AZ321" s="113">
        <v>42038.469999999899</v>
      </c>
    </row>
    <row r="322" spans="1:52" x14ac:dyDescent="0.25">
      <c r="A322" s="101" t="s">
        <v>737</v>
      </c>
      <c r="B322" s="102" t="s">
        <v>738</v>
      </c>
      <c r="C322" s="102"/>
      <c r="D322" s="102" t="s">
        <v>1048</v>
      </c>
      <c r="E322" s="103">
        <v>1.3</v>
      </c>
      <c r="F322" s="104">
        <v>1585.8000000000002</v>
      </c>
      <c r="G322" s="105">
        <f t="shared" ref="G322:G385" si="135">F322/2</f>
        <v>792.90000000000009</v>
      </c>
      <c r="H322" s="105">
        <v>7929</v>
      </c>
      <c r="I322" s="106">
        <f t="shared" ref="I322:I385" si="136">+G322/H322</f>
        <v>0.1</v>
      </c>
      <c r="J322" s="86">
        <v>506</v>
      </c>
      <c r="K322" s="87">
        <v>285</v>
      </c>
      <c r="L322" s="87">
        <v>0</v>
      </c>
      <c r="M322" s="87">
        <v>0</v>
      </c>
      <c r="N322" s="90">
        <v>0</v>
      </c>
      <c r="O322" s="90">
        <v>0</v>
      </c>
      <c r="P322" s="86">
        <f t="shared" ref="P322:P355" si="137">+J322*E322</f>
        <v>657.80000000000007</v>
      </c>
      <c r="Q322" s="87">
        <f t="shared" ref="Q322:Q355" si="138">+K322*E322</f>
        <v>370.5</v>
      </c>
      <c r="R322" s="87">
        <f t="shared" ref="R322:R355" si="139">+L322*E322</f>
        <v>0</v>
      </c>
      <c r="S322" s="88">
        <f t="shared" ref="S322:S355" si="140">+M322*E322</f>
        <v>0</v>
      </c>
      <c r="T322" s="89">
        <f t="shared" ref="T322:T355" si="141">+N322*E322</f>
        <v>0</v>
      </c>
      <c r="U322" s="89">
        <f t="shared" ref="U322:U385" si="142">+O322*E322</f>
        <v>0</v>
      </c>
      <c r="V322" s="86">
        <v>130</v>
      </c>
      <c r="W322" s="87">
        <v>107</v>
      </c>
      <c r="X322" s="87">
        <v>182</v>
      </c>
      <c r="Y322" s="87">
        <v>89</v>
      </c>
      <c r="Z322" s="90">
        <v>260</v>
      </c>
      <c r="AA322" s="90">
        <v>842</v>
      </c>
      <c r="AB322" s="91">
        <f t="shared" ref="AB322:AB385" si="143">+IFERROR(V322/H322,"")</f>
        <v>1.6395510152604365E-2</v>
      </c>
      <c r="AC322" s="91">
        <f t="shared" ref="AC322:AC385" si="144">+IFERROR(W322/H322,"")</f>
        <v>1.3494766048682053E-2</v>
      </c>
      <c r="AD322" s="91">
        <f t="shared" ref="AD322:AD385" si="145">+IFERROR(X322/H322,"")</f>
        <v>2.2953714213646108E-2</v>
      </c>
      <c r="AE322" s="91">
        <f t="shared" ref="AE322:AE385" si="146">+IFERROR(Y322/H322,"")</f>
        <v>1.122461848909068E-2</v>
      </c>
      <c r="AF322" s="91">
        <f t="shared" ref="AF322:AF385" si="147">+IFERROR(Z322/H322,"")</f>
        <v>3.279102030520873E-2</v>
      </c>
      <c r="AG322" s="91">
        <f t="shared" ref="AG322:AG385" si="148">+IFERROR(AA322/H322,"")</f>
        <v>0.1061924580653298</v>
      </c>
      <c r="AH322" s="92">
        <v>169.68</v>
      </c>
      <c r="AI322" s="93">
        <v>96.819999999999879</v>
      </c>
      <c r="AJ322" s="93">
        <v>96.819999999999879</v>
      </c>
      <c r="AK322" s="93">
        <v>22.009999999999994</v>
      </c>
      <c r="AL322" s="94">
        <v>4.1299999999999901</v>
      </c>
      <c r="AM322" s="94">
        <v>-1256.6099999999899</v>
      </c>
      <c r="AN322" s="94" t="s">
        <v>780</v>
      </c>
      <c r="AO322" s="111">
        <v>6776.2000000000007</v>
      </c>
      <c r="AP322" s="112">
        <v>3830.1899999999996</v>
      </c>
      <c r="AQ322" s="112">
        <v>0</v>
      </c>
      <c r="AR322" s="112">
        <v>0</v>
      </c>
      <c r="AS322" s="113">
        <v>0</v>
      </c>
      <c r="AT322" s="113">
        <v>0</v>
      </c>
      <c r="AU322" s="111">
        <v>2043.39</v>
      </c>
      <c r="AV322" s="112">
        <v>1663.049999999999</v>
      </c>
      <c r="AW322" s="112">
        <v>2635.7299999999996</v>
      </c>
      <c r="AX322" s="112">
        <v>1280.3899999999901</v>
      </c>
      <c r="AY322" s="113">
        <v>3609.39</v>
      </c>
      <c r="AZ322" s="113">
        <v>10699.65</v>
      </c>
    </row>
    <row r="323" spans="1:52" x14ac:dyDescent="0.25">
      <c r="A323" s="101" t="s">
        <v>990</v>
      </c>
      <c r="B323" s="102" t="s">
        <v>402</v>
      </c>
      <c r="C323" s="102"/>
      <c r="D323" s="102" t="s">
        <v>1048</v>
      </c>
      <c r="E323" s="103">
        <v>1.2799999999999994</v>
      </c>
      <c r="F323" s="104">
        <v>1200</v>
      </c>
      <c r="G323" s="105">
        <f t="shared" si="135"/>
        <v>600</v>
      </c>
      <c r="H323" s="105">
        <v>609</v>
      </c>
      <c r="I323" s="106">
        <f t="shared" si="136"/>
        <v>0.98522167487684731</v>
      </c>
      <c r="J323" s="86">
        <v>28</v>
      </c>
      <c r="K323" s="87">
        <v>453</v>
      </c>
      <c r="L323" s="87">
        <v>755</v>
      </c>
      <c r="M323" s="87">
        <v>150</v>
      </c>
      <c r="N323" s="90">
        <v>147</v>
      </c>
      <c r="O323" s="90">
        <v>40</v>
      </c>
      <c r="P323" s="86">
        <f t="shared" si="137"/>
        <v>35.839999999999982</v>
      </c>
      <c r="Q323" s="87">
        <f t="shared" si="138"/>
        <v>579.83999999999969</v>
      </c>
      <c r="R323" s="87">
        <f t="shared" si="139"/>
        <v>966.39999999999952</v>
      </c>
      <c r="S323" s="88">
        <f t="shared" si="140"/>
        <v>191.99999999999991</v>
      </c>
      <c r="T323" s="89">
        <f t="shared" si="141"/>
        <v>188.15999999999991</v>
      </c>
      <c r="U323" s="89">
        <f t="shared" si="142"/>
        <v>51.199999999999974</v>
      </c>
      <c r="V323" s="86">
        <v>388</v>
      </c>
      <c r="W323" s="87">
        <v>425</v>
      </c>
      <c r="X323" s="87">
        <v>301</v>
      </c>
      <c r="Y323" s="87">
        <v>438</v>
      </c>
      <c r="Z323" s="90">
        <v>952</v>
      </c>
      <c r="AA323" s="90">
        <v>194</v>
      </c>
      <c r="AB323" s="91">
        <f t="shared" si="143"/>
        <v>0.63711001642036125</v>
      </c>
      <c r="AC323" s="91">
        <f t="shared" si="144"/>
        <v>0.69786535303776687</v>
      </c>
      <c r="AD323" s="91">
        <f t="shared" si="145"/>
        <v>0.4942528735632184</v>
      </c>
      <c r="AE323" s="91">
        <f t="shared" si="146"/>
        <v>0.71921182266009853</v>
      </c>
      <c r="AF323" s="91">
        <f t="shared" si="147"/>
        <v>1.5632183908045978</v>
      </c>
      <c r="AG323" s="91">
        <f t="shared" si="148"/>
        <v>0.31855500821018062</v>
      </c>
      <c r="AH323" s="92">
        <v>847.37000000000012</v>
      </c>
      <c r="AI323" s="93">
        <v>871.9199999999995</v>
      </c>
      <c r="AJ323" s="93">
        <v>871.91999999999939</v>
      </c>
      <c r="AK323" s="93">
        <v>638.15999999999963</v>
      </c>
      <c r="AL323" s="94">
        <v>1246.24999999999</v>
      </c>
      <c r="AM323" s="94">
        <v>224.289999999999</v>
      </c>
      <c r="AN323" s="94" t="s">
        <v>779</v>
      </c>
      <c r="AO323" s="111">
        <v>262.36</v>
      </c>
      <c r="AP323" s="112">
        <v>4115.9400000000005</v>
      </c>
      <c r="AQ323" s="112">
        <v>6920.0299999999988</v>
      </c>
      <c r="AR323" s="112">
        <v>1405.5</v>
      </c>
      <c r="AS323" s="113">
        <v>1302.49</v>
      </c>
      <c r="AT323" s="113">
        <v>363.6</v>
      </c>
      <c r="AU323" s="111">
        <v>0</v>
      </c>
      <c r="AV323" s="112">
        <v>0</v>
      </c>
      <c r="AW323" s="112">
        <v>0</v>
      </c>
      <c r="AX323" s="112">
        <v>0</v>
      </c>
      <c r="AY323" s="113">
        <v>0</v>
      </c>
      <c r="AZ323" s="113">
        <v>0</v>
      </c>
    </row>
    <row r="324" spans="1:52" x14ac:dyDescent="0.25">
      <c r="A324" s="101" t="s">
        <v>216</v>
      </c>
      <c r="B324" s="102" t="s">
        <v>217</v>
      </c>
      <c r="C324" s="102"/>
      <c r="D324" s="102" t="s">
        <v>1048</v>
      </c>
      <c r="E324" s="103">
        <v>1.2699999999999996</v>
      </c>
      <c r="F324" s="104">
        <v>4000</v>
      </c>
      <c r="G324" s="105">
        <f t="shared" si="135"/>
        <v>2000</v>
      </c>
      <c r="H324" s="105">
        <v>2890</v>
      </c>
      <c r="I324" s="106">
        <f t="shared" si="136"/>
        <v>0.69204152249134943</v>
      </c>
      <c r="J324" s="86">
        <v>742</v>
      </c>
      <c r="K324" s="87">
        <v>1075</v>
      </c>
      <c r="L324" s="87">
        <v>641</v>
      </c>
      <c r="M324" s="87">
        <v>400</v>
      </c>
      <c r="N324" s="90">
        <v>480</v>
      </c>
      <c r="O324" s="90">
        <v>310</v>
      </c>
      <c r="P324" s="86">
        <f t="shared" si="137"/>
        <v>942.33999999999969</v>
      </c>
      <c r="Q324" s="87">
        <f t="shared" si="138"/>
        <v>1365.2499999999995</v>
      </c>
      <c r="R324" s="87">
        <f t="shared" si="139"/>
        <v>814.06999999999971</v>
      </c>
      <c r="S324" s="88">
        <f t="shared" si="140"/>
        <v>507.99999999999983</v>
      </c>
      <c r="T324" s="89">
        <f t="shared" si="141"/>
        <v>609.5999999999998</v>
      </c>
      <c r="U324" s="89">
        <f t="shared" si="142"/>
        <v>393.69999999999987</v>
      </c>
      <c r="V324" s="86">
        <v>669</v>
      </c>
      <c r="W324" s="87">
        <v>1242</v>
      </c>
      <c r="X324" s="87">
        <v>489</v>
      </c>
      <c r="Y324" s="87">
        <v>977</v>
      </c>
      <c r="Z324" s="90">
        <v>816</v>
      </c>
      <c r="AA324" s="90">
        <v>479</v>
      </c>
      <c r="AB324" s="91">
        <f t="shared" si="143"/>
        <v>0.2314878892733564</v>
      </c>
      <c r="AC324" s="91">
        <f t="shared" si="144"/>
        <v>0.42975778546712801</v>
      </c>
      <c r="AD324" s="91">
        <f t="shared" si="145"/>
        <v>0.16920415224913496</v>
      </c>
      <c r="AE324" s="91">
        <f t="shared" si="146"/>
        <v>0.33806228373702424</v>
      </c>
      <c r="AF324" s="91">
        <f t="shared" si="147"/>
        <v>0.28235294117647058</v>
      </c>
      <c r="AG324" s="91">
        <f t="shared" si="148"/>
        <v>0.16574394463667821</v>
      </c>
      <c r="AH324" s="92">
        <v>267.21999999999991</v>
      </c>
      <c r="AI324" s="93">
        <v>595.99999999999955</v>
      </c>
      <c r="AJ324" s="93">
        <v>595.99999999999966</v>
      </c>
      <c r="AK324" s="93">
        <v>453.26999999999936</v>
      </c>
      <c r="AL324" s="94">
        <v>844.78999999999905</v>
      </c>
      <c r="AM324" s="94">
        <v>423.95</v>
      </c>
      <c r="AN324" s="94" t="s">
        <v>779</v>
      </c>
      <c r="AO324" s="111">
        <v>2641.84</v>
      </c>
      <c r="AP324" s="112">
        <v>3820.5</v>
      </c>
      <c r="AQ324" s="112">
        <v>2117.86</v>
      </c>
      <c r="AR324" s="112">
        <v>1301</v>
      </c>
      <c r="AS324" s="113">
        <v>1608</v>
      </c>
      <c r="AT324" s="113">
        <v>991.6</v>
      </c>
      <c r="AU324" s="111">
        <v>2851.929999999998</v>
      </c>
      <c r="AV324" s="112">
        <v>5282.7099999999937</v>
      </c>
      <c r="AW324" s="112">
        <v>2193.8199999999943</v>
      </c>
      <c r="AX324" s="112">
        <v>4236.8599999999797</v>
      </c>
      <c r="AY324" s="113">
        <v>3414.6199999999899</v>
      </c>
      <c r="AZ324" s="113">
        <v>2019.02</v>
      </c>
    </row>
    <row r="325" spans="1:52" x14ac:dyDescent="0.25">
      <c r="A325" s="101" t="s">
        <v>609</v>
      </c>
      <c r="B325" s="102" t="s">
        <v>610</v>
      </c>
      <c r="C325" s="102"/>
      <c r="D325" s="102" t="s">
        <v>1048</v>
      </c>
      <c r="E325" s="103">
        <v>1.2699999999999996</v>
      </c>
      <c r="F325" s="104">
        <v>10000</v>
      </c>
      <c r="G325" s="105">
        <f t="shared" si="135"/>
        <v>5000</v>
      </c>
      <c r="H325" s="105">
        <v>61454</v>
      </c>
      <c r="I325" s="106">
        <f t="shared" si="136"/>
        <v>8.1361668890552283E-2</v>
      </c>
      <c r="J325" s="86">
        <v>182</v>
      </c>
      <c r="K325" s="87">
        <v>175</v>
      </c>
      <c r="L325" s="87">
        <v>309</v>
      </c>
      <c r="M325" s="87">
        <v>0</v>
      </c>
      <c r="N325" s="90"/>
      <c r="O325" s="90">
        <v>0</v>
      </c>
      <c r="P325" s="86">
        <f t="shared" si="137"/>
        <v>231.13999999999993</v>
      </c>
      <c r="Q325" s="87">
        <f t="shared" si="138"/>
        <v>222.24999999999991</v>
      </c>
      <c r="R325" s="87">
        <f t="shared" si="139"/>
        <v>392.42999999999989</v>
      </c>
      <c r="S325" s="88">
        <f t="shared" si="140"/>
        <v>0</v>
      </c>
      <c r="T325" s="89">
        <f t="shared" si="141"/>
        <v>0</v>
      </c>
      <c r="U325" s="89">
        <f t="shared" si="142"/>
        <v>0</v>
      </c>
      <c r="V325" s="86">
        <v>0</v>
      </c>
      <c r="W325" s="87">
        <v>178</v>
      </c>
      <c r="X325" s="87">
        <v>173</v>
      </c>
      <c r="Y325" s="87">
        <v>307</v>
      </c>
      <c r="Z325" s="90">
        <v>0</v>
      </c>
      <c r="AA325" s="90">
        <v>97</v>
      </c>
      <c r="AB325" s="91">
        <f t="shared" si="143"/>
        <v>0</v>
      </c>
      <c r="AC325" s="91">
        <f t="shared" si="144"/>
        <v>2.8964754125036614E-3</v>
      </c>
      <c r="AD325" s="91">
        <f t="shared" si="145"/>
        <v>2.8151137436131092E-3</v>
      </c>
      <c r="AE325" s="91">
        <f t="shared" si="146"/>
        <v>4.9956064698799098E-3</v>
      </c>
      <c r="AF325" s="91">
        <f t="shared" si="147"/>
        <v>0</v>
      </c>
      <c r="AG325" s="91">
        <f t="shared" si="148"/>
        <v>1.5784163764767142E-3</v>
      </c>
      <c r="AH325" s="92">
        <v>0</v>
      </c>
      <c r="AI325" s="93">
        <v>215.53999999999971</v>
      </c>
      <c r="AJ325" s="93">
        <v>215.53999999999971</v>
      </c>
      <c r="AK325" s="93">
        <v>285.84999999999991</v>
      </c>
      <c r="AL325" s="94">
        <v>528.35</v>
      </c>
      <c r="AM325" s="94">
        <v>90.65</v>
      </c>
      <c r="AN325" s="94" t="s">
        <v>780</v>
      </c>
      <c r="AO325" s="111">
        <v>4748.7999999999993</v>
      </c>
      <c r="AP325" s="112">
        <v>4567.5</v>
      </c>
      <c r="AQ325" s="112">
        <v>7910.4</v>
      </c>
      <c r="AR325" s="112">
        <v>0</v>
      </c>
      <c r="AS325" s="113">
        <v>0</v>
      </c>
      <c r="AT325" s="113">
        <v>0</v>
      </c>
      <c r="AU325" s="111">
        <v>0</v>
      </c>
      <c r="AV325" s="112">
        <v>4890.3399999999701</v>
      </c>
      <c r="AW325" s="112">
        <v>4721.9699999999903</v>
      </c>
      <c r="AX325" s="112">
        <v>8387.5499999999993</v>
      </c>
      <c r="AY325" s="113">
        <v>0</v>
      </c>
      <c r="AZ325" s="113">
        <v>2641.75</v>
      </c>
    </row>
    <row r="326" spans="1:52" x14ac:dyDescent="0.25">
      <c r="A326" s="101" t="s">
        <v>991</v>
      </c>
      <c r="B326" s="102" t="s">
        <v>633</v>
      </c>
      <c r="C326" s="102"/>
      <c r="D326" s="102" t="s">
        <v>1049</v>
      </c>
      <c r="E326" s="103">
        <v>1.2600000000000016</v>
      </c>
      <c r="F326" s="104">
        <v>15000</v>
      </c>
      <c r="G326" s="105">
        <f t="shared" si="135"/>
        <v>7500</v>
      </c>
      <c r="H326" s="105">
        <v>116948</v>
      </c>
      <c r="I326" s="106">
        <f t="shared" si="136"/>
        <v>6.4131066798919181E-2</v>
      </c>
      <c r="J326" s="86">
        <v>355</v>
      </c>
      <c r="K326" s="87">
        <v>1054</v>
      </c>
      <c r="L326" s="87">
        <v>970</v>
      </c>
      <c r="M326" s="87">
        <v>998</v>
      </c>
      <c r="N326" s="90">
        <v>1379</v>
      </c>
      <c r="O326" s="90">
        <v>1342</v>
      </c>
      <c r="P326" s="86">
        <f t="shared" si="137"/>
        <v>447.30000000000058</v>
      </c>
      <c r="Q326" s="87">
        <f t="shared" si="138"/>
        <v>1328.0400000000016</v>
      </c>
      <c r="R326" s="87">
        <f t="shared" si="139"/>
        <v>1222.2000000000014</v>
      </c>
      <c r="S326" s="88">
        <f t="shared" si="140"/>
        <v>1257.4800000000016</v>
      </c>
      <c r="T326" s="89">
        <f t="shared" si="141"/>
        <v>1737.5400000000022</v>
      </c>
      <c r="U326" s="89">
        <f t="shared" si="142"/>
        <v>1690.9200000000021</v>
      </c>
      <c r="V326" s="86">
        <v>681</v>
      </c>
      <c r="W326" s="87">
        <v>1323</v>
      </c>
      <c r="X326" s="87">
        <v>233</v>
      </c>
      <c r="Y326" s="87">
        <v>0</v>
      </c>
      <c r="Z326" s="90">
        <v>1831</v>
      </c>
      <c r="AA326" s="90">
        <v>1746</v>
      </c>
      <c r="AB326" s="91">
        <f t="shared" si="143"/>
        <v>5.823100865341861E-3</v>
      </c>
      <c r="AC326" s="91">
        <f t="shared" si="144"/>
        <v>1.1312720183329343E-2</v>
      </c>
      <c r="AD326" s="91">
        <f t="shared" si="145"/>
        <v>1.9923384752197557E-3</v>
      </c>
      <c r="AE326" s="91">
        <f t="shared" si="146"/>
        <v>0</v>
      </c>
      <c r="AF326" s="91">
        <f t="shared" si="147"/>
        <v>1.5656531107842802E-2</v>
      </c>
      <c r="AG326" s="91">
        <f t="shared" si="148"/>
        <v>1.4929712350788384E-2</v>
      </c>
      <c r="AH326" s="92">
        <v>577.67999999999984</v>
      </c>
      <c r="AI326" s="93">
        <v>739.34999999999991</v>
      </c>
      <c r="AJ326" s="93">
        <v>739.34999999999991</v>
      </c>
      <c r="AK326" s="93">
        <v>142.61000000000001</v>
      </c>
      <c r="AL326" s="94">
        <v>2307.0600000000027</v>
      </c>
      <c r="AM326" s="94">
        <v>1268.3599999999999</v>
      </c>
      <c r="AN326" s="94" t="s">
        <v>780</v>
      </c>
      <c r="AO326" s="111">
        <v>11062.27</v>
      </c>
      <c r="AP326" s="112">
        <v>33267.61</v>
      </c>
      <c r="AQ326" s="112">
        <v>30188.050000000003</v>
      </c>
      <c r="AR326" s="112">
        <v>31300.920000000002</v>
      </c>
      <c r="AS326" s="113">
        <v>43880.97</v>
      </c>
      <c r="AT326" s="113">
        <v>42052.579999999994</v>
      </c>
      <c r="AU326" s="111">
        <v>0</v>
      </c>
      <c r="AV326" s="112">
        <v>0</v>
      </c>
      <c r="AW326" s="112">
        <v>0</v>
      </c>
      <c r="AX326" s="112">
        <v>0</v>
      </c>
      <c r="AY326" s="113">
        <v>0</v>
      </c>
      <c r="AZ326" s="113">
        <v>0</v>
      </c>
    </row>
    <row r="327" spans="1:52" x14ac:dyDescent="0.25">
      <c r="A327" s="101" t="s">
        <v>992</v>
      </c>
      <c r="B327" s="102" t="s">
        <v>582</v>
      </c>
      <c r="C327" s="102"/>
      <c r="D327" s="102" t="s">
        <v>1048</v>
      </c>
      <c r="E327" s="103">
        <v>1.2600000000000016</v>
      </c>
      <c r="F327" s="104">
        <v>3000</v>
      </c>
      <c r="G327" s="105">
        <f t="shared" si="135"/>
        <v>1500</v>
      </c>
      <c r="H327" s="105">
        <v>5540</v>
      </c>
      <c r="I327" s="106">
        <f t="shared" si="136"/>
        <v>0.27075812274368233</v>
      </c>
      <c r="J327" s="86">
        <v>0</v>
      </c>
      <c r="K327" s="87">
        <v>0</v>
      </c>
      <c r="L327" s="87">
        <v>1600</v>
      </c>
      <c r="M327" s="87">
        <v>1300</v>
      </c>
      <c r="N327" s="90">
        <v>1541</v>
      </c>
      <c r="O327" s="90">
        <v>1000</v>
      </c>
      <c r="P327" s="86">
        <f t="shared" si="137"/>
        <v>0</v>
      </c>
      <c r="Q327" s="87">
        <f t="shared" si="138"/>
        <v>0</v>
      </c>
      <c r="R327" s="87">
        <f t="shared" si="139"/>
        <v>2016.0000000000025</v>
      </c>
      <c r="S327" s="88">
        <f t="shared" si="140"/>
        <v>1638.000000000002</v>
      </c>
      <c r="T327" s="89">
        <f t="shared" si="141"/>
        <v>1941.6600000000024</v>
      </c>
      <c r="U327" s="89">
        <f t="shared" si="142"/>
        <v>1260.0000000000016</v>
      </c>
      <c r="V327" s="86">
        <v>2374</v>
      </c>
      <c r="W327" s="87">
        <v>2076</v>
      </c>
      <c r="X327" s="87">
        <v>1038</v>
      </c>
      <c r="Y327" s="87">
        <v>1341</v>
      </c>
      <c r="Z327" s="90">
        <v>1089</v>
      </c>
      <c r="AA327" s="90">
        <v>1791</v>
      </c>
      <c r="AB327" s="91">
        <f t="shared" si="143"/>
        <v>0.42851985559566785</v>
      </c>
      <c r="AC327" s="91">
        <f t="shared" si="144"/>
        <v>0.37472924187725631</v>
      </c>
      <c r="AD327" s="91">
        <f t="shared" si="145"/>
        <v>0.18736462093862816</v>
      </c>
      <c r="AE327" s="91">
        <f t="shared" si="146"/>
        <v>0.24205776173285198</v>
      </c>
      <c r="AF327" s="91">
        <f t="shared" si="147"/>
        <v>0.19657039711191335</v>
      </c>
      <c r="AG327" s="91">
        <f t="shared" si="148"/>
        <v>0.32328519855595667</v>
      </c>
      <c r="AH327" s="92">
        <v>6545.8700000000081</v>
      </c>
      <c r="AI327" s="93">
        <v>5284.2399999999943</v>
      </c>
      <c r="AJ327" s="93">
        <v>5284.2399999999943</v>
      </c>
      <c r="AK327" s="93">
        <v>2948.0599999999959</v>
      </c>
      <c r="AL327" s="94">
        <v>2728.95999999999</v>
      </c>
      <c r="AM327" s="94">
        <v>2621.4100000000199</v>
      </c>
      <c r="AN327" s="94" t="s">
        <v>780</v>
      </c>
      <c r="AO327" s="111">
        <v>0</v>
      </c>
      <c r="AP327" s="112">
        <v>0</v>
      </c>
      <c r="AQ327" s="112">
        <v>35380</v>
      </c>
      <c r="AR327" s="112">
        <v>28642</v>
      </c>
      <c r="AS327" s="113">
        <v>33389.840000000004</v>
      </c>
      <c r="AT327" s="113">
        <v>21740</v>
      </c>
      <c r="AU327" s="111">
        <v>0</v>
      </c>
      <c r="AV327" s="112">
        <v>0</v>
      </c>
      <c r="AW327" s="112">
        <v>0</v>
      </c>
      <c r="AX327" s="112">
        <v>0</v>
      </c>
      <c r="AY327" s="113">
        <v>0</v>
      </c>
      <c r="AZ327" s="113">
        <v>0</v>
      </c>
    </row>
    <row r="328" spans="1:52" x14ac:dyDescent="0.25">
      <c r="A328" s="101" t="s">
        <v>552</v>
      </c>
      <c r="B328" s="102" t="s">
        <v>553</v>
      </c>
      <c r="C328" s="102"/>
      <c r="D328" s="102" t="s">
        <v>1048</v>
      </c>
      <c r="E328" s="103">
        <v>1.25</v>
      </c>
      <c r="F328" s="104">
        <v>2000</v>
      </c>
      <c r="G328" s="105">
        <f t="shared" si="135"/>
        <v>1000</v>
      </c>
      <c r="H328" s="105">
        <v>14596</v>
      </c>
      <c r="I328" s="106">
        <f t="shared" si="136"/>
        <v>6.8511921074266929E-2</v>
      </c>
      <c r="J328" s="86">
        <v>349</v>
      </c>
      <c r="K328" s="87">
        <v>134</v>
      </c>
      <c r="L328" s="87">
        <v>256</v>
      </c>
      <c r="M328" s="87">
        <v>0</v>
      </c>
      <c r="N328" s="90">
        <v>50</v>
      </c>
      <c r="O328" s="90">
        <v>0</v>
      </c>
      <c r="P328" s="86">
        <f t="shared" si="137"/>
        <v>436.25</v>
      </c>
      <c r="Q328" s="87">
        <f t="shared" si="138"/>
        <v>167.5</v>
      </c>
      <c r="R328" s="87">
        <f t="shared" si="139"/>
        <v>320</v>
      </c>
      <c r="S328" s="88">
        <f t="shared" si="140"/>
        <v>0</v>
      </c>
      <c r="T328" s="89">
        <f t="shared" si="141"/>
        <v>62.5</v>
      </c>
      <c r="U328" s="89">
        <f t="shared" si="142"/>
        <v>0</v>
      </c>
      <c r="V328" s="86">
        <v>176</v>
      </c>
      <c r="W328" s="87">
        <v>125</v>
      </c>
      <c r="X328" s="87">
        <v>73</v>
      </c>
      <c r="Y328" s="87">
        <v>566</v>
      </c>
      <c r="Z328" s="90">
        <v>267</v>
      </c>
      <c r="AA328" s="90">
        <v>12</v>
      </c>
      <c r="AB328" s="91">
        <f t="shared" si="143"/>
        <v>1.2058098109070978E-2</v>
      </c>
      <c r="AC328" s="91">
        <f t="shared" si="144"/>
        <v>8.5639901342833662E-3</v>
      </c>
      <c r="AD328" s="91">
        <f t="shared" si="145"/>
        <v>5.0013702384214855E-3</v>
      </c>
      <c r="AE328" s="91">
        <f t="shared" si="146"/>
        <v>3.877774732803508E-2</v>
      </c>
      <c r="AF328" s="91">
        <f t="shared" si="147"/>
        <v>1.8292682926829267E-2</v>
      </c>
      <c r="AG328" s="91">
        <f t="shared" si="148"/>
        <v>8.2214305289120303E-4</v>
      </c>
      <c r="AH328" s="92">
        <v>147.36000000000001</v>
      </c>
      <c r="AI328" s="93">
        <v>166.74999999999974</v>
      </c>
      <c r="AJ328" s="93">
        <v>166.74999999999977</v>
      </c>
      <c r="AK328" s="93">
        <v>120.31999999999977</v>
      </c>
      <c r="AL328" s="94">
        <v>481.63</v>
      </c>
      <c r="AM328" s="94">
        <v>15</v>
      </c>
      <c r="AN328" s="94" t="s">
        <v>780</v>
      </c>
      <c r="AO328" s="111">
        <v>6377.1</v>
      </c>
      <c r="AP328" s="112">
        <v>2452.1999999999998</v>
      </c>
      <c r="AQ328" s="112">
        <v>4684.8</v>
      </c>
      <c r="AR328" s="112">
        <v>0</v>
      </c>
      <c r="AS328" s="113">
        <v>925</v>
      </c>
      <c r="AT328" s="113">
        <v>0</v>
      </c>
      <c r="AU328" s="111">
        <v>3394.05</v>
      </c>
      <c r="AV328" s="112">
        <v>2465.0699999999988</v>
      </c>
      <c r="AW328" s="112">
        <v>1461.0799999999967</v>
      </c>
      <c r="AX328" s="112">
        <v>10903.869999999901</v>
      </c>
      <c r="AY328" s="113">
        <v>5133.7199999999903</v>
      </c>
      <c r="AZ328" s="113">
        <v>237</v>
      </c>
    </row>
    <row r="329" spans="1:52" x14ac:dyDescent="0.25">
      <c r="A329" s="101" t="s">
        <v>993</v>
      </c>
      <c r="B329" s="102" t="s">
        <v>475</v>
      </c>
      <c r="C329" s="102"/>
      <c r="D329" s="102" t="s">
        <v>1048</v>
      </c>
      <c r="E329" s="103">
        <v>1.25</v>
      </c>
      <c r="F329" s="104">
        <v>7000</v>
      </c>
      <c r="G329" s="105">
        <f t="shared" si="135"/>
        <v>3500</v>
      </c>
      <c r="H329" s="105">
        <v>6564</v>
      </c>
      <c r="I329" s="106">
        <f t="shared" si="136"/>
        <v>0.53321145642900669</v>
      </c>
      <c r="J329" s="86">
        <v>2515</v>
      </c>
      <c r="K329" s="87">
        <v>2544</v>
      </c>
      <c r="L329" s="87">
        <v>0</v>
      </c>
      <c r="M329" s="87">
        <v>0</v>
      </c>
      <c r="N329" s="90"/>
      <c r="O329" s="90">
        <v>0</v>
      </c>
      <c r="P329" s="86">
        <f t="shared" si="137"/>
        <v>3143.75</v>
      </c>
      <c r="Q329" s="87">
        <f t="shared" si="138"/>
        <v>3180</v>
      </c>
      <c r="R329" s="87">
        <f t="shared" si="139"/>
        <v>0</v>
      </c>
      <c r="S329" s="88">
        <f t="shared" si="140"/>
        <v>0</v>
      </c>
      <c r="T329" s="89">
        <f t="shared" si="141"/>
        <v>0</v>
      </c>
      <c r="U329" s="89">
        <f t="shared" si="142"/>
        <v>0</v>
      </c>
      <c r="V329" s="86">
        <v>2</v>
      </c>
      <c r="W329" s="87">
        <v>0</v>
      </c>
      <c r="X329" s="87">
        <v>-2</v>
      </c>
      <c r="Y329" s="87">
        <v>1930</v>
      </c>
      <c r="Z329" s="90">
        <v>1918</v>
      </c>
      <c r="AA329" s="90">
        <v>2803</v>
      </c>
      <c r="AB329" s="91">
        <f t="shared" si="143"/>
        <v>3.0469226081657528E-4</v>
      </c>
      <c r="AC329" s="91">
        <f t="shared" si="144"/>
        <v>0</v>
      </c>
      <c r="AD329" s="91">
        <f t="shared" si="145"/>
        <v>-3.0469226081657528E-4</v>
      </c>
      <c r="AE329" s="91">
        <f t="shared" si="146"/>
        <v>0.29402803168799513</v>
      </c>
      <c r="AF329" s="91">
        <f t="shared" si="147"/>
        <v>0.29219987812309567</v>
      </c>
      <c r="AG329" s="91">
        <f t="shared" si="148"/>
        <v>0.42702620353443022</v>
      </c>
      <c r="AH329" s="92">
        <v>2.04</v>
      </c>
      <c r="AI329" s="93">
        <v>0</v>
      </c>
      <c r="AJ329" s="93">
        <v>0</v>
      </c>
      <c r="AK329" s="93">
        <v>2412.5</v>
      </c>
      <c r="AL329" s="94">
        <v>3232.1999999999898</v>
      </c>
      <c r="AM329" s="94">
        <v>3771.6299999999301</v>
      </c>
      <c r="AN329" s="94" t="s">
        <v>780</v>
      </c>
      <c r="AO329" s="111">
        <v>32307.14</v>
      </c>
      <c r="AP329" s="112">
        <v>33049.449999999997</v>
      </c>
      <c r="AQ329" s="112">
        <v>0</v>
      </c>
      <c r="AR329" s="112">
        <v>0</v>
      </c>
      <c r="AS329" s="113">
        <v>0</v>
      </c>
      <c r="AT329" s="113">
        <v>0</v>
      </c>
      <c r="AU329" s="111">
        <v>0</v>
      </c>
      <c r="AV329" s="112">
        <v>0</v>
      </c>
      <c r="AW329" s="112">
        <v>0</v>
      </c>
      <c r="AX329" s="112">
        <v>0</v>
      </c>
      <c r="AY329" s="113">
        <v>0</v>
      </c>
      <c r="AZ329" s="113">
        <v>0</v>
      </c>
    </row>
    <row r="330" spans="1:52" x14ac:dyDescent="0.25">
      <c r="A330" s="101" t="s">
        <v>355</v>
      </c>
      <c r="B330" s="102" t="s">
        <v>356</v>
      </c>
      <c r="C330" s="102"/>
      <c r="D330" s="102" t="s">
        <v>1048</v>
      </c>
      <c r="E330" s="103">
        <v>1.2499999999999991</v>
      </c>
      <c r="F330" s="104">
        <v>2000</v>
      </c>
      <c r="G330" s="105">
        <f t="shared" si="135"/>
        <v>1000</v>
      </c>
      <c r="H330" s="105">
        <v>3841</v>
      </c>
      <c r="I330" s="106">
        <f t="shared" si="136"/>
        <v>0.26034886748242647</v>
      </c>
      <c r="J330" s="86">
        <v>500</v>
      </c>
      <c r="K330" s="87">
        <v>0</v>
      </c>
      <c r="L330" s="87">
        <v>200</v>
      </c>
      <c r="M330" s="87">
        <v>100</v>
      </c>
      <c r="N330" s="90">
        <v>440</v>
      </c>
      <c r="O330" s="90">
        <v>690</v>
      </c>
      <c r="P330" s="86">
        <f t="shared" si="137"/>
        <v>624.99999999999955</v>
      </c>
      <c r="Q330" s="87">
        <f t="shared" si="138"/>
        <v>0</v>
      </c>
      <c r="R330" s="87">
        <f t="shared" si="139"/>
        <v>249.99999999999983</v>
      </c>
      <c r="S330" s="88">
        <f t="shared" si="140"/>
        <v>124.99999999999991</v>
      </c>
      <c r="T330" s="89">
        <f t="shared" si="141"/>
        <v>549.99999999999966</v>
      </c>
      <c r="U330" s="89">
        <f t="shared" si="142"/>
        <v>862.49999999999943</v>
      </c>
      <c r="V330" s="86">
        <v>1735</v>
      </c>
      <c r="W330" s="87">
        <v>1257</v>
      </c>
      <c r="X330" s="87">
        <v>1867</v>
      </c>
      <c r="Y330" s="87">
        <v>2121</v>
      </c>
      <c r="Z330" s="90">
        <v>1624</v>
      </c>
      <c r="AA330" s="90">
        <v>1475</v>
      </c>
      <c r="AB330" s="91">
        <f t="shared" si="143"/>
        <v>0.45170528508200991</v>
      </c>
      <c r="AC330" s="91">
        <f t="shared" si="144"/>
        <v>0.32725852642541003</v>
      </c>
      <c r="AD330" s="91">
        <f t="shared" si="145"/>
        <v>0.48607133558969018</v>
      </c>
      <c r="AE330" s="91">
        <f t="shared" si="146"/>
        <v>0.55219994793022653</v>
      </c>
      <c r="AF330" s="91">
        <f t="shared" si="147"/>
        <v>0.42280656079146056</v>
      </c>
      <c r="AG330" s="91">
        <f t="shared" si="148"/>
        <v>0.38401457953657903</v>
      </c>
      <c r="AH330" s="92">
        <v>637.50999999999988</v>
      </c>
      <c r="AI330" s="93">
        <v>477.04999999999939</v>
      </c>
      <c r="AJ330" s="93">
        <v>477.04999999999927</v>
      </c>
      <c r="AK330" s="93">
        <v>365.2999999999987</v>
      </c>
      <c r="AL330" s="94">
        <v>324.759999999998</v>
      </c>
      <c r="AM330" s="94">
        <v>574.83000000000004</v>
      </c>
      <c r="AN330" s="94" t="s">
        <v>779</v>
      </c>
      <c r="AO330" s="111">
        <v>3365</v>
      </c>
      <c r="AP330" s="112">
        <v>0</v>
      </c>
      <c r="AQ330" s="112">
        <v>1243</v>
      </c>
      <c r="AR330" s="112">
        <v>619</v>
      </c>
      <c r="AS330" s="113">
        <v>2718.6</v>
      </c>
      <c r="AT330" s="113">
        <v>4252.3500000000004</v>
      </c>
      <c r="AU330" s="111">
        <v>12684.27999999999</v>
      </c>
      <c r="AV330" s="112">
        <v>9250.7599999999948</v>
      </c>
      <c r="AW330" s="112">
        <v>13386.679999999989</v>
      </c>
      <c r="AX330" s="112">
        <v>15171.07</v>
      </c>
      <c r="AY330" s="113">
        <v>11501.16</v>
      </c>
      <c r="AZ330" s="113">
        <v>10771.289999999901</v>
      </c>
    </row>
    <row r="331" spans="1:52" x14ac:dyDescent="0.25">
      <c r="A331" s="101" t="s">
        <v>994</v>
      </c>
      <c r="B331" s="102" t="s">
        <v>588</v>
      </c>
      <c r="C331" s="102"/>
      <c r="D331" s="102" t="s">
        <v>1048</v>
      </c>
      <c r="E331" s="103">
        <v>1.240000000000002</v>
      </c>
      <c r="F331" s="104">
        <v>3000</v>
      </c>
      <c r="G331" s="105">
        <f t="shared" si="135"/>
        <v>1500</v>
      </c>
      <c r="H331" s="105">
        <v>7585</v>
      </c>
      <c r="I331" s="106">
        <f t="shared" si="136"/>
        <v>0.19775873434410018</v>
      </c>
      <c r="J331" s="86">
        <v>911</v>
      </c>
      <c r="K331" s="87">
        <v>1007</v>
      </c>
      <c r="L331" s="87">
        <v>1110</v>
      </c>
      <c r="M331" s="87">
        <v>2093</v>
      </c>
      <c r="N331" s="90">
        <v>1766</v>
      </c>
      <c r="O331" s="90">
        <v>3374</v>
      </c>
      <c r="P331" s="86">
        <f t="shared" si="137"/>
        <v>1129.6400000000019</v>
      </c>
      <c r="Q331" s="87">
        <f t="shared" si="138"/>
        <v>1248.6800000000021</v>
      </c>
      <c r="R331" s="87">
        <f t="shared" si="139"/>
        <v>1376.4000000000021</v>
      </c>
      <c r="S331" s="88">
        <f t="shared" si="140"/>
        <v>2595.3200000000043</v>
      </c>
      <c r="T331" s="89">
        <f t="shared" si="141"/>
        <v>2189.8400000000033</v>
      </c>
      <c r="U331" s="89">
        <f t="shared" si="142"/>
        <v>4183.7600000000066</v>
      </c>
      <c r="V331" s="86">
        <v>511</v>
      </c>
      <c r="W331" s="87">
        <v>701</v>
      </c>
      <c r="X331" s="87">
        <v>743</v>
      </c>
      <c r="Y331" s="87">
        <v>491</v>
      </c>
      <c r="Z331" s="90">
        <v>863</v>
      </c>
      <c r="AA331" s="90">
        <v>814</v>
      </c>
      <c r="AB331" s="91">
        <f t="shared" si="143"/>
        <v>6.7369808833223466E-2</v>
      </c>
      <c r="AC331" s="91">
        <f t="shared" si="144"/>
        <v>9.2419248516809493E-2</v>
      </c>
      <c r="AD331" s="91">
        <f t="shared" si="145"/>
        <v>9.7956493078444298E-2</v>
      </c>
      <c r="AE331" s="91">
        <f t="shared" si="146"/>
        <v>6.4733025708635469E-2</v>
      </c>
      <c r="AF331" s="91">
        <f t="shared" si="147"/>
        <v>0.11377719182597232</v>
      </c>
      <c r="AG331" s="91">
        <f t="shared" si="148"/>
        <v>0.10731707317073171</v>
      </c>
      <c r="AH331" s="92">
        <v>830.64000000000033</v>
      </c>
      <c r="AI331" s="93">
        <v>1196.3499999999972</v>
      </c>
      <c r="AJ331" s="93">
        <v>1196.349999999997</v>
      </c>
      <c r="AK331" s="93">
        <v>1521.0899999999956</v>
      </c>
      <c r="AL331" s="94">
        <v>1032.28999999999</v>
      </c>
      <c r="AM331" s="94">
        <v>263.11</v>
      </c>
      <c r="AN331" s="94" t="s">
        <v>780</v>
      </c>
      <c r="AO331" s="111">
        <v>20103.77</v>
      </c>
      <c r="AP331" s="112">
        <v>21719.649999999998</v>
      </c>
      <c r="AQ331" s="112">
        <v>25247.249999999996</v>
      </c>
      <c r="AR331" s="112">
        <v>48153.31</v>
      </c>
      <c r="AS331" s="113">
        <v>38682.44</v>
      </c>
      <c r="AT331" s="113">
        <v>51873.169999999991</v>
      </c>
      <c r="AU331" s="111">
        <v>0</v>
      </c>
      <c r="AV331" s="112">
        <v>0</v>
      </c>
      <c r="AW331" s="112">
        <v>0</v>
      </c>
      <c r="AX331" s="112">
        <v>0</v>
      </c>
      <c r="AY331" s="113">
        <v>0</v>
      </c>
      <c r="AZ331" s="113">
        <v>0</v>
      </c>
    </row>
    <row r="332" spans="1:52" x14ac:dyDescent="0.25">
      <c r="A332" s="101" t="s">
        <v>466</v>
      </c>
      <c r="B332" s="102" t="s">
        <v>467</v>
      </c>
      <c r="C332" s="102"/>
      <c r="D332" s="102" t="s">
        <v>1048</v>
      </c>
      <c r="E332" s="103">
        <v>1.2400000000000002</v>
      </c>
      <c r="F332" s="104">
        <v>6000</v>
      </c>
      <c r="G332" s="105">
        <f t="shared" si="135"/>
        <v>3000</v>
      </c>
      <c r="H332" s="105">
        <v>14976</v>
      </c>
      <c r="I332" s="106">
        <f t="shared" si="136"/>
        <v>0.20032051282051283</v>
      </c>
      <c r="J332" s="86">
        <v>1360</v>
      </c>
      <c r="K332" s="87">
        <v>1406</v>
      </c>
      <c r="L332" s="87">
        <v>400</v>
      </c>
      <c r="M332" s="87">
        <v>338</v>
      </c>
      <c r="N332" s="90"/>
      <c r="O332" s="90">
        <v>0</v>
      </c>
      <c r="P332" s="86">
        <f t="shared" si="137"/>
        <v>1686.4000000000003</v>
      </c>
      <c r="Q332" s="87">
        <f t="shared" si="138"/>
        <v>1743.4400000000003</v>
      </c>
      <c r="R332" s="87">
        <f t="shared" si="139"/>
        <v>496.00000000000011</v>
      </c>
      <c r="S332" s="88">
        <f t="shared" si="140"/>
        <v>419.12000000000006</v>
      </c>
      <c r="T332" s="89">
        <f t="shared" si="141"/>
        <v>0</v>
      </c>
      <c r="U332" s="89">
        <f t="shared" si="142"/>
        <v>0</v>
      </c>
      <c r="V332" s="86">
        <v>1589</v>
      </c>
      <c r="W332" s="87">
        <v>631</v>
      </c>
      <c r="X332" s="87">
        <v>876</v>
      </c>
      <c r="Y332" s="87">
        <v>2218</v>
      </c>
      <c r="Z332" s="90">
        <v>360</v>
      </c>
      <c r="AA332" s="90">
        <v>38</v>
      </c>
      <c r="AB332" s="91">
        <f t="shared" si="143"/>
        <v>0.10610309829059829</v>
      </c>
      <c r="AC332" s="91">
        <f t="shared" si="144"/>
        <v>4.21340811965812E-2</v>
      </c>
      <c r="AD332" s="91">
        <f t="shared" si="145"/>
        <v>5.8493589743589744E-2</v>
      </c>
      <c r="AE332" s="91">
        <f t="shared" si="146"/>
        <v>0.14810363247863248</v>
      </c>
      <c r="AF332" s="91">
        <f t="shared" si="147"/>
        <v>2.403846153846154E-2</v>
      </c>
      <c r="AG332" s="91">
        <f t="shared" si="148"/>
        <v>2.5373931623931625E-3</v>
      </c>
      <c r="AH332" s="92">
        <v>473.67000000000007</v>
      </c>
      <c r="AI332" s="93">
        <v>709.66</v>
      </c>
      <c r="AJ332" s="93">
        <v>709.65999999999985</v>
      </c>
      <c r="AK332" s="93">
        <v>1101.9499999999955</v>
      </c>
      <c r="AL332" s="94">
        <v>952.75000000001103</v>
      </c>
      <c r="AM332" s="94">
        <v>26.58</v>
      </c>
      <c r="AN332" s="94" t="s">
        <v>780</v>
      </c>
      <c r="AO332" s="111">
        <v>17124</v>
      </c>
      <c r="AP332" s="112">
        <v>18363.769999999997</v>
      </c>
      <c r="AQ332" s="112">
        <v>5074</v>
      </c>
      <c r="AR332" s="112">
        <v>4166.6899999999996</v>
      </c>
      <c r="AS332" s="113">
        <v>0</v>
      </c>
      <c r="AT332" s="113">
        <v>0</v>
      </c>
      <c r="AU332" s="111">
        <v>20820.350000000049</v>
      </c>
      <c r="AV332" s="112">
        <v>8802.5999999999967</v>
      </c>
      <c r="AW332" s="112">
        <v>12227.149999999991</v>
      </c>
      <c r="AX332" s="112">
        <v>29121.3500000003</v>
      </c>
      <c r="AY332" s="113">
        <v>4691.5799999999899</v>
      </c>
      <c r="AZ332" s="113">
        <v>492.46</v>
      </c>
    </row>
    <row r="333" spans="1:52" x14ac:dyDescent="0.25">
      <c r="A333" s="101" t="s">
        <v>112</v>
      </c>
      <c r="B333" s="102" t="s">
        <v>113</v>
      </c>
      <c r="C333" s="102"/>
      <c r="D333" s="102" t="s">
        <v>1048</v>
      </c>
      <c r="E333" s="103">
        <v>1.2400000000000002</v>
      </c>
      <c r="F333" s="104">
        <v>200</v>
      </c>
      <c r="G333" s="105">
        <f t="shared" si="135"/>
        <v>100</v>
      </c>
      <c r="H333" s="105">
        <v>396</v>
      </c>
      <c r="I333" s="106">
        <f t="shared" si="136"/>
        <v>0.25252525252525254</v>
      </c>
      <c r="J333" s="86">
        <v>0</v>
      </c>
      <c r="K333" s="87">
        <v>0</v>
      </c>
      <c r="L333" s="87">
        <v>0</v>
      </c>
      <c r="M333" s="87">
        <v>0</v>
      </c>
      <c r="N333" s="90">
        <v>200</v>
      </c>
      <c r="O333" s="90">
        <v>200</v>
      </c>
      <c r="P333" s="86">
        <f t="shared" si="137"/>
        <v>0</v>
      </c>
      <c r="Q333" s="87">
        <f t="shared" si="138"/>
        <v>0</v>
      </c>
      <c r="R333" s="87">
        <f t="shared" si="139"/>
        <v>0</v>
      </c>
      <c r="S333" s="88">
        <f t="shared" si="140"/>
        <v>0</v>
      </c>
      <c r="T333" s="89">
        <f t="shared" si="141"/>
        <v>248.00000000000006</v>
      </c>
      <c r="U333" s="89">
        <f t="shared" si="142"/>
        <v>248.00000000000006</v>
      </c>
      <c r="V333" s="86">
        <v>0</v>
      </c>
      <c r="W333" s="87">
        <v>0</v>
      </c>
      <c r="X333" s="87">
        <v>0</v>
      </c>
      <c r="Y333" s="87">
        <v>0</v>
      </c>
      <c r="Z333" s="90">
        <v>0</v>
      </c>
      <c r="AA333" s="90">
        <v>1</v>
      </c>
      <c r="AB333" s="91">
        <f t="shared" si="143"/>
        <v>0</v>
      </c>
      <c r="AC333" s="91">
        <f t="shared" si="144"/>
        <v>0</v>
      </c>
      <c r="AD333" s="91">
        <f t="shared" si="145"/>
        <v>0</v>
      </c>
      <c r="AE333" s="91">
        <f t="shared" si="146"/>
        <v>0</v>
      </c>
      <c r="AF333" s="91">
        <f t="shared" si="147"/>
        <v>0</v>
      </c>
      <c r="AG333" s="91">
        <f t="shared" si="148"/>
        <v>2.5252525252525255E-3</v>
      </c>
      <c r="AH333" s="92">
        <v>0</v>
      </c>
      <c r="AI333" s="93">
        <v>0</v>
      </c>
      <c r="AJ333" s="93">
        <v>0</v>
      </c>
      <c r="AK333" s="93">
        <v>0</v>
      </c>
      <c r="AL333" s="94">
        <v>0</v>
      </c>
      <c r="AM333" s="94">
        <v>1.24</v>
      </c>
      <c r="AN333" s="94" t="s">
        <v>779</v>
      </c>
      <c r="AO333" s="111">
        <v>0</v>
      </c>
      <c r="AP333" s="112">
        <v>0</v>
      </c>
      <c r="AQ333" s="112">
        <v>0</v>
      </c>
      <c r="AR333" s="112">
        <v>0</v>
      </c>
      <c r="AS333" s="113">
        <v>354</v>
      </c>
      <c r="AT333" s="113">
        <v>348</v>
      </c>
      <c r="AU333" s="111">
        <v>0</v>
      </c>
      <c r="AV333" s="112">
        <v>0</v>
      </c>
      <c r="AW333" s="112">
        <v>0</v>
      </c>
      <c r="AX333" s="112">
        <v>0</v>
      </c>
      <c r="AY333" s="113">
        <v>0</v>
      </c>
      <c r="AZ333" s="113">
        <v>2.99</v>
      </c>
    </row>
    <row r="334" spans="1:52" x14ac:dyDescent="0.25">
      <c r="A334" s="101" t="s">
        <v>654</v>
      </c>
      <c r="B334" s="102" t="s">
        <v>655</v>
      </c>
      <c r="C334" s="102"/>
      <c r="D334" s="102" t="s">
        <v>1048</v>
      </c>
      <c r="E334" s="103">
        <v>1.2399999999999949</v>
      </c>
      <c r="F334" s="104">
        <v>800</v>
      </c>
      <c r="G334" s="105">
        <f t="shared" si="135"/>
        <v>400</v>
      </c>
      <c r="H334" s="105">
        <v>15151</v>
      </c>
      <c r="I334" s="106">
        <f t="shared" si="136"/>
        <v>2.6400897630519438E-2</v>
      </c>
      <c r="J334" s="86">
        <v>150</v>
      </c>
      <c r="K334" s="87">
        <v>100</v>
      </c>
      <c r="L334" s="87">
        <v>50</v>
      </c>
      <c r="M334" s="87">
        <v>0</v>
      </c>
      <c r="N334" s="90"/>
      <c r="O334" s="90">
        <v>0</v>
      </c>
      <c r="P334" s="86">
        <f t="shared" si="137"/>
        <v>185.99999999999923</v>
      </c>
      <c r="Q334" s="87">
        <f t="shared" si="138"/>
        <v>123.99999999999949</v>
      </c>
      <c r="R334" s="87">
        <f t="shared" si="139"/>
        <v>61.999999999999744</v>
      </c>
      <c r="S334" s="88">
        <f t="shared" si="140"/>
        <v>0</v>
      </c>
      <c r="T334" s="89">
        <f t="shared" si="141"/>
        <v>0</v>
      </c>
      <c r="U334" s="89">
        <f t="shared" si="142"/>
        <v>0</v>
      </c>
      <c r="V334" s="86">
        <v>120</v>
      </c>
      <c r="W334" s="87">
        <v>93</v>
      </c>
      <c r="X334" s="87">
        <v>107</v>
      </c>
      <c r="Y334" s="87">
        <v>81</v>
      </c>
      <c r="Z334" s="90">
        <v>62</v>
      </c>
      <c r="AA334" s="90">
        <v>63</v>
      </c>
      <c r="AB334" s="91">
        <f t="shared" si="143"/>
        <v>7.9202692891558318E-3</v>
      </c>
      <c r="AC334" s="91">
        <f t="shared" si="144"/>
        <v>6.1382086990957692E-3</v>
      </c>
      <c r="AD334" s="91">
        <f t="shared" si="145"/>
        <v>7.06224011616395E-3</v>
      </c>
      <c r="AE334" s="91">
        <f t="shared" si="146"/>
        <v>5.3461817701801863E-3</v>
      </c>
      <c r="AF334" s="91">
        <f t="shared" si="147"/>
        <v>4.0921391327305131E-3</v>
      </c>
      <c r="AG334" s="91">
        <f t="shared" si="148"/>
        <v>4.1581413768068112E-3</v>
      </c>
      <c r="AH334" s="92">
        <v>147.83000000000001</v>
      </c>
      <c r="AI334" s="93">
        <v>107.61999999999989</v>
      </c>
      <c r="AJ334" s="93">
        <v>107.61999999999991</v>
      </c>
      <c r="AK334" s="93">
        <v>104.16999999999989</v>
      </c>
      <c r="AL334" s="94">
        <v>69.55</v>
      </c>
      <c r="AM334" s="94">
        <v>77.75</v>
      </c>
      <c r="AN334" s="94" t="s">
        <v>780</v>
      </c>
      <c r="AO334" s="111">
        <v>5575.5</v>
      </c>
      <c r="AP334" s="112">
        <v>3750</v>
      </c>
      <c r="AQ334" s="112">
        <v>1804</v>
      </c>
      <c r="AR334" s="112">
        <v>0</v>
      </c>
      <c r="AS334" s="113">
        <v>0</v>
      </c>
      <c r="AT334" s="113">
        <v>0</v>
      </c>
      <c r="AU334" s="111">
        <v>4651.4299999999994</v>
      </c>
      <c r="AV334" s="112">
        <v>3588.75</v>
      </c>
      <c r="AW334" s="112">
        <v>4117.1099999999997</v>
      </c>
      <c r="AX334" s="112">
        <v>3107.05</v>
      </c>
      <c r="AY334" s="113">
        <v>2362.4899999999998</v>
      </c>
      <c r="AZ334" s="113">
        <v>2405.6</v>
      </c>
    </row>
    <row r="335" spans="1:52" x14ac:dyDescent="0.25">
      <c r="A335" s="101" t="s">
        <v>648</v>
      </c>
      <c r="B335" s="102" t="s">
        <v>649</v>
      </c>
      <c r="C335" s="102"/>
      <c r="D335" s="102" t="s">
        <v>1048</v>
      </c>
      <c r="E335" s="103">
        <v>1.2299999999999969</v>
      </c>
      <c r="F335" s="104">
        <v>10000</v>
      </c>
      <c r="G335" s="105">
        <f t="shared" si="135"/>
        <v>5000</v>
      </c>
      <c r="H335" s="105">
        <v>180908</v>
      </c>
      <c r="I335" s="106">
        <f t="shared" si="136"/>
        <v>2.7638357618236895E-2</v>
      </c>
      <c r="J335" s="86">
        <v>2000</v>
      </c>
      <c r="K335" s="87">
        <v>2200</v>
      </c>
      <c r="L335" s="87">
        <v>6428</v>
      </c>
      <c r="M335" s="87">
        <v>1079</v>
      </c>
      <c r="N335" s="90">
        <v>3990</v>
      </c>
      <c r="O335" s="90">
        <v>2342</v>
      </c>
      <c r="P335" s="86">
        <f t="shared" si="137"/>
        <v>2459.9999999999936</v>
      </c>
      <c r="Q335" s="87">
        <f t="shared" si="138"/>
        <v>2705.9999999999932</v>
      </c>
      <c r="R335" s="87">
        <f t="shared" si="139"/>
        <v>7906.4399999999796</v>
      </c>
      <c r="S335" s="88">
        <f t="shared" si="140"/>
        <v>1327.1699999999967</v>
      </c>
      <c r="T335" s="89">
        <f t="shared" si="141"/>
        <v>4907.6999999999871</v>
      </c>
      <c r="U335" s="89">
        <f t="shared" si="142"/>
        <v>2880.6599999999926</v>
      </c>
      <c r="V335" s="86">
        <v>3370</v>
      </c>
      <c r="W335" s="87">
        <v>4244</v>
      </c>
      <c r="X335" s="87">
        <v>2904</v>
      </c>
      <c r="Y335" s="87">
        <v>4200</v>
      </c>
      <c r="Z335" s="90">
        <v>3403</v>
      </c>
      <c r="AA335" s="90">
        <v>3987</v>
      </c>
      <c r="AB335" s="91">
        <f t="shared" si="143"/>
        <v>1.8628253034691667E-2</v>
      </c>
      <c r="AC335" s="91">
        <f t="shared" si="144"/>
        <v>2.3459437946359477E-2</v>
      </c>
      <c r="AD335" s="91">
        <f t="shared" si="145"/>
        <v>1.6052358104671989E-2</v>
      </c>
      <c r="AE335" s="91">
        <f t="shared" si="146"/>
        <v>2.321622039931899E-2</v>
      </c>
      <c r="AF335" s="91">
        <f t="shared" si="147"/>
        <v>1.8810666194972028E-2</v>
      </c>
      <c r="AG335" s="91">
        <f t="shared" si="148"/>
        <v>2.2038826364782098E-2</v>
      </c>
      <c r="AH335" s="92">
        <v>4220.0599999999959</v>
      </c>
      <c r="AI335" s="93">
        <v>4965.6299999999901</v>
      </c>
      <c r="AJ335" s="93">
        <v>4965.6299999999901</v>
      </c>
      <c r="AK335" s="93">
        <v>2806.2399999999975</v>
      </c>
      <c r="AL335" s="94">
        <v>4629.87</v>
      </c>
      <c r="AM335" s="94">
        <v>3692.0600000000099</v>
      </c>
      <c r="AN335" s="94" t="s">
        <v>780</v>
      </c>
      <c r="AO335" s="111">
        <v>71600</v>
      </c>
      <c r="AP335" s="112">
        <v>78822</v>
      </c>
      <c r="AQ335" s="112">
        <v>229479.6</v>
      </c>
      <c r="AR335" s="112">
        <v>38628.199999999997</v>
      </c>
      <c r="AS335" s="113">
        <v>142642.5</v>
      </c>
      <c r="AT335" s="113">
        <v>83726.5</v>
      </c>
      <c r="AU335" s="111">
        <v>124956.06</v>
      </c>
      <c r="AV335" s="112">
        <v>156875.2099999997</v>
      </c>
      <c r="AW335" s="112">
        <v>106890.45999999948</v>
      </c>
      <c r="AX335" s="112">
        <v>154551.96999999799</v>
      </c>
      <c r="AY335" s="113">
        <v>125004.83999999901</v>
      </c>
      <c r="AZ335" s="113">
        <v>146227.31</v>
      </c>
    </row>
    <row r="336" spans="1:52" x14ac:dyDescent="0.25">
      <c r="A336" s="101" t="s">
        <v>352</v>
      </c>
      <c r="B336" s="102" t="s">
        <v>353</v>
      </c>
      <c r="C336" s="102"/>
      <c r="D336" s="102" t="s">
        <v>1048</v>
      </c>
      <c r="E336" s="103">
        <v>1.2199999999999998</v>
      </c>
      <c r="F336" s="104">
        <v>2000</v>
      </c>
      <c r="G336" s="105">
        <f t="shared" si="135"/>
        <v>1000</v>
      </c>
      <c r="H336" s="105">
        <v>7178</v>
      </c>
      <c r="I336" s="106">
        <f t="shared" si="136"/>
        <v>0.13931457230426303</v>
      </c>
      <c r="J336" s="86">
        <v>0</v>
      </c>
      <c r="K336" s="87">
        <v>3500</v>
      </c>
      <c r="L336" s="87">
        <v>0</v>
      </c>
      <c r="M336" s="87">
        <v>2000</v>
      </c>
      <c r="N336" s="90">
        <v>12000</v>
      </c>
      <c r="O336" s="90">
        <v>0</v>
      </c>
      <c r="P336" s="86">
        <f t="shared" si="137"/>
        <v>0</v>
      </c>
      <c r="Q336" s="87">
        <f t="shared" si="138"/>
        <v>4269.9999999999991</v>
      </c>
      <c r="R336" s="87">
        <f t="shared" si="139"/>
        <v>0</v>
      </c>
      <c r="S336" s="88">
        <f t="shared" si="140"/>
        <v>2439.9999999999995</v>
      </c>
      <c r="T336" s="89">
        <f t="shared" si="141"/>
        <v>14639.999999999996</v>
      </c>
      <c r="U336" s="89">
        <f t="shared" si="142"/>
        <v>0</v>
      </c>
      <c r="V336" s="86">
        <v>84</v>
      </c>
      <c r="W336" s="87">
        <v>706</v>
      </c>
      <c r="X336" s="87">
        <v>653</v>
      </c>
      <c r="Y336" s="87">
        <v>3528</v>
      </c>
      <c r="Z336" s="90">
        <v>3406</v>
      </c>
      <c r="AA336" s="90">
        <v>3645</v>
      </c>
      <c r="AB336" s="91">
        <f t="shared" si="143"/>
        <v>1.1702424073558095E-2</v>
      </c>
      <c r="AC336" s="91">
        <f t="shared" si="144"/>
        <v>9.8356088046809703E-2</v>
      </c>
      <c r="AD336" s="91">
        <f t="shared" si="145"/>
        <v>9.0972415714683758E-2</v>
      </c>
      <c r="AE336" s="91">
        <f t="shared" si="146"/>
        <v>0.49150181108943997</v>
      </c>
      <c r="AF336" s="91">
        <f t="shared" si="147"/>
        <v>0.47450543326831984</v>
      </c>
      <c r="AG336" s="91">
        <f t="shared" si="148"/>
        <v>0.50780161604903873</v>
      </c>
      <c r="AH336" s="92">
        <v>12.93</v>
      </c>
      <c r="AI336" s="93">
        <v>124.14999999999939</v>
      </c>
      <c r="AJ336" s="93">
        <v>124.14999999999938</v>
      </c>
      <c r="AK336" s="93">
        <v>520.79999999999882</v>
      </c>
      <c r="AL336" s="94">
        <v>3389.1400000000099</v>
      </c>
      <c r="AM336" s="94">
        <v>8371.95999999997</v>
      </c>
      <c r="AN336" s="94" t="s">
        <v>779</v>
      </c>
      <c r="AO336" s="111">
        <v>0</v>
      </c>
      <c r="AP336" s="112">
        <v>33320</v>
      </c>
      <c r="AQ336" s="112">
        <v>0</v>
      </c>
      <c r="AR336" s="112">
        <v>18180</v>
      </c>
      <c r="AS336" s="113">
        <v>72960</v>
      </c>
      <c r="AT336" s="113">
        <v>0</v>
      </c>
      <c r="AU336" s="111">
        <v>836.96999999999991</v>
      </c>
      <c r="AV336" s="112">
        <v>7042.9500000000016</v>
      </c>
      <c r="AW336" s="112">
        <v>6504.3599999999988</v>
      </c>
      <c r="AX336" s="112">
        <v>35247.269999999997</v>
      </c>
      <c r="AY336" s="113">
        <v>33456.539999999797</v>
      </c>
      <c r="AZ336" s="113">
        <v>32407.280000000101</v>
      </c>
    </row>
    <row r="337" spans="1:52" x14ac:dyDescent="0.25">
      <c r="A337" s="101" t="s">
        <v>468</v>
      </c>
      <c r="B337" s="102" t="s">
        <v>469</v>
      </c>
      <c r="C337" s="102"/>
      <c r="D337" s="102" t="s">
        <v>1048</v>
      </c>
      <c r="E337" s="103">
        <v>1.2199999999999989</v>
      </c>
      <c r="F337" s="104">
        <v>165.2</v>
      </c>
      <c r="G337" s="105">
        <f t="shared" si="135"/>
        <v>82.6</v>
      </c>
      <c r="H337" s="105">
        <v>100</v>
      </c>
      <c r="I337" s="106">
        <f t="shared" si="136"/>
        <v>0.82599999999999996</v>
      </c>
      <c r="J337" s="86">
        <v>0</v>
      </c>
      <c r="K337" s="87">
        <v>0</v>
      </c>
      <c r="L337" s="87">
        <v>0</v>
      </c>
      <c r="M337" s="87">
        <v>0</v>
      </c>
      <c r="N337" s="90"/>
      <c r="O337" s="90">
        <v>200</v>
      </c>
      <c r="P337" s="86">
        <f t="shared" si="137"/>
        <v>0</v>
      </c>
      <c r="Q337" s="87">
        <f t="shared" si="138"/>
        <v>0</v>
      </c>
      <c r="R337" s="87">
        <f t="shared" si="139"/>
        <v>0</v>
      </c>
      <c r="S337" s="88">
        <f t="shared" si="140"/>
        <v>0</v>
      </c>
      <c r="T337" s="89">
        <f t="shared" si="141"/>
        <v>0</v>
      </c>
      <c r="U337" s="89">
        <f t="shared" si="142"/>
        <v>243.99999999999977</v>
      </c>
      <c r="V337" s="86">
        <v>91</v>
      </c>
      <c r="W337" s="87">
        <v>28</v>
      </c>
      <c r="X337" s="87">
        <v>85</v>
      </c>
      <c r="Y337" s="87">
        <v>99</v>
      </c>
      <c r="Z337" s="90">
        <v>110</v>
      </c>
      <c r="AA337" s="90">
        <v>142</v>
      </c>
      <c r="AB337" s="91">
        <f t="shared" si="143"/>
        <v>0.91</v>
      </c>
      <c r="AC337" s="91">
        <f t="shared" si="144"/>
        <v>0.28000000000000003</v>
      </c>
      <c r="AD337" s="91">
        <f t="shared" si="145"/>
        <v>0.85</v>
      </c>
      <c r="AE337" s="91">
        <f t="shared" si="146"/>
        <v>0.99</v>
      </c>
      <c r="AF337" s="91">
        <f t="shared" si="147"/>
        <v>1.1000000000000001</v>
      </c>
      <c r="AG337" s="91">
        <f t="shared" si="148"/>
        <v>1.42</v>
      </c>
      <c r="AH337" s="92">
        <v>175.73</v>
      </c>
      <c r="AI337" s="93">
        <v>27.039999999999985</v>
      </c>
      <c r="AJ337" s="93">
        <v>27.039999999999992</v>
      </c>
      <c r="AK337" s="93">
        <v>21.699999999999992</v>
      </c>
      <c r="AL337" s="94">
        <v>26.05</v>
      </c>
      <c r="AM337" s="94">
        <v>8.6199999999999903</v>
      </c>
      <c r="AN337" s="94" t="s">
        <v>780</v>
      </c>
      <c r="AO337" s="111">
        <v>0</v>
      </c>
      <c r="AP337" s="112">
        <v>0</v>
      </c>
      <c r="AQ337" s="112">
        <v>0</v>
      </c>
      <c r="AR337" s="112">
        <v>0</v>
      </c>
      <c r="AS337" s="113">
        <v>0</v>
      </c>
      <c r="AT337" s="113">
        <v>2614</v>
      </c>
      <c r="AU337" s="111">
        <v>1391.49</v>
      </c>
      <c r="AV337" s="112">
        <v>400.2</v>
      </c>
      <c r="AW337" s="112">
        <v>1153.9000000000001</v>
      </c>
      <c r="AX337" s="112">
        <v>1344.72999999999</v>
      </c>
      <c r="AY337" s="113">
        <v>1503.78</v>
      </c>
      <c r="AZ337" s="113">
        <v>1900.0599999999899</v>
      </c>
    </row>
    <row r="338" spans="1:52" x14ac:dyDescent="0.25">
      <c r="A338" s="101" t="s">
        <v>574</v>
      </c>
      <c r="B338" s="102" t="s">
        <v>575</v>
      </c>
      <c r="C338" s="102"/>
      <c r="D338" s="102" t="s">
        <v>1048</v>
      </c>
      <c r="E338" s="103">
        <v>1.2199999999999989</v>
      </c>
      <c r="F338" s="104">
        <v>3000</v>
      </c>
      <c r="G338" s="105">
        <f t="shared" si="135"/>
        <v>1500</v>
      </c>
      <c r="H338" s="105">
        <v>3174</v>
      </c>
      <c r="I338" s="106">
        <f t="shared" si="136"/>
        <v>0.47258979206049151</v>
      </c>
      <c r="J338" s="86">
        <v>0</v>
      </c>
      <c r="K338" s="87">
        <v>231</v>
      </c>
      <c r="L338" s="87">
        <v>0</v>
      </c>
      <c r="M338" s="87">
        <v>0</v>
      </c>
      <c r="N338" s="90"/>
      <c r="O338" s="90">
        <v>390</v>
      </c>
      <c r="P338" s="86">
        <f t="shared" si="137"/>
        <v>0</v>
      </c>
      <c r="Q338" s="87">
        <f t="shared" si="138"/>
        <v>281.81999999999971</v>
      </c>
      <c r="R338" s="87">
        <f t="shared" si="139"/>
        <v>0</v>
      </c>
      <c r="S338" s="88">
        <f t="shared" si="140"/>
        <v>0</v>
      </c>
      <c r="T338" s="89">
        <f t="shared" si="141"/>
        <v>0</v>
      </c>
      <c r="U338" s="89">
        <f t="shared" si="142"/>
        <v>475.79999999999956</v>
      </c>
      <c r="V338" s="86">
        <v>2101</v>
      </c>
      <c r="W338" s="87">
        <v>1871</v>
      </c>
      <c r="X338" s="87">
        <v>2321</v>
      </c>
      <c r="Y338" s="87">
        <v>2290</v>
      </c>
      <c r="Z338" s="90">
        <v>2355</v>
      </c>
      <c r="AA338" s="90">
        <v>1663</v>
      </c>
      <c r="AB338" s="91">
        <f t="shared" si="143"/>
        <v>0.66194076874606178</v>
      </c>
      <c r="AC338" s="91">
        <f t="shared" si="144"/>
        <v>0.58947700063011976</v>
      </c>
      <c r="AD338" s="91">
        <f t="shared" si="145"/>
        <v>0.73125393824826712</v>
      </c>
      <c r="AE338" s="91">
        <f t="shared" si="146"/>
        <v>0.72148708254568372</v>
      </c>
      <c r="AF338" s="91">
        <f t="shared" si="147"/>
        <v>0.74196597353497162</v>
      </c>
      <c r="AG338" s="91">
        <f t="shared" si="148"/>
        <v>0.52394454946439828</v>
      </c>
      <c r="AH338" s="92">
        <v>3478.9199999999978</v>
      </c>
      <c r="AI338" s="93">
        <v>4123.8699999999963</v>
      </c>
      <c r="AJ338" s="93">
        <v>4123.8699999999953</v>
      </c>
      <c r="AK338" s="93">
        <v>2203.0799999999972</v>
      </c>
      <c r="AL338" s="94">
        <v>1170.3899999999901</v>
      </c>
      <c r="AM338" s="94">
        <v>1902.41</v>
      </c>
      <c r="AN338" s="94" t="s">
        <v>780</v>
      </c>
      <c r="AO338" s="111">
        <v>0</v>
      </c>
      <c r="AP338" s="112">
        <v>4497.57</v>
      </c>
      <c r="AQ338" s="112">
        <v>0</v>
      </c>
      <c r="AR338" s="112">
        <v>0</v>
      </c>
      <c r="AS338" s="113">
        <v>0</v>
      </c>
      <c r="AT338" s="113">
        <v>6712.7999999999993</v>
      </c>
      <c r="AU338" s="111">
        <v>47966.16</v>
      </c>
      <c r="AV338" s="112">
        <v>43283.899999999929</v>
      </c>
      <c r="AW338" s="112">
        <v>50844.769999999931</v>
      </c>
      <c r="AX338" s="112">
        <v>49975.709999999803</v>
      </c>
      <c r="AY338" s="113">
        <v>51138.109999999899</v>
      </c>
      <c r="AZ338" s="113">
        <v>35661.660000000003</v>
      </c>
    </row>
    <row r="339" spans="1:52" x14ac:dyDescent="0.25">
      <c r="A339" s="101" t="s">
        <v>666</v>
      </c>
      <c r="B339" s="102" t="s">
        <v>667</v>
      </c>
      <c r="C339" s="102"/>
      <c r="D339" s="102" t="s">
        <v>1049</v>
      </c>
      <c r="E339" s="103">
        <v>1.2100000000000009</v>
      </c>
      <c r="F339" s="104">
        <v>15000</v>
      </c>
      <c r="G339" s="105">
        <f t="shared" si="135"/>
        <v>7500</v>
      </c>
      <c r="H339" s="105">
        <v>178832</v>
      </c>
      <c r="I339" s="106">
        <f t="shared" si="136"/>
        <v>4.1938802898810058E-2</v>
      </c>
      <c r="J339" s="86">
        <v>2320</v>
      </c>
      <c r="K339" s="87">
        <v>1600</v>
      </c>
      <c r="L339" s="87">
        <v>1690</v>
      </c>
      <c r="M339" s="87">
        <v>360</v>
      </c>
      <c r="N339" s="90">
        <v>1500</v>
      </c>
      <c r="O339" s="90">
        <v>0</v>
      </c>
      <c r="P339" s="86">
        <f t="shared" si="137"/>
        <v>2807.2000000000021</v>
      </c>
      <c r="Q339" s="87">
        <f t="shared" si="138"/>
        <v>1936.0000000000014</v>
      </c>
      <c r="R339" s="87">
        <f t="shared" si="139"/>
        <v>2044.9000000000015</v>
      </c>
      <c r="S339" s="88">
        <f t="shared" si="140"/>
        <v>435.60000000000031</v>
      </c>
      <c r="T339" s="89">
        <f t="shared" si="141"/>
        <v>1815.0000000000014</v>
      </c>
      <c r="U339" s="89">
        <f t="shared" si="142"/>
        <v>0</v>
      </c>
      <c r="V339" s="86">
        <v>2206</v>
      </c>
      <c r="W339" s="87">
        <v>3569</v>
      </c>
      <c r="X339" s="87">
        <v>1577</v>
      </c>
      <c r="Y339" s="87">
        <v>1581</v>
      </c>
      <c r="Z339" s="90">
        <v>649</v>
      </c>
      <c r="AA339" s="90">
        <v>1699</v>
      </c>
      <c r="AB339" s="91">
        <f t="shared" si="143"/>
        <v>1.2335599892636665E-2</v>
      </c>
      <c r="AC339" s="91">
        <f t="shared" si="144"/>
        <v>1.995727833944708E-2</v>
      </c>
      <c r="AD339" s="91">
        <f t="shared" si="145"/>
        <v>8.8183322895231276E-3</v>
      </c>
      <c r="AE339" s="91">
        <f t="shared" si="146"/>
        <v>8.8406996510691591E-3</v>
      </c>
      <c r="AF339" s="91">
        <f t="shared" si="147"/>
        <v>3.6291044108436969E-3</v>
      </c>
      <c r="AG339" s="91">
        <f t="shared" si="148"/>
        <v>9.5005368166771048E-3</v>
      </c>
      <c r="AH339" s="92">
        <v>1859.9900000000021</v>
      </c>
      <c r="AI339" s="93">
        <v>3145.5099999999939</v>
      </c>
      <c r="AJ339" s="93">
        <v>3145.5099999999943</v>
      </c>
      <c r="AK339" s="93">
        <v>1133.6399999999978</v>
      </c>
      <c r="AL339" s="94">
        <v>732.54</v>
      </c>
      <c r="AM339" s="94">
        <v>1186.3699999999899</v>
      </c>
      <c r="AN339" s="94" t="s">
        <v>780</v>
      </c>
      <c r="AO339" s="111">
        <v>107262.59999999999</v>
      </c>
      <c r="AP339" s="112">
        <v>73579</v>
      </c>
      <c r="AQ339" s="112">
        <v>77113.8</v>
      </c>
      <c r="AR339" s="112">
        <v>16344</v>
      </c>
      <c r="AS339" s="113">
        <v>68460</v>
      </c>
      <c r="AT339" s="113">
        <v>0</v>
      </c>
      <c r="AU339" s="111">
        <v>103680.24</v>
      </c>
      <c r="AV339" s="112">
        <v>167817.65999999957</v>
      </c>
      <c r="AW339" s="112">
        <v>73732.599999999889</v>
      </c>
      <c r="AX339" s="112">
        <v>73717.53</v>
      </c>
      <c r="AY339" s="113">
        <v>30178.719999999899</v>
      </c>
      <c r="AZ339" s="113">
        <v>78799.529999999897</v>
      </c>
    </row>
    <row r="340" spans="1:52" x14ac:dyDescent="0.25">
      <c r="A340" s="101" t="s">
        <v>643</v>
      </c>
      <c r="B340" s="102" t="s">
        <v>644</v>
      </c>
      <c r="C340" s="102"/>
      <c r="D340" s="102" t="s">
        <v>1048</v>
      </c>
      <c r="E340" s="103">
        <v>1.2000000000000028</v>
      </c>
      <c r="F340" s="104">
        <v>214.8</v>
      </c>
      <c r="G340" s="105">
        <f t="shared" si="135"/>
        <v>107.4</v>
      </c>
      <c r="H340" s="105">
        <v>100</v>
      </c>
      <c r="I340" s="106">
        <f t="shared" si="136"/>
        <v>1.0740000000000001</v>
      </c>
      <c r="J340" s="86">
        <v>0</v>
      </c>
      <c r="K340" s="87">
        <v>0</v>
      </c>
      <c r="L340" s="87">
        <v>0</v>
      </c>
      <c r="M340" s="87">
        <v>0</v>
      </c>
      <c r="N340" s="90"/>
      <c r="O340" s="90">
        <v>0</v>
      </c>
      <c r="P340" s="86">
        <f t="shared" si="137"/>
        <v>0</v>
      </c>
      <c r="Q340" s="87">
        <f t="shared" si="138"/>
        <v>0</v>
      </c>
      <c r="R340" s="87">
        <f t="shared" si="139"/>
        <v>0</v>
      </c>
      <c r="S340" s="88">
        <f t="shared" si="140"/>
        <v>0</v>
      </c>
      <c r="T340" s="89">
        <f t="shared" si="141"/>
        <v>0</v>
      </c>
      <c r="U340" s="89">
        <f t="shared" si="142"/>
        <v>0</v>
      </c>
      <c r="V340" s="86">
        <v>168</v>
      </c>
      <c r="W340" s="87">
        <v>40</v>
      </c>
      <c r="X340" s="87">
        <v>106</v>
      </c>
      <c r="Y340" s="87">
        <v>139</v>
      </c>
      <c r="Z340" s="90">
        <v>84</v>
      </c>
      <c r="AA340" s="90">
        <v>18</v>
      </c>
      <c r="AB340" s="91">
        <f t="shared" si="143"/>
        <v>1.68</v>
      </c>
      <c r="AC340" s="91">
        <f t="shared" si="144"/>
        <v>0.4</v>
      </c>
      <c r="AD340" s="91">
        <f t="shared" si="145"/>
        <v>1.06</v>
      </c>
      <c r="AE340" s="91">
        <f t="shared" si="146"/>
        <v>1.39</v>
      </c>
      <c r="AF340" s="91">
        <f t="shared" si="147"/>
        <v>0.84</v>
      </c>
      <c r="AG340" s="91">
        <f t="shared" si="148"/>
        <v>0.18</v>
      </c>
      <c r="AH340" s="92">
        <v>410.95</v>
      </c>
      <c r="AI340" s="93">
        <v>170.90999999999997</v>
      </c>
      <c r="AJ340" s="93">
        <v>170.90999999999997</v>
      </c>
      <c r="AK340" s="93">
        <v>112.62999999999988</v>
      </c>
      <c r="AL340" s="94">
        <v>72.34</v>
      </c>
      <c r="AM340" s="94">
        <v>1.20999999999999</v>
      </c>
      <c r="AN340" s="94" t="s">
        <v>780</v>
      </c>
      <c r="AO340" s="111">
        <v>0</v>
      </c>
      <c r="AP340" s="112">
        <v>0</v>
      </c>
      <c r="AQ340" s="112">
        <v>0</v>
      </c>
      <c r="AR340" s="112">
        <v>0</v>
      </c>
      <c r="AS340" s="113">
        <v>0</v>
      </c>
      <c r="AT340" s="113">
        <v>0</v>
      </c>
      <c r="AU340" s="111">
        <v>6472.55</v>
      </c>
      <c r="AV340" s="112">
        <v>1481.31</v>
      </c>
      <c r="AW340" s="112">
        <v>3585.1899999999973</v>
      </c>
      <c r="AX340" s="112">
        <v>4625.9799999999996</v>
      </c>
      <c r="AY340" s="113">
        <v>2771.3099999999899</v>
      </c>
      <c r="AZ340" s="113">
        <v>590.89</v>
      </c>
    </row>
    <row r="341" spans="1:52" x14ac:dyDescent="0.25">
      <c r="A341" s="101" t="s">
        <v>995</v>
      </c>
      <c r="B341" s="102" t="s">
        <v>569</v>
      </c>
      <c r="C341" s="102"/>
      <c r="D341" s="102" t="s">
        <v>1048</v>
      </c>
      <c r="E341" s="103">
        <v>1.1999999999999993</v>
      </c>
      <c r="F341" s="104">
        <v>7000</v>
      </c>
      <c r="G341" s="105">
        <f t="shared" si="135"/>
        <v>3500</v>
      </c>
      <c r="H341" s="105">
        <v>23445</v>
      </c>
      <c r="I341" s="106">
        <f t="shared" si="136"/>
        <v>0.1492855619535082</v>
      </c>
      <c r="J341" s="86">
        <v>1422</v>
      </c>
      <c r="K341" s="87">
        <v>920</v>
      </c>
      <c r="L341" s="87">
        <v>6930</v>
      </c>
      <c r="M341" s="87">
        <v>3244</v>
      </c>
      <c r="N341" s="90">
        <v>2668</v>
      </c>
      <c r="O341" s="90">
        <v>4614</v>
      </c>
      <c r="P341" s="86">
        <f t="shared" si="137"/>
        <v>1706.399999999999</v>
      </c>
      <c r="Q341" s="87">
        <f t="shared" si="138"/>
        <v>1103.9999999999993</v>
      </c>
      <c r="R341" s="87">
        <f t="shared" si="139"/>
        <v>8315.9999999999945</v>
      </c>
      <c r="S341" s="88">
        <f t="shared" si="140"/>
        <v>3892.7999999999979</v>
      </c>
      <c r="T341" s="89">
        <f t="shared" si="141"/>
        <v>3201.5999999999981</v>
      </c>
      <c r="U341" s="89">
        <f t="shared" si="142"/>
        <v>5536.7999999999965</v>
      </c>
      <c r="V341" s="86">
        <v>2436</v>
      </c>
      <c r="W341" s="87">
        <v>3836</v>
      </c>
      <c r="X341" s="87">
        <v>4325</v>
      </c>
      <c r="Y341" s="87">
        <v>5476</v>
      </c>
      <c r="Z341" s="90">
        <v>4540</v>
      </c>
      <c r="AA341" s="90">
        <v>6063</v>
      </c>
      <c r="AB341" s="91">
        <f t="shared" si="143"/>
        <v>0.10390275111964171</v>
      </c>
      <c r="AC341" s="91">
        <f t="shared" si="144"/>
        <v>0.16361697590104499</v>
      </c>
      <c r="AD341" s="91">
        <f t="shared" si="145"/>
        <v>0.18447430155683514</v>
      </c>
      <c r="AE341" s="91">
        <f t="shared" si="146"/>
        <v>0.23356792493068884</v>
      </c>
      <c r="AF341" s="91">
        <f t="shared" si="147"/>
        <v>0.19364470036255066</v>
      </c>
      <c r="AG341" s="91">
        <f t="shared" si="148"/>
        <v>0.25860524632117721</v>
      </c>
      <c r="AH341" s="92">
        <v>2835.2099999999969</v>
      </c>
      <c r="AI341" s="93">
        <v>2240.1099999999901</v>
      </c>
      <c r="AJ341" s="93">
        <v>2240.1099999999906</v>
      </c>
      <c r="AK341" s="93">
        <v>1838.7899999999938</v>
      </c>
      <c r="AL341" s="94">
        <v>4739.6099999999797</v>
      </c>
      <c r="AM341" s="94">
        <v>6628.6799999997702</v>
      </c>
      <c r="AN341" s="94" t="s">
        <v>780</v>
      </c>
      <c r="AO341" s="111">
        <v>27234.98</v>
      </c>
      <c r="AP341" s="112">
        <v>17679.989999999998</v>
      </c>
      <c r="AQ341" s="112">
        <v>135087.87</v>
      </c>
      <c r="AR341" s="112">
        <v>61229.8</v>
      </c>
      <c r="AS341" s="113">
        <v>49698.030000000006</v>
      </c>
      <c r="AT341" s="113">
        <v>86629.080000000016</v>
      </c>
      <c r="AU341" s="111">
        <v>0</v>
      </c>
      <c r="AV341" s="112">
        <v>0</v>
      </c>
      <c r="AW341" s="112">
        <v>0</v>
      </c>
      <c r="AX341" s="112">
        <v>0</v>
      </c>
      <c r="AY341" s="113">
        <v>0</v>
      </c>
      <c r="AZ341" s="113">
        <v>0</v>
      </c>
    </row>
    <row r="342" spans="1:52" x14ac:dyDescent="0.25">
      <c r="A342" s="101" t="s">
        <v>321</v>
      </c>
      <c r="B342" s="102" t="s">
        <v>322</v>
      </c>
      <c r="C342" s="102"/>
      <c r="D342" s="102" t="s">
        <v>1048</v>
      </c>
      <c r="E342" s="103">
        <v>1.1900000000000004</v>
      </c>
      <c r="F342" s="104">
        <v>6000</v>
      </c>
      <c r="G342" s="105">
        <f t="shared" si="135"/>
        <v>3000</v>
      </c>
      <c r="H342" s="105">
        <v>13819</v>
      </c>
      <c r="I342" s="106">
        <f t="shared" si="136"/>
        <v>0.21709240900209856</v>
      </c>
      <c r="J342" s="86">
        <v>889</v>
      </c>
      <c r="K342" s="87">
        <v>827</v>
      </c>
      <c r="L342" s="87">
        <v>271</v>
      </c>
      <c r="M342" s="87">
        <v>4160</v>
      </c>
      <c r="N342" s="90">
        <v>1113</v>
      </c>
      <c r="O342" s="90">
        <v>4670</v>
      </c>
      <c r="P342" s="86">
        <f t="shared" si="137"/>
        <v>1057.9100000000003</v>
      </c>
      <c r="Q342" s="87">
        <f t="shared" si="138"/>
        <v>984.13000000000034</v>
      </c>
      <c r="R342" s="87">
        <f t="shared" si="139"/>
        <v>322.49000000000012</v>
      </c>
      <c r="S342" s="88">
        <f t="shared" si="140"/>
        <v>4950.4000000000015</v>
      </c>
      <c r="T342" s="89">
        <f t="shared" si="141"/>
        <v>1324.4700000000005</v>
      </c>
      <c r="U342" s="89">
        <f t="shared" si="142"/>
        <v>5557.300000000002</v>
      </c>
      <c r="V342" s="86">
        <v>40</v>
      </c>
      <c r="W342" s="87">
        <v>533</v>
      </c>
      <c r="X342" s="87">
        <v>1048</v>
      </c>
      <c r="Y342" s="87">
        <v>245</v>
      </c>
      <c r="Z342" s="90">
        <v>2643</v>
      </c>
      <c r="AA342" s="90">
        <v>1933</v>
      </c>
      <c r="AB342" s="91">
        <f t="shared" si="143"/>
        <v>2.8945654533613142E-3</v>
      </c>
      <c r="AC342" s="91">
        <f t="shared" si="144"/>
        <v>3.8570084666039513E-2</v>
      </c>
      <c r="AD342" s="91">
        <f t="shared" si="145"/>
        <v>7.5837614878066437E-2</v>
      </c>
      <c r="AE342" s="91">
        <f t="shared" si="146"/>
        <v>1.772921340183805E-2</v>
      </c>
      <c r="AF342" s="91">
        <f t="shared" si="147"/>
        <v>0.19125841233084884</v>
      </c>
      <c r="AG342" s="91">
        <f t="shared" si="148"/>
        <v>0.1398798755336855</v>
      </c>
      <c r="AH342" s="92">
        <v>74.55</v>
      </c>
      <c r="AI342" s="93">
        <v>1080.9099999999996</v>
      </c>
      <c r="AJ342" s="93">
        <v>1080.9099999999999</v>
      </c>
      <c r="AK342" s="93">
        <v>1485.4199999999992</v>
      </c>
      <c r="AL342" s="94">
        <v>530.29999999999995</v>
      </c>
      <c r="AM342" s="94">
        <v>2341.4899999999898</v>
      </c>
      <c r="AN342" s="94" t="s">
        <v>779</v>
      </c>
      <c r="AO342" s="111">
        <v>3943.3900000000003</v>
      </c>
      <c r="AP342" s="112">
        <v>4221.0300000000007</v>
      </c>
      <c r="AQ342" s="112">
        <v>1254.83</v>
      </c>
      <c r="AR342" s="112">
        <v>21982.649999999994</v>
      </c>
      <c r="AS342" s="113">
        <v>5671.76</v>
      </c>
      <c r="AT342" s="113">
        <v>24657.68</v>
      </c>
      <c r="AU342" s="111">
        <v>256.55</v>
      </c>
      <c r="AV342" s="112">
        <v>3619.5099999999966</v>
      </c>
      <c r="AW342" s="112">
        <v>6452.3599999999988</v>
      </c>
      <c r="AX342" s="112">
        <v>1697.5</v>
      </c>
      <c r="AY342" s="113">
        <v>18771.980000000101</v>
      </c>
      <c r="AZ342" s="113">
        <v>12427.78</v>
      </c>
    </row>
    <row r="343" spans="1:52" x14ac:dyDescent="0.25">
      <c r="A343" s="101" t="s">
        <v>420</v>
      </c>
      <c r="B343" s="102" t="s">
        <v>421</v>
      </c>
      <c r="C343" s="102"/>
      <c r="D343" s="102" t="s">
        <v>1048</v>
      </c>
      <c r="E343" s="103">
        <v>1.1899999999999995</v>
      </c>
      <c r="F343" s="104">
        <v>7000</v>
      </c>
      <c r="G343" s="105">
        <f t="shared" si="135"/>
        <v>3500</v>
      </c>
      <c r="H343" s="105">
        <v>11702</v>
      </c>
      <c r="I343" s="106">
        <f t="shared" si="136"/>
        <v>0.29909417193642113</v>
      </c>
      <c r="J343" s="86">
        <v>1306.0606060606062</v>
      </c>
      <c r="K343" s="87">
        <v>969.69696969696963</v>
      </c>
      <c r="L343" s="87">
        <v>3051.515151515151</v>
      </c>
      <c r="M343" s="87">
        <v>5175.7575757575769</v>
      </c>
      <c r="N343" s="90">
        <v>4551.515151515151</v>
      </c>
      <c r="O343" s="90">
        <v>7380</v>
      </c>
      <c r="P343" s="86">
        <f t="shared" si="137"/>
        <v>1554.2121212121208</v>
      </c>
      <c r="Q343" s="87">
        <f t="shared" si="138"/>
        <v>1153.9393939393933</v>
      </c>
      <c r="R343" s="87">
        <f t="shared" si="139"/>
        <v>3631.3030303030282</v>
      </c>
      <c r="S343" s="88">
        <f t="shared" si="140"/>
        <v>6159.1515151515141</v>
      </c>
      <c r="T343" s="89">
        <f t="shared" si="141"/>
        <v>5416.3030303030273</v>
      </c>
      <c r="U343" s="89">
        <f t="shared" si="142"/>
        <v>8782.1999999999971</v>
      </c>
      <c r="V343" s="86">
        <v>1985</v>
      </c>
      <c r="W343" s="87">
        <v>3208</v>
      </c>
      <c r="X343" s="87">
        <v>1401</v>
      </c>
      <c r="Y343" s="87">
        <v>2157</v>
      </c>
      <c r="Z343" s="90">
        <v>3043</v>
      </c>
      <c r="AA343" s="90">
        <v>2229</v>
      </c>
      <c r="AB343" s="91">
        <f t="shared" si="143"/>
        <v>0.16962912322679885</v>
      </c>
      <c r="AC343" s="91">
        <f t="shared" si="144"/>
        <v>0.27414117244915398</v>
      </c>
      <c r="AD343" s="91">
        <f t="shared" si="145"/>
        <v>0.11972312425226457</v>
      </c>
      <c r="AE343" s="91">
        <f t="shared" si="146"/>
        <v>0.18432746539053152</v>
      </c>
      <c r="AF343" s="91">
        <f t="shared" si="147"/>
        <v>0.26004101862929413</v>
      </c>
      <c r="AG343" s="91">
        <f t="shared" si="148"/>
        <v>0.19048025978465219</v>
      </c>
      <c r="AH343" s="92">
        <v>1785.5700000000011</v>
      </c>
      <c r="AI343" s="93">
        <v>2692.6499999999896</v>
      </c>
      <c r="AJ343" s="93">
        <v>2692.6499999999901</v>
      </c>
      <c r="AK343" s="93">
        <v>1488.9199999999939</v>
      </c>
      <c r="AL343" s="94">
        <v>2428.9899999999898</v>
      </c>
      <c r="AM343" s="94">
        <v>2231.15</v>
      </c>
      <c r="AN343" s="94" t="s">
        <v>779</v>
      </c>
      <c r="AO343" s="111">
        <v>12301.77</v>
      </c>
      <c r="AP343" s="112">
        <v>9004.25</v>
      </c>
      <c r="AQ343" s="112">
        <v>28339.820000000003</v>
      </c>
      <c r="AR343" s="112">
        <v>47750.039999999994</v>
      </c>
      <c r="AS343" s="113">
        <v>41939.680000000008</v>
      </c>
      <c r="AT343" s="113">
        <v>68052.200000000012</v>
      </c>
      <c r="AU343" s="111">
        <v>20921.57</v>
      </c>
      <c r="AV343" s="112">
        <v>33554.019999999946</v>
      </c>
      <c r="AW343" s="112">
        <v>14581.269999999939</v>
      </c>
      <c r="AX343" s="112">
        <v>22595.95</v>
      </c>
      <c r="AY343" s="113">
        <v>32045.599999999999</v>
      </c>
      <c r="AZ343" s="113">
        <v>22852.16</v>
      </c>
    </row>
    <row r="344" spans="1:52" x14ac:dyDescent="0.25">
      <c r="A344" s="101" t="s">
        <v>673</v>
      </c>
      <c r="B344" s="102" t="s">
        <v>674</v>
      </c>
      <c r="C344" s="102"/>
      <c r="D344" s="102" t="s">
        <v>1048</v>
      </c>
      <c r="E344" s="103">
        <v>1.1600000000000037</v>
      </c>
      <c r="F344" s="104">
        <v>3000</v>
      </c>
      <c r="G344" s="105">
        <f t="shared" si="135"/>
        <v>1500</v>
      </c>
      <c r="H344" s="105">
        <v>128574</v>
      </c>
      <c r="I344" s="106">
        <f t="shared" si="136"/>
        <v>1.1666433337999906E-2</v>
      </c>
      <c r="J344" s="86">
        <v>1679</v>
      </c>
      <c r="K344" s="87">
        <v>1258</v>
      </c>
      <c r="L344" s="87">
        <v>510</v>
      </c>
      <c r="M344" s="87">
        <v>0</v>
      </c>
      <c r="N344" s="90"/>
      <c r="O344" s="90">
        <v>0</v>
      </c>
      <c r="P344" s="86">
        <f t="shared" si="137"/>
        <v>1947.6400000000062</v>
      </c>
      <c r="Q344" s="87">
        <f t="shared" si="138"/>
        <v>1459.2800000000047</v>
      </c>
      <c r="R344" s="87">
        <f t="shared" si="139"/>
        <v>591.60000000000184</v>
      </c>
      <c r="S344" s="88">
        <f t="shared" si="140"/>
        <v>0</v>
      </c>
      <c r="T344" s="89">
        <f t="shared" si="141"/>
        <v>0</v>
      </c>
      <c r="U344" s="89">
        <f t="shared" si="142"/>
        <v>0</v>
      </c>
      <c r="V344" s="86">
        <v>466</v>
      </c>
      <c r="W344" s="87">
        <v>1051</v>
      </c>
      <c r="X344" s="87">
        <v>864</v>
      </c>
      <c r="Y344" s="87">
        <v>835</v>
      </c>
      <c r="Z344" s="90">
        <v>1621</v>
      </c>
      <c r="AA344" s="90">
        <v>831</v>
      </c>
      <c r="AB344" s="91">
        <f t="shared" si="143"/>
        <v>3.6243719570053044E-3</v>
      </c>
      <c r="AC344" s="91">
        <f t="shared" si="144"/>
        <v>8.1742809588252682E-3</v>
      </c>
      <c r="AD344" s="91">
        <f t="shared" si="145"/>
        <v>6.7198656026879466E-3</v>
      </c>
      <c r="AE344" s="91">
        <f t="shared" si="146"/>
        <v>6.4943145581532816E-3</v>
      </c>
      <c r="AF344" s="91">
        <f t="shared" si="147"/>
        <v>1.2607525627265232E-2</v>
      </c>
      <c r="AG344" s="91">
        <f t="shared" si="148"/>
        <v>6.4632040692519481E-3</v>
      </c>
      <c r="AH344" s="92">
        <v>542.05999999999995</v>
      </c>
      <c r="AI344" s="93">
        <v>897.45999999999879</v>
      </c>
      <c r="AJ344" s="93">
        <v>897.4599999999989</v>
      </c>
      <c r="AK344" s="93">
        <v>756.47999999999865</v>
      </c>
      <c r="AL344" s="94">
        <v>836.49999999999898</v>
      </c>
      <c r="AM344" s="94">
        <v>641.82999999999902</v>
      </c>
      <c r="AN344" s="94" t="s">
        <v>780</v>
      </c>
      <c r="AO344" s="111">
        <v>81420.100000000006</v>
      </c>
      <c r="AP344" s="112">
        <v>60972.649999999994</v>
      </c>
      <c r="AQ344" s="112">
        <v>24618.9</v>
      </c>
      <c r="AR344" s="112">
        <v>0</v>
      </c>
      <c r="AS344" s="113">
        <v>0</v>
      </c>
      <c r="AT344" s="113">
        <v>0</v>
      </c>
      <c r="AU344" s="111">
        <v>23240.92</v>
      </c>
      <c r="AV344" s="112">
        <v>52074.169999999976</v>
      </c>
      <c r="AW344" s="112">
        <v>42778.069999999898</v>
      </c>
      <c r="AX344" s="112">
        <v>41286.479999999901</v>
      </c>
      <c r="AY344" s="113">
        <v>79789.369999999893</v>
      </c>
      <c r="AZ344" s="113">
        <v>40899.550000000003</v>
      </c>
    </row>
    <row r="345" spans="1:52" x14ac:dyDescent="0.25">
      <c r="A345" s="101" t="s">
        <v>631</v>
      </c>
      <c r="B345" s="102" t="s">
        <v>632</v>
      </c>
      <c r="C345" s="102"/>
      <c r="D345" s="102" t="s">
        <v>1048</v>
      </c>
      <c r="E345" s="103">
        <v>1.1600000000000001</v>
      </c>
      <c r="F345" s="104">
        <v>5000</v>
      </c>
      <c r="G345" s="105">
        <f t="shared" si="135"/>
        <v>2500</v>
      </c>
      <c r="H345" s="105">
        <v>10986</v>
      </c>
      <c r="I345" s="106">
        <f t="shared" si="136"/>
        <v>0.22756235208447115</v>
      </c>
      <c r="J345" s="86">
        <v>501</v>
      </c>
      <c r="K345" s="87">
        <v>163</v>
      </c>
      <c r="L345" s="87">
        <v>297</v>
      </c>
      <c r="M345" s="87">
        <v>98</v>
      </c>
      <c r="N345" s="90">
        <v>209</v>
      </c>
      <c r="O345" s="90">
        <v>529</v>
      </c>
      <c r="P345" s="86">
        <f t="shared" si="137"/>
        <v>581.16000000000008</v>
      </c>
      <c r="Q345" s="87">
        <f t="shared" si="138"/>
        <v>189.08</v>
      </c>
      <c r="R345" s="87">
        <f t="shared" si="139"/>
        <v>344.52000000000004</v>
      </c>
      <c r="S345" s="88">
        <f t="shared" si="140"/>
        <v>113.68</v>
      </c>
      <c r="T345" s="89">
        <f t="shared" si="141"/>
        <v>242.44000000000003</v>
      </c>
      <c r="U345" s="89">
        <f t="shared" si="142"/>
        <v>613.6400000000001</v>
      </c>
      <c r="V345" s="86">
        <v>73</v>
      </c>
      <c r="W345" s="87">
        <v>237</v>
      </c>
      <c r="X345" s="87">
        <v>581</v>
      </c>
      <c r="Y345" s="87">
        <v>305</v>
      </c>
      <c r="Z345" s="90">
        <v>275</v>
      </c>
      <c r="AA345" s="90">
        <v>281</v>
      </c>
      <c r="AB345" s="91">
        <f t="shared" si="143"/>
        <v>6.6448206808665576E-3</v>
      </c>
      <c r="AC345" s="91">
        <f t="shared" si="144"/>
        <v>2.1572910977607863E-2</v>
      </c>
      <c r="AD345" s="91">
        <f t="shared" si="145"/>
        <v>5.2885490624431097E-2</v>
      </c>
      <c r="AE345" s="91">
        <f t="shared" si="146"/>
        <v>2.7762606954305481E-2</v>
      </c>
      <c r="AF345" s="91">
        <f t="shared" si="147"/>
        <v>2.5031858729291825E-2</v>
      </c>
      <c r="AG345" s="91">
        <f t="shared" si="148"/>
        <v>2.5578008374294556E-2</v>
      </c>
      <c r="AH345" s="92">
        <v>104</v>
      </c>
      <c r="AI345" s="93">
        <v>307.47000000000003</v>
      </c>
      <c r="AJ345" s="93">
        <v>307.47000000000003</v>
      </c>
      <c r="AK345" s="93">
        <v>303.89999999999884</v>
      </c>
      <c r="AL345" s="94">
        <v>144.84</v>
      </c>
      <c r="AM345" s="94">
        <v>320.17999999999898</v>
      </c>
      <c r="AN345" s="94" t="s">
        <v>780</v>
      </c>
      <c r="AO345" s="111">
        <v>8393.4</v>
      </c>
      <c r="AP345" s="112">
        <v>4730.26</v>
      </c>
      <c r="AQ345" s="112">
        <v>9342.08</v>
      </c>
      <c r="AR345" s="112">
        <v>2819.53</v>
      </c>
      <c r="AS345" s="113">
        <v>5941.52</v>
      </c>
      <c r="AT345" s="113">
        <v>12591.23</v>
      </c>
      <c r="AU345" s="111">
        <v>2228.52</v>
      </c>
      <c r="AV345" s="112">
        <v>7185.03999999998</v>
      </c>
      <c r="AW345" s="112">
        <v>17227.749999999993</v>
      </c>
      <c r="AX345" s="112">
        <v>8994.8299999999908</v>
      </c>
      <c r="AY345" s="113">
        <v>8168.2199999999903</v>
      </c>
      <c r="AZ345" s="113">
        <v>8341.86</v>
      </c>
    </row>
    <row r="346" spans="1:52" x14ac:dyDescent="0.25">
      <c r="A346" s="101" t="s">
        <v>996</v>
      </c>
      <c r="B346" s="102" t="s">
        <v>601</v>
      </c>
      <c r="C346" s="102"/>
      <c r="D346" s="102" t="s">
        <v>1049</v>
      </c>
      <c r="E346" s="103">
        <v>1.1500000000000021</v>
      </c>
      <c r="F346" s="104">
        <v>9000</v>
      </c>
      <c r="G346" s="105">
        <f t="shared" si="135"/>
        <v>4500</v>
      </c>
      <c r="H346" s="105">
        <v>25068</v>
      </c>
      <c r="I346" s="106">
        <f t="shared" si="136"/>
        <v>0.17951172809956917</v>
      </c>
      <c r="J346" s="86">
        <v>1452</v>
      </c>
      <c r="K346" s="87">
        <v>2811</v>
      </c>
      <c r="L346" s="87">
        <v>4346</v>
      </c>
      <c r="M346" s="87">
        <v>1774</v>
      </c>
      <c r="N346" s="90">
        <v>3274</v>
      </c>
      <c r="O346" s="90">
        <v>3126</v>
      </c>
      <c r="P346" s="86">
        <f t="shared" si="137"/>
        <v>1669.8000000000031</v>
      </c>
      <c r="Q346" s="87">
        <f t="shared" si="138"/>
        <v>3232.650000000006</v>
      </c>
      <c r="R346" s="87">
        <f t="shared" si="139"/>
        <v>4997.9000000000096</v>
      </c>
      <c r="S346" s="88">
        <f t="shared" si="140"/>
        <v>2040.1000000000038</v>
      </c>
      <c r="T346" s="89">
        <f t="shared" si="141"/>
        <v>3765.1000000000072</v>
      </c>
      <c r="U346" s="89">
        <f t="shared" si="142"/>
        <v>3594.9000000000065</v>
      </c>
      <c r="V346" s="86">
        <v>603</v>
      </c>
      <c r="W346" s="87">
        <v>2187</v>
      </c>
      <c r="X346" s="87">
        <v>3564</v>
      </c>
      <c r="Y346" s="87">
        <v>3850</v>
      </c>
      <c r="Z346" s="90">
        <v>2837</v>
      </c>
      <c r="AA346" s="90">
        <v>3461</v>
      </c>
      <c r="AB346" s="91">
        <f t="shared" si="143"/>
        <v>2.405457156534227E-2</v>
      </c>
      <c r="AC346" s="91">
        <f t="shared" si="144"/>
        <v>8.7242699856390618E-2</v>
      </c>
      <c r="AD346" s="91">
        <f t="shared" si="145"/>
        <v>0.14217328865485879</v>
      </c>
      <c r="AE346" s="91">
        <f t="shared" si="146"/>
        <v>0.15358225626296473</v>
      </c>
      <c r="AF346" s="91">
        <f t="shared" si="147"/>
        <v>0.11317217169299505</v>
      </c>
      <c r="AG346" s="91">
        <f t="shared" si="148"/>
        <v>0.13806446465613531</v>
      </c>
      <c r="AH346" s="92">
        <v>369.00000000000028</v>
      </c>
      <c r="AI346" s="93">
        <v>2336.5699999999929</v>
      </c>
      <c r="AJ346" s="93">
        <v>2336.5699999999924</v>
      </c>
      <c r="AK346" s="93">
        <v>5482.53999999999</v>
      </c>
      <c r="AL346" s="94">
        <v>4262.2400000000098</v>
      </c>
      <c r="AM346" s="94">
        <v>2200.7799999999802</v>
      </c>
      <c r="AN346" s="94" t="s">
        <v>780</v>
      </c>
      <c r="AO346" s="111">
        <v>33426.92</v>
      </c>
      <c r="AP346" s="112">
        <v>64495.210000000006</v>
      </c>
      <c r="AQ346" s="112">
        <v>99523.349999999991</v>
      </c>
      <c r="AR346" s="112">
        <v>40630.479999999996</v>
      </c>
      <c r="AS346" s="113">
        <v>75804.820000000007</v>
      </c>
      <c r="AT346" s="113">
        <v>72086.859999999986</v>
      </c>
      <c r="AU346" s="111">
        <v>0</v>
      </c>
      <c r="AV346" s="112">
        <v>0</v>
      </c>
      <c r="AW346" s="112">
        <v>0</v>
      </c>
      <c r="AX346" s="112">
        <v>0</v>
      </c>
      <c r="AY346" s="113">
        <v>0</v>
      </c>
      <c r="AZ346" s="113">
        <v>0</v>
      </c>
    </row>
    <row r="347" spans="1:52" x14ac:dyDescent="0.25">
      <c r="A347" s="101" t="s">
        <v>997</v>
      </c>
      <c r="B347" s="102" t="s">
        <v>642</v>
      </c>
      <c r="C347" s="102"/>
      <c r="D347" s="102" t="s">
        <v>1048</v>
      </c>
      <c r="E347" s="103">
        <v>1.1500000000000021</v>
      </c>
      <c r="F347" s="104">
        <v>647.6</v>
      </c>
      <c r="G347" s="105">
        <f t="shared" si="135"/>
        <v>323.8</v>
      </c>
      <c r="H347" s="105">
        <v>3238</v>
      </c>
      <c r="I347" s="106">
        <f t="shared" si="136"/>
        <v>0.1</v>
      </c>
      <c r="J347" s="86">
        <v>0</v>
      </c>
      <c r="K347" s="87">
        <v>0</v>
      </c>
      <c r="L347" s="87">
        <v>0</v>
      </c>
      <c r="M347" s="87">
        <v>0</v>
      </c>
      <c r="N347" s="90">
        <v>215</v>
      </c>
      <c r="O347" s="90">
        <v>1127</v>
      </c>
      <c r="P347" s="86">
        <f t="shared" si="137"/>
        <v>0</v>
      </c>
      <c r="Q347" s="87">
        <f t="shared" si="138"/>
        <v>0</v>
      </c>
      <c r="R347" s="87">
        <f t="shared" si="139"/>
        <v>0</v>
      </c>
      <c r="S347" s="88">
        <f t="shared" si="140"/>
        <v>0</v>
      </c>
      <c r="T347" s="89">
        <f t="shared" si="141"/>
        <v>247.25000000000045</v>
      </c>
      <c r="U347" s="89">
        <f t="shared" si="142"/>
        <v>1296.0500000000025</v>
      </c>
      <c r="V347" s="86">
        <v>151</v>
      </c>
      <c r="W347" s="87">
        <v>222</v>
      </c>
      <c r="X347" s="87">
        <v>216</v>
      </c>
      <c r="Y347" s="87">
        <v>226</v>
      </c>
      <c r="Z347" s="90">
        <v>188</v>
      </c>
      <c r="AA347" s="90">
        <v>170</v>
      </c>
      <c r="AB347" s="91">
        <f t="shared" si="143"/>
        <v>4.6633724521309448E-2</v>
      </c>
      <c r="AC347" s="91">
        <f t="shared" si="144"/>
        <v>6.856084002470661E-2</v>
      </c>
      <c r="AD347" s="91">
        <f t="shared" si="145"/>
        <v>6.6707844348363188E-2</v>
      </c>
      <c r="AE347" s="91">
        <f t="shared" si="146"/>
        <v>6.9796170475602229E-2</v>
      </c>
      <c r="AF347" s="91">
        <f t="shared" si="147"/>
        <v>5.8060531192093888E-2</v>
      </c>
      <c r="AG347" s="91">
        <f t="shared" si="148"/>
        <v>5.2501544163063622E-2</v>
      </c>
      <c r="AH347" s="92">
        <v>140.33000000000001</v>
      </c>
      <c r="AI347" s="93">
        <v>247.43999999999971</v>
      </c>
      <c r="AJ347" s="93">
        <v>247.43999999999969</v>
      </c>
      <c r="AK347" s="93">
        <v>317.60999999999922</v>
      </c>
      <c r="AL347" s="94">
        <v>176.23</v>
      </c>
      <c r="AM347" s="94">
        <v>104.58999999999899</v>
      </c>
      <c r="AN347" s="94" t="s">
        <v>780</v>
      </c>
      <c r="AO347" s="111">
        <v>0</v>
      </c>
      <c r="AP347" s="112">
        <v>0</v>
      </c>
      <c r="AQ347" s="112">
        <v>0</v>
      </c>
      <c r="AR347" s="112">
        <v>0</v>
      </c>
      <c r="AS347" s="113">
        <v>6505.9</v>
      </c>
      <c r="AT347" s="113">
        <v>33979.58</v>
      </c>
      <c r="AU347" s="111">
        <v>0</v>
      </c>
      <c r="AV347" s="112">
        <v>0</v>
      </c>
      <c r="AW347" s="112">
        <v>0</v>
      </c>
      <c r="AX347" s="112">
        <v>0</v>
      </c>
      <c r="AY347" s="113">
        <v>0</v>
      </c>
      <c r="AZ347" s="113">
        <v>0</v>
      </c>
    </row>
    <row r="348" spans="1:52" x14ac:dyDescent="0.25">
      <c r="A348" s="101" t="s">
        <v>611</v>
      </c>
      <c r="B348" s="102" t="s">
        <v>612</v>
      </c>
      <c r="C348" s="102"/>
      <c r="D348" s="102" t="s">
        <v>1048</v>
      </c>
      <c r="E348" s="103">
        <v>1.1500000000000021</v>
      </c>
      <c r="F348" s="104">
        <v>1000</v>
      </c>
      <c r="G348" s="105">
        <f t="shared" si="135"/>
        <v>500</v>
      </c>
      <c r="H348" s="105">
        <v>2472</v>
      </c>
      <c r="I348" s="106">
        <f t="shared" si="136"/>
        <v>0.2022653721682848</v>
      </c>
      <c r="J348" s="86">
        <v>203</v>
      </c>
      <c r="K348" s="87">
        <v>100</v>
      </c>
      <c r="L348" s="87">
        <v>201</v>
      </c>
      <c r="M348" s="87">
        <v>254</v>
      </c>
      <c r="N348" s="90">
        <v>252</v>
      </c>
      <c r="O348" s="90">
        <v>246</v>
      </c>
      <c r="P348" s="86">
        <f t="shared" si="137"/>
        <v>233.45000000000044</v>
      </c>
      <c r="Q348" s="87">
        <f t="shared" si="138"/>
        <v>115.00000000000021</v>
      </c>
      <c r="R348" s="87">
        <f t="shared" si="139"/>
        <v>231.15000000000043</v>
      </c>
      <c r="S348" s="88">
        <f t="shared" si="140"/>
        <v>292.10000000000053</v>
      </c>
      <c r="T348" s="89">
        <f t="shared" si="141"/>
        <v>289.80000000000052</v>
      </c>
      <c r="U348" s="89">
        <f t="shared" si="142"/>
        <v>282.90000000000055</v>
      </c>
      <c r="V348" s="86">
        <v>63</v>
      </c>
      <c r="W348" s="87">
        <v>169</v>
      </c>
      <c r="X348" s="87">
        <v>107</v>
      </c>
      <c r="Y348" s="87">
        <v>226</v>
      </c>
      <c r="Z348" s="90">
        <v>241</v>
      </c>
      <c r="AA348" s="90">
        <v>313</v>
      </c>
      <c r="AB348" s="91">
        <f t="shared" si="143"/>
        <v>2.5485436893203883E-2</v>
      </c>
      <c r="AC348" s="91">
        <f t="shared" si="144"/>
        <v>6.8365695792880266E-2</v>
      </c>
      <c r="AD348" s="91">
        <f t="shared" si="145"/>
        <v>4.3284789644012944E-2</v>
      </c>
      <c r="AE348" s="91">
        <f t="shared" si="146"/>
        <v>9.1423948220064721E-2</v>
      </c>
      <c r="AF348" s="91">
        <f t="shared" si="147"/>
        <v>9.7491909385113262E-2</v>
      </c>
      <c r="AG348" s="91">
        <f t="shared" si="148"/>
        <v>0.12661812297734629</v>
      </c>
      <c r="AH348" s="92">
        <v>126.39</v>
      </c>
      <c r="AI348" s="93">
        <v>340.53000000000003</v>
      </c>
      <c r="AJ348" s="93">
        <v>340.53</v>
      </c>
      <c r="AK348" s="93">
        <v>200.61999999999978</v>
      </c>
      <c r="AL348" s="94">
        <v>308.76</v>
      </c>
      <c r="AM348" s="94">
        <v>407.77999999999901</v>
      </c>
      <c r="AN348" s="94" t="s">
        <v>780</v>
      </c>
      <c r="AO348" s="111">
        <v>4837</v>
      </c>
      <c r="AP348" s="112">
        <v>2377.7200000000003</v>
      </c>
      <c r="AQ348" s="112">
        <v>4784.3900000000003</v>
      </c>
      <c r="AR348" s="112">
        <v>6039.8799999999992</v>
      </c>
      <c r="AS348" s="113">
        <v>5995.16</v>
      </c>
      <c r="AT348" s="113">
        <v>5933.63</v>
      </c>
      <c r="AU348" s="111">
        <v>1633.98</v>
      </c>
      <c r="AV348" s="112">
        <v>4367.7999999999975</v>
      </c>
      <c r="AW348" s="112">
        <v>2745.4399999999978</v>
      </c>
      <c r="AX348" s="112">
        <v>5712.19</v>
      </c>
      <c r="AY348" s="113">
        <v>6066.53999999999</v>
      </c>
      <c r="AZ348" s="113">
        <v>7870.4500000000098</v>
      </c>
    </row>
    <row r="349" spans="1:52" x14ac:dyDescent="0.25">
      <c r="A349" s="101" t="s">
        <v>348</v>
      </c>
      <c r="B349" s="102" t="s">
        <v>349</v>
      </c>
      <c r="C349" s="102"/>
      <c r="D349" s="102" t="s">
        <v>1049</v>
      </c>
      <c r="E349" s="103">
        <v>1.1499999999999995</v>
      </c>
      <c r="F349" s="104">
        <v>1260.8000000000002</v>
      </c>
      <c r="G349" s="105">
        <f t="shared" si="135"/>
        <v>630.40000000000009</v>
      </c>
      <c r="H349" s="105">
        <v>6304</v>
      </c>
      <c r="I349" s="106">
        <f t="shared" si="136"/>
        <v>0.10000000000000002</v>
      </c>
      <c r="J349" s="86">
        <v>739</v>
      </c>
      <c r="K349" s="87">
        <v>428</v>
      </c>
      <c r="L349" s="87">
        <v>409</v>
      </c>
      <c r="M349" s="87">
        <v>994</v>
      </c>
      <c r="N349" s="90">
        <v>1100</v>
      </c>
      <c r="O349" s="90">
        <v>2203</v>
      </c>
      <c r="P349" s="86">
        <f t="shared" si="137"/>
        <v>849.84999999999957</v>
      </c>
      <c r="Q349" s="87">
        <f t="shared" si="138"/>
        <v>492.19999999999976</v>
      </c>
      <c r="R349" s="87">
        <f t="shared" si="139"/>
        <v>470.3499999999998</v>
      </c>
      <c r="S349" s="88">
        <f t="shared" si="140"/>
        <v>1143.0999999999995</v>
      </c>
      <c r="T349" s="89">
        <f t="shared" si="141"/>
        <v>1264.9999999999993</v>
      </c>
      <c r="U349" s="89">
        <f t="shared" si="142"/>
        <v>2533.4499999999989</v>
      </c>
      <c r="V349" s="86">
        <v>525</v>
      </c>
      <c r="W349" s="87">
        <v>980</v>
      </c>
      <c r="X349" s="87">
        <v>435</v>
      </c>
      <c r="Y349" s="87">
        <v>239</v>
      </c>
      <c r="Z349" s="90">
        <v>881</v>
      </c>
      <c r="AA349" s="90">
        <v>1260</v>
      </c>
      <c r="AB349" s="91">
        <f t="shared" si="143"/>
        <v>8.3280456852791881E-2</v>
      </c>
      <c r="AC349" s="91">
        <f t="shared" si="144"/>
        <v>0.15545685279187818</v>
      </c>
      <c r="AD349" s="91">
        <f t="shared" si="145"/>
        <v>6.900380710659898E-2</v>
      </c>
      <c r="AE349" s="91">
        <f t="shared" si="146"/>
        <v>3.7912436548223349E-2</v>
      </c>
      <c r="AF349" s="91">
        <f t="shared" si="147"/>
        <v>0.139752538071066</v>
      </c>
      <c r="AG349" s="91">
        <f t="shared" si="148"/>
        <v>0.19987309644670051</v>
      </c>
      <c r="AH349" s="92">
        <v>2742.4899999999989</v>
      </c>
      <c r="AI349" s="93">
        <v>5342.909999999998</v>
      </c>
      <c r="AJ349" s="93">
        <v>5342.9099999999971</v>
      </c>
      <c r="AK349" s="93">
        <v>1819.5399999999977</v>
      </c>
      <c r="AL349" s="94">
        <v>750.43</v>
      </c>
      <c r="AM349" s="94">
        <v>1912.4200000000101</v>
      </c>
      <c r="AN349" s="94" t="s">
        <v>779</v>
      </c>
      <c r="AO349" s="111">
        <v>4292.68</v>
      </c>
      <c r="AP349" s="112">
        <v>2494.9499999999998</v>
      </c>
      <c r="AQ349" s="112">
        <v>2375.75</v>
      </c>
      <c r="AR349" s="112">
        <v>5936.24</v>
      </c>
      <c r="AS349" s="113">
        <v>6597.2400000000007</v>
      </c>
      <c r="AT349" s="113">
        <v>13194.43</v>
      </c>
      <c r="AU349" s="111">
        <v>5787.49</v>
      </c>
      <c r="AV349" s="112">
        <v>11060.399999999985</v>
      </c>
      <c r="AW349" s="112">
        <v>4342.2199999999957</v>
      </c>
      <c r="AX349" s="112">
        <v>2136.63</v>
      </c>
      <c r="AY349" s="113">
        <v>7945.95999999998</v>
      </c>
      <c r="AZ349" s="113">
        <v>9410.4600000000501</v>
      </c>
    </row>
    <row r="350" spans="1:52" x14ac:dyDescent="0.25">
      <c r="A350" s="101" t="s">
        <v>998</v>
      </c>
      <c r="B350" s="102" t="s">
        <v>220</v>
      </c>
      <c r="C350" s="102"/>
      <c r="D350" s="102" t="s">
        <v>1048</v>
      </c>
      <c r="E350" s="103">
        <v>1.1400000000000001</v>
      </c>
      <c r="F350" s="104">
        <v>2000</v>
      </c>
      <c r="G350" s="105">
        <f t="shared" si="135"/>
        <v>1000</v>
      </c>
      <c r="H350" s="105">
        <v>12101</v>
      </c>
      <c r="I350" s="106">
        <f t="shared" si="136"/>
        <v>8.2637798529047179E-2</v>
      </c>
      <c r="J350" s="86">
        <v>2260</v>
      </c>
      <c r="K350" s="87">
        <v>2760</v>
      </c>
      <c r="L350" s="87">
        <v>350</v>
      </c>
      <c r="M350" s="87">
        <v>0</v>
      </c>
      <c r="N350" s="90"/>
      <c r="O350" s="90">
        <v>100</v>
      </c>
      <c r="P350" s="86">
        <f t="shared" si="137"/>
        <v>2576.4</v>
      </c>
      <c r="Q350" s="87">
        <f t="shared" si="138"/>
        <v>3146.4000000000005</v>
      </c>
      <c r="R350" s="87">
        <f t="shared" si="139"/>
        <v>399.00000000000006</v>
      </c>
      <c r="S350" s="88">
        <f t="shared" si="140"/>
        <v>0</v>
      </c>
      <c r="T350" s="89">
        <f t="shared" si="141"/>
        <v>0</v>
      </c>
      <c r="U350" s="89">
        <f t="shared" si="142"/>
        <v>114.00000000000001</v>
      </c>
      <c r="V350" s="86">
        <v>232</v>
      </c>
      <c r="W350" s="87">
        <v>864</v>
      </c>
      <c r="X350" s="87">
        <v>581</v>
      </c>
      <c r="Y350" s="87">
        <v>1156</v>
      </c>
      <c r="Z350" s="90">
        <v>884</v>
      </c>
      <c r="AA350" s="90">
        <v>1011</v>
      </c>
      <c r="AB350" s="91">
        <f t="shared" si="143"/>
        <v>1.9171969258738947E-2</v>
      </c>
      <c r="AC350" s="91">
        <f t="shared" si="144"/>
        <v>7.1399057929096774E-2</v>
      </c>
      <c r="AD350" s="91">
        <f t="shared" si="145"/>
        <v>4.8012560945376412E-2</v>
      </c>
      <c r="AE350" s="91">
        <f t="shared" si="146"/>
        <v>9.5529295099578554E-2</v>
      </c>
      <c r="AF350" s="91">
        <f t="shared" si="147"/>
        <v>7.3051813899677714E-2</v>
      </c>
      <c r="AG350" s="91">
        <f t="shared" si="148"/>
        <v>8.3546814312866702E-2</v>
      </c>
      <c r="AH350" s="92">
        <v>159.24</v>
      </c>
      <c r="AI350" s="93">
        <v>1437.579999999999</v>
      </c>
      <c r="AJ350" s="93">
        <v>1437.5799999999986</v>
      </c>
      <c r="AK350" s="93">
        <v>826.51999999999964</v>
      </c>
      <c r="AL350" s="94">
        <v>664.42999999999904</v>
      </c>
      <c r="AM350" s="94">
        <v>946.169999999997</v>
      </c>
      <c r="AN350" s="94" t="s">
        <v>779</v>
      </c>
      <c r="AO350" s="111">
        <v>6810</v>
      </c>
      <c r="AP350" s="112">
        <v>8362</v>
      </c>
      <c r="AQ350" s="112">
        <v>1050</v>
      </c>
      <c r="AR350" s="112">
        <v>0</v>
      </c>
      <c r="AS350" s="113">
        <v>0</v>
      </c>
      <c r="AT350" s="113">
        <v>166</v>
      </c>
      <c r="AU350" s="111">
        <v>0</v>
      </c>
      <c r="AV350" s="112">
        <v>0</v>
      </c>
      <c r="AW350" s="112">
        <v>0</v>
      </c>
      <c r="AX350" s="112">
        <v>0</v>
      </c>
      <c r="AY350" s="113">
        <v>0</v>
      </c>
      <c r="AZ350" s="113">
        <v>0</v>
      </c>
    </row>
    <row r="351" spans="1:52" x14ac:dyDescent="0.25">
      <c r="A351" s="101" t="s">
        <v>999</v>
      </c>
      <c r="B351" s="102" t="s">
        <v>405</v>
      </c>
      <c r="C351" s="102"/>
      <c r="D351" s="102" t="s">
        <v>1048</v>
      </c>
      <c r="E351" s="103">
        <v>1.1200000000000001</v>
      </c>
      <c r="F351" s="104">
        <v>500</v>
      </c>
      <c r="G351" s="105">
        <f t="shared" si="135"/>
        <v>250</v>
      </c>
      <c r="H351" s="105">
        <v>1405</v>
      </c>
      <c r="I351" s="106">
        <f t="shared" si="136"/>
        <v>0.17793594306049823</v>
      </c>
      <c r="J351" s="86">
        <v>30</v>
      </c>
      <c r="K351" s="87">
        <v>0</v>
      </c>
      <c r="L351" s="87">
        <v>233</v>
      </c>
      <c r="M351" s="87">
        <v>1494</v>
      </c>
      <c r="N351" s="90">
        <v>59</v>
      </c>
      <c r="O351" s="90">
        <v>0</v>
      </c>
      <c r="P351" s="86">
        <f t="shared" si="137"/>
        <v>33.6</v>
      </c>
      <c r="Q351" s="87">
        <f t="shared" si="138"/>
        <v>0</v>
      </c>
      <c r="R351" s="87">
        <f t="shared" si="139"/>
        <v>260.96000000000004</v>
      </c>
      <c r="S351" s="88">
        <f t="shared" si="140"/>
        <v>1673.2800000000002</v>
      </c>
      <c r="T351" s="89">
        <f t="shared" si="141"/>
        <v>66.080000000000013</v>
      </c>
      <c r="U351" s="89">
        <f t="shared" si="142"/>
        <v>0</v>
      </c>
      <c r="V351" s="86">
        <v>349</v>
      </c>
      <c r="W351" s="87">
        <v>30</v>
      </c>
      <c r="X351" s="87">
        <v>199</v>
      </c>
      <c r="Y351" s="87">
        <v>151</v>
      </c>
      <c r="Z351" s="90">
        <v>190</v>
      </c>
      <c r="AA351" s="90">
        <v>439</v>
      </c>
      <c r="AB351" s="91">
        <f t="shared" si="143"/>
        <v>0.2483985765124555</v>
      </c>
      <c r="AC351" s="91">
        <f t="shared" si="144"/>
        <v>2.1352313167259787E-2</v>
      </c>
      <c r="AD351" s="91">
        <f t="shared" si="145"/>
        <v>0.14163701067615658</v>
      </c>
      <c r="AE351" s="91">
        <f t="shared" si="146"/>
        <v>0.10747330960854093</v>
      </c>
      <c r="AF351" s="91">
        <f t="shared" si="147"/>
        <v>0.13523131672597866</v>
      </c>
      <c r="AG351" s="91">
        <f t="shared" si="148"/>
        <v>0.31245551601423488</v>
      </c>
      <c r="AH351" s="92">
        <v>534.60000000000014</v>
      </c>
      <c r="AI351" s="93">
        <v>47.58</v>
      </c>
      <c r="AJ351" s="93">
        <v>47.58</v>
      </c>
      <c r="AK351" s="93">
        <v>250.08999999999901</v>
      </c>
      <c r="AL351" s="94">
        <v>222.05999999999901</v>
      </c>
      <c r="AM351" s="94">
        <v>527.16999999999996</v>
      </c>
      <c r="AN351" s="94" t="s">
        <v>779</v>
      </c>
      <c r="AO351" s="111">
        <v>234</v>
      </c>
      <c r="AP351" s="112">
        <v>0</v>
      </c>
      <c r="AQ351" s="112">
        <v>1836.04</v>
      </c>
      <c r="AR351" s="112">
        <v>11549.659999999998</v>
      </c>
      <c r="AS351" s="113">
        <v>462.56</v>
      </c>
      <c r="AT351" s="113">
        <v>0</v>
      </c>
      <c r="AU351" s="111">
        <v>0</v>
      </c>
      <c r="AV351" s="112">
        <v>0</v>
      </c>
      <c r="AW351" s="112">
        <v>0</v>
      </c>
      <c r="AX351" s="112">
        <v>0</v>
      </c>
      <c r="AY351" s="113">
        <v>0</v>
      </c>
      <c r="AZ351" s="113">
        <v>0</v>
      </c>
    </row>
    <row r="352" spans="1:52" x14ac:dyDescent="0.25">
      <c r="A352" s="101" t="s">
        <v>589</v>
      </c>
      <c r="B352" s="102" t="s">
        <v>590</v>
      </c>
      <c r="C352" s="102"/>
      <c r="D352" s="102" t="s">
        <v>1048</v>
      </c>
      <c r="E352" s="103">
        <v>1.110000000000003</v>
      </c>
      <c r="F352" s="104">
        <v>900</v>
      </c>
      <c r="G352" s="105">
        <f t="shared" si="135"/>
        <v>450</v>
      </c>
      <c r="H352" s="105">
        <v>719</v>
      </c>
      <c r="I352" s="106">
        <f t="shared" si="136"/>
        <v>0.62586926286509037</v>
      </c>
      <c r="J352" s="86">
        <v>242</v>
      </c>
      <c r="K352" s="87">
        <v>99</v>
      </c>
      <c r="L352" s="87">
        <v>330</v>
      </c>
      <c r="M352" s="87">
        <v>0</v>
      </c>
      <c r="N352" s="90"/>
      <c r="O352" s="90">
        <v>130</v>
      </c>
      <c r="P352" s="86">
        <f t="shared" si="137"/>
        <v>268.62000000000074</v>
      </c>
      <c r="Q352" s="87">
        <f t="shared" si="138"/>
        <v>109.8900000000003</v>
      </c>
      <c r="R352" s="87">
        <f t="shared" si="139"/>
        <v>366.30000000000098</v>
      </c>
      <c r="S352" s="88">
        <f t="shared" si="140"/>
        <v>0</v>
      </c>
      <c r="T352" s="89">
        <f t="shared" si="141"/>
        <v>0</v>
      </c>
      <c r="U352" s="89">
        <f t="shared" si="142"/>
        <v>144.30000000000038</v>
      </c>
      <c r="V352" s="86">
        <v>10</v>
      </c>
      <c r="W352" s="87">
        <v>249</v>
      </c>
      <c r="X352" s="87">
        <v>213</v>
      </c>
      <c r="Y352" s="87">
        <v>167</v>
      </c>
      <c r="Z352" s="90">
        <v>235</v>
      </c>
      <c r="AA352" s="90">
        <v>1</v>
      </c>
      <c r="AB352" s="91">
        <f t="shared" si="143"/>
        <v>1.3908205841446454E-2</v>
      </c>
      <c r="AC352" s="91">
        <f t="shared" si="144"/>
        <v>0.34631432545201668</v>
      </c>
      <c r="AD352" s="91">
        <f t="shared" si="145"/>
        <v>0.29624478442280944</v>
      </c>
      <c r="AE352" s="91">
        <f t="shared" si="146"/>
        <v>0.23226703755215578</v>
      </c>
      <c r="AF352" s="91">
        <f t="shared" si="147"/>
        <v>0.32684283727399166</v>
      </c>
      <c r="AG352" s="91">
        <f t="shared" si="148"/>
        <v>1.3908205841446453E-3</v>
      </c>
      <c r="AH352" s="92">
        <v>24.1</v>
      </c>
      <c r="AI352" s="93">
        <v>379.6</v>
      </c>
      <c r="AJ352" s="93">
        <v>379.59999999999997</v>
      </c>
      <c r="AK352" s="93">
        <v>537.83999999999969</v>
      </c>
      <c r="AL352" s="94">
        <v>320.24999999999898</v>
      </c>
      <c r="AM352" s="94">
        <v>1.1100000000000001</v>
      </c>
      <c r="AN352" s="94" t="s">
        <v>780</v>
      </c>
      <c r="AO352" s="111">
        <v>4338.24</v>
      </c>
      <c r="AP352" s="112">
        <v>2014.65</v>
      </c>
      <c r="AQ352" s="112">
        <v>6753.2</v>
      </c>
      <c r="AR352" s="112">
        <v>0</v>
      </c>
      <c r="AS352" s="113">
        <v>0</v>
      </c>
      <c r="AT352" s="113">
        <v>2600</v>
      </c>
      <c r="AU352" s="111">
        <v>231.5</v>
      </c>
      <c r="AV352" s="112">
        <v>5463.0899999999974</v>
      </c>
      <c r="AW352" s="112">
        <v>4879.5999999999949</v>
      </c>
      <c r="AX352" s="112">
        <v>3748.73</v>
      </c>
      <c r="AY352" s="113">
        <v>5158.3399999999901</v>
      </c>
      <c r="AZ352" s="113">
        <v>21.6</v>
      </c>
    </row>
    <row r="353" spans="1:52" x14ac:dyDescent="0.25">
      <c r="A353" s="101" t="s">
        <v>251</v>
      </c>
      <c r="B353" s="102" t="s">
        <v>252</v>
      </c>
      <c r="C353" s="102"/>
      <c r="D353" s="102" t="s">
        <v>1048</v>
      </c>
      <c r="E353" s="103">
        <v>1.1099999999999999</v>
      </c>
      <c r="F353" s="104">
        <v>4000</v>
      </c>
      <c r="G353" s="105">
        <f t="shared" si="135"/>
        <v>2000</v>
      </c>
      <c r="H353" s="105">
        <v>6339</v>
      </c>
      <c r="I353" s="106">
        <f t="shared" si="136"/>
        <v>0.31550717778829468</v>
      </c>
      <c r="J353" s="86">
        <v>0</v>
      </c>
      <c r="K353" s="87">
        <v>0</v>
      </c>
      <c r="L353" s="87">
        <v>0</v>
      </c>
      <c r="M353" s="87">
        <v>0</v>
      </c>
      <c r="N353" s="90">
        <v>195</v>
      </c>
      <c r="O353" s="90">
        <v>114</v>
      </c>
      <c r="P353" s="86">
        <f t="shared" si="137"/>
        <v>0</v>
      </c>
      <c r="Q353" s="87">
        <f t="shared" si="138"/>
        <v>0</v>
      </c>
      <c r="R353" s="87">
        <f t="shared" si="139"/>
        <v>0</v>
      </c>
      <c r="S353" s="88">
        <f t="shared" si="140"/>
        <v>0</v>
      </c>
      <c r="T353" s="89">
        <f t="shared" si="141"/>
        <v>216.45</v>
      </c>
      <c r="U353" s="89">
        <f t="shared" si="142"/>
        <v>126.53999999999999</v>
      </c>
      <c r="V353" s="86">
        <v>1791</v>
      </c>
      <c r="W353" s="87">
        <v>1812</v>
      </c>
      <c r="X353" s="87">
        <v>3061</v>
      </c>
      <c r="Y353" s="87">
        <v>1830</v>
      </c>
      <c r="Z353" s="90">
        <v>1011</v>
      </c>
      <c r="AA353" s="90">
        <v>1196</v>
      </c>
      <c r="AB353" s="91">
        <f t="shared" si="143"/>
        <v>0.28253667770941787</v>
      </c>
      <c r="AC353" s="91">
        <f t="shared" si="144"/>
        <v>0.285849503076195</v>
      </c>
      <c r="AD353" s="91">
        <f t="shared" si="145"/>
        <v>0.48288373560498499</v>
      </c>
      <c r="AE353" s="91">
        <f t="shared" si="146"/>
        <v>0.28868906767628966</v>
      </c>
      <c r="AF353" s="91">
        <f t="shared" si="147"/>
        <v>0.15948887837198297</v>
      </c>
      <c r="AG353" s="91">
        <f t="shared" si="148"/>
        <v>0.18867329231740021</v>
      </c>
      <c r="AH353" s="92">
        <v>435.82000000000022</v>
      </c>
      <c r="AI353" s="93">
        <v>193.07999999999981</v>
      </c>
      <c r="AJ353" s="93">
        <v>193.07999999999979</v>
      </c>
      <c r="AK353" s="93">
        <v>135.00999999999968</v>
      </c>
      <c r="AL353" s="94">
        <v>410.30000000000098</v>
      </c>
      <c r="AM353" s="94">
        <v>403.03</v>
      </c>
      <c r="AN353" s="94" t="s">
        <v>779</v>
      </c>
      <c r="AO353" s="111">
        <v>0</v>
      </c>
      <c r="AP353" s="112">
        <v>0</v>
      </c>
      <c r="AQ353" s="112">
        <v>0</v>
      </c>
      <c r="AR353" s="112">
        <v>0</v>
      </c>
      <c r="AS353" s="113">
        <v>514.79999999999995</v>
      </c>
      <c r="AT353" s="113">
        <v>426.36</v>
      </c>
      <c r="AU353" s="111">
        <v>8656.5100000000075</v>
      </c>
      <c r="AV353" s="112">
        <v>8510.159999999998</v>
      </c>
      <c r="AW353" s="112">
        <v>14126.049999999977</v>
      </c>
      <c r="AX353" s="112">
        <v>8739.4299999999894</v>
      </c>
      <c r="AY353" s="113">
        <v>4784.0900000000202</v>
      </c>
      <c r="AZ353" s="113">
        <v>5377.09</v>
      </c>
    </row>
    <row r="354" spans="1:52" x14ac:dyDescent="0.25">
      <c r="A354" s="101" t="s">
        <v>311</v>
      </c>
      <c r="B354" s="102" t="s">
        <v>312</v>
      </c>
      <c r="C354" s="102"/>
      <c r="D354" s="102" t="s">
        <v>1048</v>
      </c>
      <c r="E354" s="103">
        <v>1.1099999999999994</v>
      </c>
      <c r="F354" s="104">
        <v>10000</v>
      </c>
      <c r="G354" s="105">
        <f t="shared" si="135"/>
        <v>5000</v>
      </c>
      <c r="H354" s="105">
        <v>49911</v>
      </c>
      <c r="I354" s="106">
        <f t="shared" si="136"/>
        <v>0.10017831740498087</v>
      </c>
      <c r="J354" s="86">
        <v>0</v>
      </c>
      <c r="K354" s="87">
        <v>80</v>
      </c>
      <c r="L354" s="87">
        <v>0</v>
      </c>
      <c r="M354" s="87">
        <v>0</v>
      </c>
      <c r="N354" s="90">
        <v>25</v>
      </c>
      <c r="O354" s="90">
        <v>46</v>
      </c>
      <c r="P354" s="86">
        <f t="shared" si="137"/>
        <v>0</v>
      </c>
      <c r="Q354" s="87">
        <f t="shared" si="138"/>
        <v>88.799999999999955</v>
      </c>
      <c r="R354" s="87">
        <f t="shared" si="139"/>
        <v>0</v>
      </c>
      <c r="S354" s="88">
        <f t="shared" si="140"/>
        <v>0</v>
      </c>
      <c r="T354" s="89">
        <f t="shared" si="141"/>
        <v>27.749999999999986</v>
      </c>
      <c r="U354" s="89">
        <f t="shared" si="142"/>
        <v>51.059999999999974</v>
      </c>
      <c r="V354" s="86">
        <v>0</v>
      </c>
      <c r="W354" s="87">
        <v>0</v>
      </c>
      <c r="X354" s="87">
        <v>0</v>
      </c>
      <c r="Y354" s="87">
        <v>0</v>
      </c>
      <c r="Z354" s="90">
        <v>0</v>
      </c>
      <c r="AA354" s="90">
        <v>121</v>
      </c>
      <c r="AB354" s="91">
        <f t="shared" si="143"/>
        <v>0</v>
      </c>
      <c r="AC354" s="91">
        <f t="shared" si="144"/>
        <v>0</v>
      </c>
      <c r="AD354" s="91">
        <f t="shared" si="145"/>
        <v>0</v>
      </c>
      <c r="AE354" s="91">
        <f t="shared" si="146"/>
        <v>0</v>
      </c>
      <c r="AF354" s="91">
        <f t="shared" si="147"/>
        <v>0</v>
      </c>
      <c r="AG354" s="91">
        <f t="shared" si="148"/>
        <v>2.4243152812005371E-3</v>
      </c>
      <c r="AH354" s="92">
        <v>0</v>
      </c>
      <c r="AI354" s="93">
        <v>0</v>
      </c>
      <c r="AJ354" s="93">
        <v>0</v>
      </c>
      <c r="AK354" s="93">
        <v>0</v>
      </c>
      <c r="AL354" s="94">
        <v>0</v>
      </c>
      <c r="AM354" s="94">
        <v>134.19999999999999</v>
      </c>
      <c r="AN354" s="94" t="s">
        <v>779</v>
      </c>
      <c r="AO354" s="111">
        <v>0</v>
      </c>
      <c r="AP354" s="112">
        <v>389.6</v>
      </c>
      <c r="AQ354" s="112">
        <v>0</v>
      </c>
      <c r="AR354" s="112">
        <v>0</v>
      </c>
      <c r="AS354" s="113">
        <v>121.25</v>
      </c>
      <c r="AT354" s="113">
        <v>221.72</v>
      </c>
      <c r="AU354" s="111">
        <v>0</v>
      </c>
      <c r="AV354" s="112">
        <v>0</v>
      </c>
      <c r="AW354" s="112">
        <v>0</v>
      </c>
      <c r="AX354" s="112">
        <v>0</v>
      </c>
      <c r="AY354" s="113">
        <v>0</v>
      </c>
      <c r="AZ354" s="113">
        <v>727.1</v>
      </c>
    </row>
    <row r="355" spans="1:52" x14ac:dyDescent="0.25">
      <c r="A355" s="101" t="s">
        <v>629</v>
      </c>
      <c r="B355" s="102" t="s">
        <v>630</v>
      </c>
      <c r="C355" s="102"/>
      <c r="D355" s="102" t="s">
        <v>1049</v>
      </c>
      <c r="E355" s="103">
        <v>1.1099999999999994</v>
      </c>
      <c r="F355" s="104">
        <v>15000</v>
      </c>
      <c r="G355" s="105">
        <f t="shared" si="135"/>
        <v>7500</v>
      </c>
      <c r="H355" s="105">
        <v>34314</v>
      </c>
      <c r="I355" s="106">
        <f t="shared" si="136"/>
        <v>0.21856968001398847</v>
      </c>
      <c r="J355" s="86">
        <v>796</v>
      </c>
      <c r="K355" s="87">
        <v>688</v>
      </c>
      <c r="L355" s="87">
        <v>499</v>
      </c>
      <c r="M355" s="87">
        <v>48</v>
      </c>
      <c r="N355" s="90">
        <v>46</v>
      </c>
      <c r="O355" s="90">
        <v>113</v>
      </c>
      <c r="P355" s="86">
        <f t="shared" si="137"/>
        <v>883.55999999999949</v>
      </c>
      <c r="Q355" s="87">
        <f t="shared" si="138"/>
        <v>763.67999999999961</v>
      </c>
      <c r="R355" s="87">
        <f t="shared" si="139"/>
        <v>553.88999999999976</v>
      </c>
      <c r="S355" s="88">
        <f t="shared" si="140"/>
        <v>53.279999999999973</v>
      </c>
      <c r="T355" s="89">
        <f t="shared" si="141"/>
        <v>51.059999999999974</v>
      </c>
      <c r="U355" s="89">
        <f t="shared" si="142"/>
        <v>125.42999999999994</v>
      </c>
      <c r="V355" s="86">
        <v>100</v>
      </c>
      <c r="W355" s="87">
        <v>989</v>
      </c>
      <c r="X355" s="87">
        <v>446</v>
      </c>
      <c r="Y355" s="87">
        <v>684</v>
      </c>
      <c r="Z355" s="90">
        <v>180</v>
      </c>
      <c r="AA355" s="90">
        <v>576</v>
      </c>
      <c r="AB355" s="91">
        <f t="shared" si="143"/>
        <v>2.9142624001865128E-3</v>
      </c>
      <c r="AC355" s="91">
        <f t="shared" si="144"/>
        <v>2.882205513784461E-2</v>
      </c>
      <c r="AD355" s="91">
        <f t="shared" si="145"/>
        <v>1.2997610304831847E-2</v>
      </c>
      <c r="AE355" s="91">
        <f t="shared" si="146"/>
        <v>1.9933554817275746E-2</v>
      </c>
      <c r="AF355" s="91">
        <f t="shared" si="147"/>
        <v>5.2456723203357231E-3</v>
      </c>
      <c r="AG355" s="91">
        <f t="shared" si="148"/>
        <v>1.6786151425074315E-2</v>
      </c>
      <c r="AH355" s="92">
        <v>33.619999999999997</v>
      </c>
      <c r="AI355" s="93">
        <v>1087.1299999999972</v>
      </c>
      <c r="AJ355" s="93">
        <v>1087.1299999999972</v>
      </c>
      <c r="AK355" s="93">
        <v>478.61999999999892</v>
      </c>
      <c r="AL355" s="94">
        <v>856.37</v>
      </c>
      <c r="AM355" s="94">
        <v>354.93</v>
      </c>
      <c r="AN355" s="94" t="s">
        <v>780</v>
      </c>
      <c r="AO355" s="111">
        <v>21546.980000000003</v>
      </c>
      <c r="AP355" s="112">
        <v>18716.96</v>
      </c>
      <c r="AQ355" s="112">
        <v>13502.57</v>
      </c>
      <c r="AR355" s="112">
        <v>1295.52</v>
      </c>
      <c r="AS355" s="113">
        <v>1268.68</v>
      </c>
      <c r="AT355" s="113">
        <v>3118.58</v>
      </c>
      <c r="AU355" s="111">
        <v>2848.62</v>
      </c>
      <c r="AV355" s="112">
        <v>28158.370000000006</v>
      </c>
      <c r="AW355" s="112">
        <v>12560.669999999991</v>
      </c>
      <c r="AX355" s="112">
        <v>19385.949999999899</v>
      </c>
      <c r="AY355" s="113">
        <v>5116.78</v>
      </c>
      <c r="AZ355" s="113">
        <v>16342.98</v>
      </c>
    </row>
    <row r="356" spans="1:52" x14ac:dyDescent="0.25">
      <c r="A356" s="101" t="s">
        <v>1000</v>
      </c>
      <c r="B356" s="102" t="s">
        <v>831</v>
      </c>
      <c r="C356" s="102"/>
      <c r="D356" s="102" t="s">
        <v>1048</v>
      </c>
      <c r="E356" s="103">
        <v>1.1096175122490917</v>
      </c>
      <c r="F356" s="104">
        <v>500</v>
      </c>
      <c r="G356" s="105">
        <f t="shared" si="135"/>
        <v>250</v>
      </c>
      <c r="H356" s="105">
        <v>200</v>
      </c>
      <c r="I356" s="106">
        <f t="shared" si="136"/>
        <v>1.25</v>
      </c>
      <c r="J356" s="86">
        <v>0</v>
      </c>
      <c r="K356" s="86">
        <v>0</v>
      </c>
      <c r="L356" s="86">
        <v>0</v>
      </c>
      <c r="M356" s="86">
        <v>0</v>
      </c>
      <c r="N356" s="86">
        <v>0</v>
      </c>
      <c r="O356" s="90">
        <v>412</v>
      </c>
      <c r="P356" s="86"/>
      <c r="Q356" s="87"/>
      <c r="R356" s="87"/>
      <c r="S356" s="88"/>
      <c r="T356" s="89"/>
      <c r="U356" s="89">
        <f t="shared" si="142"/>
        <v>457.16241504662577</v>
      </c>
      <c r="V356" s="86"/>
      <c r="W356" s="87"/>
      <c r="X356" s="87"/>
      <c r="Y356" s="87"/>
      <c r="Z356" s="90"/>
      <c r="AA356" s="90"/>
      <c r="AB356" s="91">
        <f t="shared" si="143"/>
        <v>0</v>
      </c>
      <c r="AC356" s="91">
        <f t="shared" si="144"/>
        <v>0</v>
      </c>
      <c r="AD356" s="91">
        <f t="shared" si="145"/>
        <v>0</v>
      </c>
      <c r="AE356" s="91">
        <f t="shared" si="146"/>
        <v>0</v>
      </c>
      <c r="AF356" s="91">
        <f t="shared" si="147"/>
        <v>0</v>
      </c>
      <c r="AG356" s="91">
        <f t="shared" si="148"/>
        <v>0</v>
      </c>
      <c r="AH356" s="92"/>
      <c r="AI356" s="93"/>
      <c r="AJ356" s="93"/>
      <c r="AK356" s="93"/>
      <c r="AL356" s="94"/>
      <c r="AM356" s="94"/>
      <c r="AN356" s="94" t="s">
        <v>779</v>
      </c>
      <c r="AO356" s="111">
        <v>0</v>
      </c>
      <c r="AP356" s="112">
        <v>0</v>
      </c>
      <c r="AQ356" s="112">
        <v>0</v>
      </c>
      <c r="AR356" s="112">
        <v>0</v>
      </c>
      <c r="AS356" s="113">
        <v>0</v>
      </c>
      <c r="AT356" s="113">
        <v>1407.88</v>
      </c>
      <c r="AU356" s="111">
        <v>0</v>
      </c>
      <c r="AV356" s="112">
        <v>0</v>
      </c>
      <c r="AW356" s="112">
        <v>0</v>
      </c>
      <c r="AX356" s="112">
        <v>0</v>
      </c>
      <c r="AY356" s="113">
        <v>0</v>
      </c>
      <c r="AZ356" s="113">
        <v>0</v>
      </c>
    </row>
    <row r="357" spans="1:52" x14ac:dyDescent="0.25">
      <c r="A357" s="101" t="s">
        <v>1001</v>
      </c>
      <c r="B357" s="102" t="s">
        <v>272</v>
      </c>
      <c r="C357" s="102"/>
      <c r="D357" s="102" t="s">
        <v>1048</v>
      </c>
      <c r="E357" s="103">
        <v>1.0900000000000007</v>
      </c>
      <c r="F357" s="104">
        <v>2000</v>
      </c>
      <c r="G357" s="105">
        <f t="shared" si="135"/>
        <v>1000</v>
      </c>
      <c r="H357" s="105">
        <v>22148</v>
      </c>
      <c r="I357" s="106">
        <f t="shared" si="136"/>
        <v>4.5150803684305581E-2</v>
      </c>
      <c r="J357" s="86">
        <v>0</v>
      </c>
      <c r="K357" s="87">
        <v>0</v>
      </c>
      <c r="L357" s="87">
        <v>0</v>
      </c>
      <c r="M357" s="87">
        <v>100</v>
      </c>
      <c r="N357" s="90">
        <v>265</v>
      </c>
      <c r="O357" s="90">
        <v>4081</v>
      </c>
      <c r="P357" s="86">
        <f t="shared" ref="P357:P367" si="149">+J357*E357</f>
        <v>0</v>
      </c>
      <c r="Q357" s="87">
        <f t="shared" ref="Q357:Q367" si="150">+K357*E357</f>
        <v>0</v>
      </c>
      <c r="R357" s="87">
        <f t="shared" ref="R357:R367" si="151">+L357*E357</f>
        <v>0</v>
      </c>
      <c r="S357" s="88">
        <f t="shared" ref="S357:S367" si="152">+M357*E357</f>
        <v>109.00000000000007</v>
      </c>
      <c r="T357" s="89">
        <f t="shared" ref="T357:T367" si="153">+N357*E357</f>
        <v>288.85000000000019</v>
      </c>
      <c r="U357" s="89">
        <f t="shared" si="142"/>
        <v>4448.2900000000027</v>
      </c>
      <c r="V357" s="86">
        <v>587</v>
      </c>
      <c r="W357" s="87">
        <v>1174</v>
      </c>
      <c r="X357" s="87">
        <v>676</v>
      </c>
      <c r="Y357" s="87">
        <v>659</v>
      </c>
      <c r="Z357" s="90">
        <v>644</v>
      </c>
      <c r="AA357" s="90">
        <v>590</v>
      </c>
      <c r="AB357" s="91">
        <f t="shared" si="143"/>
        <v>2.6503521762687377E-2</v>
      </c>
      <c r="AC357" s="91">
        <f t="shared" si="144"/>
        <v>5.3007043525374754E-2</v>
      </c>
      <c r="AD357" s="91">
        <f t="shared" si="145"/>
        <v>3.0521943290590572E-2</v>
      </c>
      <c r="AE357" s="91">
        <f t="shared" si="146"/>
        <v>2.9754379627957378E-2</v>
      </c>
      <c r="AF357" s="91">
        <f t="shared" si="147"/>
        <v>2.9077117572692796E-2</v>
      </c>
      <c r="AG357" s="91">
        <f t="shared" si="148"/>
        <v>2.6638974173740292E-2</v>
      </c>
      <c r="AH357" s="92">
        <v>73.64</v>
      </c>
      <c r="AI357" s="93">
        <v>117.80999999999895</v>
      </c>
      <c r="AJ357" s="93">
        <v>117.80999999999896</v>
      </c>
      <c r="AK357" s="93">
        <v>53.709999999999987</v>
      </c>
      <c r="AL357" s="94">
        <v>930.83</v>
      </c>
      <c r="AM357" s="94">
        <v>662.85999999999797</v>
      </c>
      <c r="AN357" s="94" t="s">
        <v>779</v>
      </c>
      <c r="AO357" s="111">
        <v>0</v>
      </c>
      <c r="AP357" s="112">
        <v>0</v>
      </c>
      <c r="AQ357" s="112">
        <v>0</v>
      </c>
      <c r="AR357" s="112">
        <v>398</v>
      </c>
      <c r="AS357" s="113">
        <v>1049.4000000000001</v>
      </c>
      <c r="AT357" s="113">
        <v>16689.38</v>
      </c>
      <c r="AU357" s="111">
        <v>0</v>
      </c>
      <c r="AV357" s="112">
        <v>0</v>
      </c>
      <c r="AW357" s="112">
        <v>0</v>
      </c>
      <c r="AX357" s="112">
        <v>0</v>
      </c>
      <c r="AY357" s="113">
        <v>0</v>
      </c>
      <c r="AZ357" s="113">
        <v>0</v>
      </c>
    </row>
    <row r="358" spans="1:52" x14ac:dyDescent="0.25">
      <c r="A358" s="101" t="s">
        <v>1002</v>
      </c>
      <c r="B358" s="102" t="s">
        <v>159</v>
      </c>
      <c r="C358" s="102"/>
      <c r="D358" s="102" t="s">
        <v>1049</v>
      </c>
      <c r="E358" s="103">
        <v>1.08</v>
      </c>
      <c r="F358" s="104">
        <v>1000</v>
      </c>
      <c r="G358" s="105">
        <f t="shared" si="135"/>
        <v>500</v>
      </c>
      <c r="H358" s="105">
        <v>5587</v>
      </c>
      <c r="I358" s="106">
        <f t="shared" si="136"/>
        <v>8.9493466976910685E-2</v>
      </c>
      <c r="J358" s="86">
        <v>0</v>
      </c>
      <c r="K358" s="87">
        <v>0</v>
      </c>
      <c r="L358" s="87">
        <v>0</v>
      </c>
      <c r="M358" s="87">
        <v>0</v>
      </c>
      <c r="N358" s="90">
        <v>1000</v>
      </c>
      <c r="O358" s="90">
        <v>3084</v>
      </c>
      <c r="P358" s="86">
        <f t="shared" si="149"/>
        <v>0</v>
      </c>
      <c r="Q358" s="87">
        <f t="shared" si="150"/>
        <v>0</v>
      </c>
      <c r="R358" s="87">
        <f t="shared" si="151"/>
        <v>0</v>
      </c>
      <c r="S358" s="88">
        <f t="shared" si="152"/>
        <v>0</v>
      </c>
      <c r="T358" s="89">
        <f t="shared" si="153"/>
        <v>1080</v>
      </c>
      <c r="U358" s="89">
        <f t="shared" si="142"/>
        <v>3330.7200000000003</v>
      </c>
      <c r="V358" s="86">
        <v>0</v>
      </c>
      <c r="W358" s="87">
        <v>0</v>
      </c>
      <c r="X358" s="87">
        <v>0</v>
      </c>
      <c r="Y358" s="87">
        <v>0</v>
      </c>
      <c r="Z358" s="90">
        <v>0</v>
      </c>
      <c r="AA358" s="90">
        <v>1206</v>
      </c>
      <c r="AB358" s="91">
        <f t="shared" si="143"/>
        <v>0</v>
      </c>
      <c r="AC358" s="91">
        <f t="shared" si="144"/>
        <v>0</v>
      </c>
      <c r="AD358" s="91">
        <f t="shared" si="145"/>
        <v>0</v>
      </c>
      <c r="AE358" s="91">
        <f t="shared" si="146"/>
        <v>0</v>
      </c>
      <c r="AF358" s="91">
        <f t="shared" si="147"/>
        <v>0</v>
      </c>
      <c r="AG358" s="91">
        <f t="shared" si="148"/>
        <v>0.21585824234830858</v>
      </c>
      <c r="AH358" s="92">
        <v>0</v>
      </c>
      <c r="AI358" s="93">
        <v>0</v>
      </c>
      <c r="AJ358" s="93">
        <v>0</v>
      </c>
      <c r="AK358" s="93">
        <v>0</v>
      </c>
      <c r="AL358" s="94">
        <v>0</v>
      </c>
      <c r="AM358" s="94">
        <v>1422.92</v>
      </c>
      <c r="AN358" s="94" t="s">
        <v>779</v>
      </c>
      <c r="AO358" s="111">
        <v>0</v>
      </c>
      <c r="AP358" s="112">
        <v>0</v>
      </c>
      <c r="AQ358" s="112">
        <v>0</v>
      </c>
      <c r="AR358" s="112">
        <v>0</v>
      </c>
      <c r="AS358" s="113">
        <v>2200</v>
      </c>
      <c r="AT358" s="113">
        <v>6820.82</v>
      </c>
      <c r="AU358" s="111">
        <v>0</v>
      </c>
      <c r="AV358" s="112">
        <v>0</v>
      </c>
      <c r="AW358" s="112">
        <v>0</v>
      </c>
      <c r="AX358" s="112">
        <v>0</v>
      </c>
      <c r="AY358" s="113">
        <v>0</v>
      </c>
      <c r="AZ358" s="113">
        <v>0</v>
      </c>
    </row>
    <row r="359" spans="1:52" x14ac:dyDescent="0.25">
      <c r="A359" s="101" t="s">
        <v>681</v>
      </c>
      <c r="B359" s="102" t="s">
        <v>682</v>
      </c>
      <c r="C359" s="102"/>
      <c r="D359" s="102" t="s">
        <v>1048</v>
      </c>
      <c r="E359" s="103">
        <v>1.0500000000000043</v>
      </c>
      <c r="F359" s="104">
        <v>300</v>
      </c>
      <c r="G359" s="105">
        <f t="shared" si="135"/>
        <v>150</v>
      </c>
      <c r="H359" s="105">
        <v>820</v>
      </c>
      <c r="I359" s="106">
        <f t="shared" si="136"/>
        <v>0.18292682926829268</v>
      </c>
      <c r="J359" s="86">
        <v>0</v>
      </c>
      <c r="K359" s="87">
        <v>0</v>
      </c>
      <c r="L359" s="87">
        <v>597</v>
      </c>
      <c r="M359" s="87">
        <v>346</v>
      </c>
      <c r="N359" s="90">
        <v>290</v>
      </c>
      <c r="O359" s="90">
        <v>198</v>
      </c>
      <c r="P359" s="86">
        <f t="shared" si="149"/>
        <v>0</v>
      </c>
      <c r="Q359" s="87">
        <f t="shared" si="150"/>
        <v>0</v>
      </c>
      <c r="R359" s="87">
        <f t="shared" si="151"/>
        <v>626.85000000000252</v>
      </c>
      <c r="S359" s="88">
        <f t="shared" si="152"/>
        <v>363.30000000000149</v>
      </c>
      <c r="T359" s="89">
        <f t="shared" si="153"/>
        <v>304.50000000000125</v>
      </c>
      <c r="U359" s="89">
        <f t="shared" si="142"/>
        <v>207.90000000000083</v>
      </c>
      <c r="V359" s="86">
        <v>280</v>
      </c>
      <c r="W359" s="87">
        <v>238</v>
      </c>
      <c r="X359" s="87">
        <v>90</v>
      </c>
      <c r="Y359" s="87">
        <v>214</v>
      </c>
      <c r="Z359" s="90">
        <v>348</v>
      </c>
      <c r="AA359" s="90">
        <v>229</v>
      </c>
      <c r="AB359" s="91">
        <f t="shared" si="143"/>
        <v>0.34146341463414637</v>
      </c>
      <c r="AC359" s="91">
        <f t="shared" si="144"/>
        <v>0.29024390243902437</v>
      </c>
      <c r="AD359" s="91">
        <f t="shared" si="145"/>
        <v>0.10975609756097561</v>
      </c>
      <c r="AE359" s="91">
        <f t="shared" si="146"/>
        <v>0.26097560975609757</v>
      </c>
      <c r="AF359" s="91">
        <f t="shared" si="147"/>
        <v>0.42439024390243901</v>
      </c>
      <c r="AG359" s="91">
        <f t="shared" si="148"/>
        <v>0.27926829268292686</v>
      </c>
      <c r="AH359" s="92">
        <v>751.39999999999986</v>
      </c>
      <c r="AI359" s="93">
        <v>1090.4399999999998</v>
      </c>
      <c r="AJ359" s="93">
        <v>1090.4399999999998</v>
      </c>
      <c r="AK359" s="93">
        <v>538.58999999999992</v>
      </c>
      <c r="AL359" s="94">
        <v>808.67</v>
      </c>
      <c r="AM359" s="94">
        <v>401.19999999999902</v>
      </c>
      <c r="AN359" s="94" t="s">
        <v>780</v>
      </c>
      <c r="AO359" s="111">
        <v>0</v>
      </c>
      <c r="AP359" s="112">
        <v>0</v>
      </c>
      <c r="AQ359" s="112">
        <v>26917.599999999999</v>
      </c>
      <c r="AR359" s="112">
        <v>16243.4</v>
      </c>
      <c r="AS359" s="113">
        <v>13287.5</v>
      </c>
      <c r="AT359" s="113">
        <v>8952.4</v>
      </c>
      <c r="AU359" s="111">
        <v>13947.58</v>
      </c>
      <c r="AV359" s="112">
        <v>12137.989999999998</v>
      </c>
      <c r="AW359" s="112">
        <v>4694.45</v>
      </c>
      <c r="AX359" s="112">
        <v>10584.95</v>
      </c>
      <c r="AY359" s="113">
        <v>16776.419999999998</v>
      </c>
      <c r="AZ359" s="113">
        <v>10894.64</v>
      </c>
    </row>
    <row r="360" spans="1:52" x14ac:dyDescent="0.25">
      <c r="A360" s="101" t="s">
        <v>441</v>
      </c>
      <c r="B360" s="102" t="s">
        <v>442</v>
      </c>
      <c r="C360" s="102"/>
      <c r="D360" s="102" t="s">
        <v>1048</v>
      </c>
      <c r="E360" s="103">
        <v>1.0500000000000007</v>
      </c>
      <c r="F360" s="104">
        <v>5000</v>
      </c>
      <c r="G360" s="105">
        <f t="shared" si="135"/>
        <v>2500</v>
      </c>
      <c r="H360" s="105">
        <v>14172</v>
      </c>
      <c r="I360" s="106">
        <f t="shared" si="136"/>
        <v>0.17640417725091731</v>
      </c>
      <c r="J360" s="86">
        <v>4032</v>
      </c>
      <c r="K360" s="87">
        <v>2013</v>
      </c>
      <c r="L360" s="87">
        <v>1510</v>
      </c>
      <c r="M360" s="87">
        <v>0</v>
      </c>
      <c r="N360" s="90">
        <v>6046</v>
      </c>
      <c r="O360" s="90">
        <v>3021</v>
      </c>
      <c r="P360" s="86">
        <f t="shared" si="149"/>
        <v>4233.6000000000031</v>
      </c>
      <c r="Q360" s="87">
        <f t="shared" si="150"/>
        <v>2113.6500000000015</v>
      </c>
      <c r="R360" s="87">
        <f t="shared" si="151"/>
        <v>1585.5000000000011</v>
      </c>
      <c r="S360" s="88">
        <f t="shared" si="152"/>
        <v>0</v>
      </c>
      <c r="T360" s="89">
        <f t="shared" si="153"/>
        <v>6348.3000000000047</v>
      </c>
      <c r="U360" s="89">
        <f t="shared" si="142"/>
        <v>3172.050000000002</v>
      </c>
      <c r="V360" s="86">
        <v>2568</v>
      </c>
      <c r="W360" s="87">
        <v>2700</v>
      </c>
      <c r="X360" s="87">
        <v>2138</v>
      </c>
      <c r="Y360" s="87">
        <v>3406</v>
      </c>
      <c r="Z360" s="90">
        <v>1200</v>
      </c>
      <c r="AA360" s="90">
        <v>3433</v>
      </c>
      <c r="AB360" s="91">
        <f t="shared" si="143"/>
        <v>0.18120237087214225</v>
      </c>
      <c r="AC360" s="91">
        <f t="shared" si="144"/>
        <v>0.19051651143099069</v>
      </c>
      <c r="AD360" s="91">
        <f t="shared" si="145"/>
        <v>0.15086085238498448</v>
      </c>
      <c r="AE360" s="91">
        <f t="shared" si="146"/>
        <v>0.24033305108664973</v>
      </c>
      <c r="AF360" s="91">
        <f t="shared" si="147"/>
        <v>8.4674005080440304E-2</v>
      </c>
      <c r="AG360" s="91">
        <f t="shared" si="148"/>
        <v>0.24223821620095964</v>
      </c>
      <c r="AH360" s="92">
        <v>1010.680000000002</v>
      </c>
      <c r="AI360" s="93">
        <v>3264.5899999999888</v>
      </c>
      <c r="AJ360" s="93">
        <v>3264.5899999999883</v>
      </c>
      <c r="AK360" s="93">
        <v>2915.5899999999961</v>
      </c>
      <c r="AL360" s="94">
        <v>4061.4299999999298</v>
      </c>
      <c r="AM360" s="94">
        <v>4740.1200000000499</v>
      </c>
      <c r="AN360" s="94" t="s">
        <v>779</v>
      </c>
      <c r="AO360" s="111">
        <v>36489.600000000006</v>
      </c>
      <c r="AP360" s="112">
        <v>18257.91</v>
      </c>
      <c r="AQ360" s="112">
        <v>13756.1</v>
      </c>
      <c r="AR360" s="112">
        <v>0</v>
      </c>
      <c r="AS360" s="113">
        <v>54595.37999999999</v>
      </c>
      <c r="AT360" s="113">
        <v>27158.79</v>
      </c>
      <c r="AU360" s="111">
        <v>27332.67999999992</v>
      </c>
      <c r="AV360" s="112">
        <v>28919.269999999909</v>
      </c>
      <c r="AW360" s="112">
        <v>22542.429999999968</v>
      </c>
      <c r="AX360" s="112">
        <v>35224.529999999599</v>
      </c>
      <c r="AY360" s="113">
        <v>12212.050000000099</v>
      </c>
      <c r="AZ360" s="113">
        <v>35740.110000000597</v>
      </c>
    </row>
    <row r="361" spans="1:52" x14ac:dyDescent="0.25">
      <c r="A361" s="101" t="s">
        <v>393</v>
      </c>
      <c r="B361" s="102" t="s">
        <v>394</v>
      </c>
      <c r="C361" s="102"/>
      <c r="D361" s="102" t="s">
        <v>1048</v>
      </c>
      <c r="E361" s="103">
        <v>1.0499999999999998</v>
      </c>
      <c r="F361" s="104">
        <v>300</v>
      </c>
      <c r="G361" s="105">
        <f t="shared" si="135"/>
        <v>150</v>
      </c>
      <c r="H361" s="105">
        <v>219</v>
      </c>
      <c r="I361" s="106">
        <f t="shared" si="136"/>
        <v>0.68493150684931503</v>
      </c>
      <c r="J361" s="86">
        <v>0</v>
      </c>
      <c r="K361" s="87">
        <v>0</v>
      </c>
      <c r="L361" s="87">
        <v>185</v>
      </c>
      <c r="M361" s="87">
        <v>245</v>
      </c>
      <c r="N361" s="90">
        <v>148</v>
      </c>
      <c r="O361" s="90">
        <v>0</v>
      </c>
      <c r="P361" s="86">
        <f t="shared" si="149"/>
        <v>0</v>
      </c>
      <c r="Q361" s="87">
        <f t="shared" si="150"/>
        <v>0</v>
      </c>
      <c r="R361" s="87">
        <f t="shared" si="151"/>
        <v>194.24999999999997</v>
      </c>
      <c r="S361" s="88">
        <f t="shared" si="152"/>
        <v>257.24999999999994</v>
      </c>
      <c r="T361" s="89">
        <f t="shared" si="153"/>
        <v>155.39999999999998</v>
      </c>
      <c r="U361" s="89">
        <f t="shared" si="142"/>
        <v>0</v>
      </c>
      <c r="V361" s="86">
        <v>129</v>
      </c>
      <c r="W361" s="87">
        <v>99</v>
      </c>
      <c r="X361" s="87">
        <v>76</v>
      </c>
      <c r="Y361" s="87">
        <v>104</v>
      </c>
      <c r="Z361" s="90">
        <v>219</v>
      </c>
      <c r="AA361" s="90">
        <v>135</v>
      </c>
      <c r="AB361" s="91">
        <f t="shared" si="143"/>
        <v>0.58904109589041098</v>
      </c>
      <c r="AC361" s="91">
        <f t="shared" si="144"/>
        <v>0.45205479452054792</v>
      </c>
      <c r="AD361" s="91">
        <f t="shared" si="145"/>
        <v>0.34703196347031962</v>
      </c>
      <c r="AE361" s="91">
        <f t="shared" si="146"/>
        <v>0.47488584474885842</v>
      </c>
      <c r="AF361" s="91">
        <f t="shared" si="147"/>
        <v>1</v>
      </c>
      <c r="AG361" s="91">
        <f t="shared" si="148"/>
        <v>0.61643835616438358</v>
      </c>
      <c r="AH361" s="92">
        <v>0</v>
      </c>
      <c r="AI361" s="93">
        <v>178.80999999999989</v>
      </c>
      <c r="AJ361" s="93">
        <v>178.80999999999995</v>
      </c>
      <c r="AK361" s="93">
        <v>262.72999999999985</v>
      </c>
      <c r="AL361" s="94">
        <v>278.54000000000002</v>
      </c>
      <c r="AM361" s="94">
        <v>167.85999999999899</v>
      </c>
      <c r="AN361" s="94" t="s">
        <v>779</v>
      </c>
      <c r="AO361" s="111">
        <v>0</v>
      </c>
      <c r="AP361" s="112">
        <v>0</v>
      </c>
      <c r="AQ361" s="112">
        <v>1361.75</v>
      </c>
      <c r="AR361" s="112">
        <v>1747.25</v>
      </c>
      <c r="AS361" s="113">
        <v>1030.2</v>
      </c>
      <c r="AT361" s="113">
        <v>0</v>
      </c>
      <c r="AU361" s="111">
        <v>929.86999999999989</v>
      </c>
      <c r="AV361" s="112">
        <v>873.60999999999979</v>
      </c>
      <c r="AW361" s="112">
        <v>705.31000000000006</v>
      </c>
      <c r="AX361" s="112">
        <v>848.45999999999901</v>
      </c>
      <c r="AY361" s="113">
        <v>1834.74</v>
      </c>
      <c r="AZ361" s="113">
        <v>1108.3299999999899</v>
      </c>
    </row>
    <row r="362" spans="1:52" x14ac:dyDescent="0.25">
      <c r="A362" s="101" t="s">
        <v>534</v>
      </c>
      <c r="B362" s="102" t="s">
        <v>535</v>
      </c>
      <c r="C362" s="102"/>
      <c r="D362" s="102" t="s">
        <v>1048</v>
      </c>
      <c r="E362" s="103">
        <v>1.0400000000000009</v>
      </c>
      <c r="F362" s="104">
        <v>600</v>
      </c>
      <c r="G362" s="105">
        <f t="shared" si="135"/>
        <v>300</v>
      </c>
      <c r="H362" s="105">
        <v>1098</v>
      </c>
      <c r="I362" s="106">
        <f t="shared" si="136"/>
        <v>0.27322404371584702</v>
      </c>
      <c r="J362" s="86">
        <v>435</v>
      </c>
      <c r="K362" s="87">
        <v>751</v>
      </c>
      <c r="L362" s="87">
        <v>50</v>
      </c>
      <c r="M362" s="87">
        <v>0</v>
      </c>
      <c r="N362" s="90"/>
      <c r="O362" s="90">
        <v>0</v>
      </c>
      <c r="P362" s="86">
        <f t="shared" si="149"/>
        <v>452.40000000000038</v>
      </c>
      <c r="Q362" s="87">
        <f t="shared" si="150"/>
        <v>781.04000000000065</v>
      </c>
      <c r="R362" s="87">
        <f t="shared" si="151"/>
        <v>52.000000000000043</v>
      </c>
      <c r="S362" s="88">
        <f t="shared" si="152"/>
        <v>0</v>
      </c>
      <c r="T362" s="89">
        <f t="shared" si="153"/>
        <v>0</v>
      </c>
      <c r="U362" s="89">
        <f t="shared" si="142"/>
        <v>0</v>
      </c>
      <c r="V362" s="86">
        <v>188</v>
      </c>
      <c r="W362" s="87">
        <v>167</v>
      </c>
      <c r="X362" s="87">
        <v>345</v>
      </c>
      <c r="Y362" s="87">
        <v>201</v>
      </c>
      <c r="Z362" s="90">
        <v>269</v>
      </c>
      <c r="AA362" s="90">
        <v>294</v>
      </c>
      <c r="AB362" s="91">
        <f t="shared" si="143"/>
        <v>0.17122040072859745</v>
      </c>
      <c r="AC362" s="91">
        <f t="shared" si="144"/>
        <v>0.15209471766848817</v>
      </c>
      <c r="AD362" s="91">
        <f t="shared" si="145"/>
        <v>0.31420765027322406</v>
      </c>
      <c r="AE362" s="91">
        <f t="shared" si="146"/>
        <v>0.1830601092896175</v>
      </c>
      <c r="AF362" s="91">
        <f t="shared" si="147"/>
        <v>0.24499089253187614</v>
      </c>
      <c r="AG362" s="91">
        <f t="shared" si="148"/>
        <v>0.26775956284153007</v>
      </c>
      <c r="AH362" s="92">
        <v>165.87</v>
      </c>
      <c r="AI362" s="93">
        <v>320.32999999999976</v>
      </c>
      <c r="AJ362" s="93">
        <v>320.32999999999981</v>
      </c>
      <c r="AK362" s="93">
        <v>344.46999999999986</v>
      </c>
      <c r="AL362" s="94">
        <v>267.10000000000002</v>
      </c>
      <c r="AM362" s="94">
        <v>336.33</v>
      </c>
      <c r="AN362" s="94" t="s">
        <v>780</v>
      </c>
      <c r="AO362" s="111">
        <v>6156.05</v>
      </c>
      <c r="AP362" s="112">
        <v>10759.16</v>
      </c>
      <c r="AQ362" s="112">
        <v>717</v>
      </c>
      <c r="AR362" s="112">
        <v>0</v>
      </c>
      <c r="AS362" s="113">
        <v>0</v>
      </c>
      <c r="AT362" s="113">
        <v>0</v>
      </c>
      <c r="AU362" s="111">
        <v>2839.23</v>
      </c>
      <c r="AV362" s="112">
        <v>2702.059999999999</v>
      </c>
      <c r="AW362" s="112">
        <v>5277.0399999999981</v>
      </c>
      <c r="AX362" s="112">
        <v>3137.71</v>
      </c>
      <c r="AY362" s="113">
        <v>4209.1299999999901</v>
      </c>
      <c r="AZ362" s="113">
        <v>4534.6499999999896</v>
      </c>
    </row>
    <row r="363" spans="1:52" x14ac:dyDescent="0.25">
      <c r="A363" s="101" t="s">
        <v>670</v>
      </c>
      <c r="B363" s="102" t="s">
        <v>671</v>
      </c>
      <c r="C363" s="102"/>
      <c r="D363" s="102" t="s">
        <v>1048</v>
      </c>
      <c r="E363" s="103">
        <v>1.0399999999999991</v>
      </c>
      <c r="F363" s="104">
        <v>1000</v>
      </c>
      <c r="G363" s="105">
        <f t="shared" si="135"/>
        <v>500</v>
      </c>
      <c r="H363" s="105">
        <v>5476</v>
      </c>
      <c r="I363" s="106">
        <f t="shared" si="136"/>
        <v>9.1307523739956167E-2</v>
      </c>
      <c r="J363" s="86">
        <v>0</v>
      </c>
      <c r="K363" s="87">
        <v>220</v>
      </c>
      <c r="L363" s="87">
        <v>170</v>
      </c>
      <c r="M363" s="87">
        <v>86</v>
      </c>
      <c r="N363" s="90"/>
      <c r="O363" s="90">
        <v>0</v>
      </c>
      <c r="P363" s="86">
        <f t="shared" si="149"/>
        <v>0</v>
      </c>
      <c r="Q363" s="87">
        <f t="shared" si="150"/>
        <v>228.79999999999981</v>
      </c>
      <c r="R363" s="87">
        <f t="shared" si="151"/>
        <v>176.79999999999984</v>
      </c>
      <c r="S363" s="88">
        <f t="shared" si="152"/>
        <v>89.439999999999927</v>
      </c>
      <c r="T363" s="89">
        <f t="shared" si="153"/>
        <v>0</v>
      </c>
      <c r="U363" s="89">
        <f t="shared" si="142"/>
        <v>0</v>
      </c>
      <c r="V363" s="86">
        <v>155</v>
      </c>
      <c r="W363" s="87">
        <v>172</v>
      </c>
      <c r="X363" s="87">
        <v>287</v>
      </c>
      <c r="Y363" s="87">
        <v>315</v>
      </c>
      <c r="Z363" s="90">
        <v>371</v>
      </c>
      <c r="AA363" s="90">
        <v>0</v>
      </c>
      <c r="AB363" s="91">
        <f t="shared" si="143"/>
        <v>2.8305332359386412E-2</v>
      </c>
      <c r="AC363" s="91">
        <f t="shared" si="144"/>
        <v>3.1409788166544925E-2</v>
      </c>
      <c r="AD363" s="91">
        <f t="shared" si="145"/>
        <v>5.2410518626734841E-2</v>
      </c>
      <c r="AE363" s="91">
        <f t="shared" si="146"/>
        <v>5.7523739956172389E-2</v>
      </c>
      <c r="AF363" s="91">
        <f t="shared" si="147"/>
        <v>6.7750182615047477E-2</v>
      </c>
      <c r="AG363" s="91">
        <f t="shared" si="148"/>
        <v>0</v>
      </c>
      <c r="AH363" s="92">
        <v>89.189999999999984</v>
      </c>
      <c r="AI363" s="93">
        <v>196.78999999999962</v>
      </c>
      <c r="AJ363" s="93">
        <v>196.78999999999957</v>
      </c>
      <c r="AK363" s="93">
        <v>258.78999999999922</v>
      </c>
      <c r="AL363" s="94">
        <v>314.719999999999</v>
      </c>
      <c r="AM363" s="94">
        <v>0</v>
      </c>
      <c r="AN363" s="94" t="s">
        <v>780</v>
      </c>
      <c r="AO363" s="111">
        <v>0</v>
      </c>
      <c r="AP363" s="112">
        <v>9176.2000000000007</v>
      </c>
      <c r="AQ363" s="112">
        <v>7090.3</v>
      </c>
      <c r="AR363" s="112">
        <v>3576.74</v>
      </c>
      <c r="AS363" s="113">
        <v>0</v>
      </c>
      <c r="AT363" s="113">
        <v>0</v>
      </c>
      <c r="AU363" s="111">
        <v>6700.3199999999979</v>
      </c>
      <c r="AV363" s="112">
        <v>7472.3899999999958</v>
      </c>
      <c r="AW363" s="112">
        <v>12385.93999999999</v>
      </c>
      <c r="AX363" s="112">
        <v>13565.97</v>
      </c>
      <c r="AY363" s="113">
        <v>15853.5899999999</v>
      </c>
      <c r="AZ363" s="113">
        <v>0</v>
      </c>
    </row>
    <row r="364" spans="1:52" x14ac:dyDescent="0.25">
      <c r="A364" s="101" t="s">
        <v>343</v>
      </c>
      <c r="B364" s="102" t="s">
        <v>344</v>
      </c>
      <c r="C364" s="102"/>
      <c r="D364" s="102" t="s">
        <v>1048</v>
      </c>
      <c r="E364" s="103">
        <v>1.0300000000000002</v>
      </c>
      <c r="F364" s="104">
        <v>6000</v>
      </c>
      <c r="G364" s="105">
        <f t="shared" si="135"/>
        <v>3000</v>
      </c>
      <c r="H364" s="105">
        <v>8968</v>
      </c>
      <c r="I364" s="106">
        <f t="shared" si="136"/>
        <v>0.3345227475468332</v>
      </c>
      <c r="J364" s="86">
        <v>4020</v>
      </c>
      <c r="K364" s="87">
        <v>1000</v>
      </c>
      <c r="L364" s="87">
        <v>0</v>
      </c>
      <c r="M364" s="87">
        <v>0</v>
      </c>
      <c r="N364" s="90"/>
      <c r="O364" s="90">
        <v>0</v>
      </c>
      <c r="P364" s="86">
        <f t="shared" si="149"/>
        <v>4140.6000000000013</v>
      </c>
      <c r="Q364" s="87">
        <f t="shared" si="150"/>
        <v>1030.0000000000002</v>
      </c>
      <c r="R364" s="87">
        <f t="shared" si="151"/>
        <v>0</v>
      </c>
      <c r="S364" s="88">
        <f t="shared" si="152"/>
        <v>0</v>
      </c>
      <c r="T364" s="89">
        <f t="shared" si="153"/>
        <v>0</v>
      </c>
      <c r="U364" s="89">
        <f t="shared" si="142"/>
        <v>0</v>
      </c>
      <c r="V364" s="86">
        <v>1079</v>
      </c>
      <c r="W364" s="87">
        <v>2068</v>
      </c>
      <c r="X364" s="87">
        <v>2448</v>
      </c>
      <c r="Y364" s="87">
        <v>1019</v>
      </c>
      <c r="Z364" s="90">
        <v>1483</v>
      </c>
      <c r="AA364" s="90">
        <v>0</v>
      </c>
      <c r="AB364" s="91">
        <f t="shared" si="143"/>
        <v>0.12031668153434434</v>
      </c>
      <c r="AC364" s="91">
        <f t="shared" si="144"/>
        <v>0.23059768064228367</v>
      </c>
      <c r="AD364" s="91">
        <f t="shared" si="145"/>
        <v>0.2729705619982159</v>
      </c>
      <c r="AE364" s="91">
        <f t="shared" si="146"/>
        <v>0.11362622658340767</v>
      </c>
      <c r="AF364" s="91">
        <f t="shared" si="147"/>
        <v>0.1653657448706512</v>
      </c>
      <c r="AG364" s="91">
        <f t="shared" si="148"/>
        <v>0</v>
      </c>
      <c r="AH364" s="92">
        <v>3577.56</v>
      </c>
      <c r="AI364" s="93">
        <v>5006.0899999999938</v>
      </c>
      <c r="AJ364" s="93">
        <v>5006.0899999999947</v>
      </c>
      <c r="AK364" s="93">
        <v>6209.1499999999987</v>
      </c>
      <c r="AL364" s="94">
        <v>1677.02999999999</v>
      </c>
      <c r="AM364" s="94">
        <v>0</v>
      </c>
      <c r="AN364" s="94" t="s">
        <v>779</v>
      </c>
      <c r="AO364" s="111">
        <v>16980</v>
      </c>
      <c r="AP364" s="112">
        <v>4210</v>
      </c>
      <c r="AQ364" s="112">
        <v>0</v>
      </c>
      <c r="AR364" s="112">
        <v>0</v>
      </c>
      <c r="AS364" s="113">
        <v>0</v>
      </c>
      <c r="AT364" s="113">
        <v>0</v>
      </c>
      <c r="AU364" s="111">
        <v>8118.0700000000024</v>
      </c>
      <c r="AV364" s="112">
        <v>13754.639999999985</v>
      </c>
      <c r="AW364" s="112">
        <v>16523.689999999988</v>
      </c>
      <c r="AX364" s="112">
        <v>5967.0199999999904</v>
      </c>
      <c r="AY364" s="113">
        <v>9468.7799999999697</v>
      </c>
      <c r="AZ364" s="113">
        <v>0</v>
      </c>
    </row>
    <row r="365" spans="1:52" x14ac:dyDescent="0.25">
      <c r="A365" s="101" t="s">
        <v>296</v>
      </c>
      <c r="B365" s="102" t="s">
        <v>297</v>
      </c>
      <c r="C365" s="102"/>
      <c r="D365" s="102" t="s">
        <v>1048</v>
      </c>
      <c r="E365" s="103">
        <v>1.0299999999999994</v>
      </c>
      <c r="F365" s="104">
        <v>9000</v>
      </c>
      <c r="G365" s="105">
        <f t="shared" si="135"/>
        <v>4500</v>
      </c>
      <c r="H365" s="105">
        <v>7796</v>
      </c>
      <c r="I365" s="106">
        <f t="shared" si="136"/>
        <v>0.57721908671113387</v>
      </c>
      <c r="J365" s="86">
        <v>0</v>
      </c>
      <c r="K365" s="87">
        <v>3198</v>
      </c>
      <c r="L365" s="87">
        <v>3846</v>
      </c>
      <c r="M365" s="87">
        <v>5591</v>
      </c>
      <c r="N365" s="90">
        <v>1290</v>
      </c>
      <c r="O365" s="90">
        <v>4600</v>
      </c>
      <c r="P365" s="86">
        <f t="shared" si="149"/>
        <v>0</v>
      </c>
      <c r="Q365" s="87">
        <f t="shared" si="150"/>
        <v>3293.9399999999978</v>
      </c>
      <c r="R365" s="87">
        <f t="shared" si="151"/>
        <v>3961.3799999999974</v>
      </c>
      <c r="S365" s="88">
        <f t="shared" si="152"/>
        <v>5758.7299999999968</v>
      </c>
      <c r="T365" s="89">
        <f t="shared" si="153"/>
        <v>1328.6999999999991</v>
      </c>
      <c r="U365" s="89">
        <f t="shared" si="142"/>
        <v>4737.9999999999973</v>
      </c>
      <c r="V365" s="86">
        <v>2379</v>
      </c>
      <c r="W365" s="87">
        <v>1384</v>
      </c>
      <c r="X365" s="87">
        <v>2711</v>
      </c>
      <c r="Y365" s="87">
        <v>2496</v>
      </c>
      <c r="Z365" s="90">
        <v>4539</v>
      </c>
      <c r="AA365" s="90">
        <v>1168</v>
      </c>
      <c r="AB365" s="91">
        <f t="shared" si="143"/>
        <v>0.30515649050795279</v>
      </c>
      <c r="AC365" s="91">
        <f t="shared" si="144"/>
        <v>0.17752693689071319</v>
      </c>
      <c r="AD365" s="91">
        <f t="shared" si="145"/>
        <v>0.34774243201641869</v>
      </c>
      <c r="AE365" s="91">
        <f t="shared" si="146"/>
        <v>0.32016418676244229</v>
      </c>
      <c r="AF365" s="91">
        <f t="shared" si="147"/>
        <v>0.58222165212929711</v>
      </c>
      <c r="AG365" s="91">
        <f t="shared" si="148"/>
        <v>0.14982042072857876</v>
      </c>
      <c r="AH365" s="92">
        <v>1688.440000000001</v>
      </c>
      <c r="AI365" s="93">
        <v>1006.2199999999987</v>
      </c>
      <c r="AJ365" s="93">
        <v>1006.2199999999987</v>
      </c>
      <c r="AK365" s="93">
        <v>1635.5999999999979</v>
      </c>
      <c r="AL365" s="94">
        <v>1603.46</v>
      </c>
      <c r="AM365" s="94">
        <v>862.55</v>
      </c>
      <c r="AN365" s="94" t="s">
        <v>779</v>
      </c>
      <c r="AO365" s="111">
        <v>12410.529999999999</v>
      </c>
      <c r="AP365" s="112">
        <v>14684.230000000001</v>
      </c>
      <c r="AQ365" s="112">
        <v>16590.3</v>
      </c>
      <c r="AR365" s="112">
        <v>23875.86</v>
      </c>
      <c r="AS365" s="113">
        <v>5483.8200000000006</v>
      </c>
      <c r="AT365" s="113">
        <v>19728.149999999998</v>
      </c>
      <c r="AU365" s="111">
        <v>12406.88</v>
      </c>
      <c r="AV365" s="112">
        <v>7350.6599999999862</v>
      </c>
      <c r="AW365" s="112">
        <v>14071.929999999995</v>
      </c>
      <c r="AX365" s="112">
        <v>12763.31</v>
      </c>
      <c r="AY365" s="113">
        <v>23036.4899999999</v>
      </c>
      <c r="AZ365" s="113">
        <v>5906.53999999999</v>
      </c>
    </row>
    <row r="366" spans="1:52" x14ac:dyDescent="0.25">
      <c r="A366" s="101" t="s">
        <v>239</v>
      </c>
      <c r="B366" s="102" t="s">
        <v>240</v>
      </c>
      <c r="C366" s="102"/>
      <c r="D366" s="102" t="s">
        <v>1048</v>
      </c>
      <c r="E366" s="103">
        <v>1.02</v>
      </c>
      <c r="F366" s="104">
        <v>1000</v>
      </c>
      <c r="G366" s="105">
        <f t="shared" si="135"/>
        <v>500</v>
      </c>
      <c r="H366" s="105">
        <v>6332</v>
      </c>
      <c r="I366" s="106">
        <f t="shared" si="136"/>
        <v>7.896399241945673E-2</v>
      </c>
      <c r="J366" s="86">
        <v>0</v>
      </c>
      <c r="K366" s="87">
        <v>0</v>
      </c>
      <c r="L366" s="87">
        <v>0</v>
      </c>
      <c r="M366" s="87">
        <v>722</v>
      </c>
      <c r="N366" s="90">
        <v>100</v>
      </c>
      <c r="O366" s="90">
        <v>0</v>
      </c>
      <c r="P366" s="86">
        <f t="shared" si="149"/>
        <v>0</v>
      </c>
      <c r="Q366" s="87">
        <f t="shared" si="150"/>
        <v>0</v>
      </c>
      <c r="R366" s="87">
        <f t="shared" si="151"/>
        <v>0</v>
      </c>
      <c r="S366" s="88">
        <f t="shared" si="152"/>
        <v>736.44</v>
      </c>
      <c r="T366" s="89">
        <f t="shared" si="153"/>
        <v>102</v>
      </c>
      <c r="U366" s="89">
        <f t="shared" si="142"/>
        <v>0</v>
      </c>
      <c r="V366" s="86">
        <v>246</v>
      </c>
      <c r="W366" s="87">
        <v>272</v>
      </c>
      <c r="X366" s="87">
        <v>136</v>
      </c>
      <c r="Y366" s="87">
        <v>73</v>
      </c>
      <c r="Z366" s="90">
        <v>349</v>
      </c>
      <c r="AA366" s="90">
        <v>465</v>
      </c>
      <c r="AB366" s="91">
        <f t="shared" si="143"/>
        <v>3.8850284270372709E-2</v>
      </c>
      <c r="AC366" s="91">
        <f t="shared" si="144"/>
        <v>4.2956411876184458E-2</v>
      </c>
      <c r="AD366" s="91">
        <f t="shared" si="145"/>
        <v>2.1478205938092229E-2</v>
      </c>
      <c r="AE366" s="91">
        <f t="shared" si="146"/>
        <v>1.1528742893240683E-2</v>
      </c>
      <c r="AF366" s="91">
        <f t="shared" si="147"/>
        <v>5.5116866708780798E-2</v>
      </c>
      <c r="AG366" s="91">
        <f t="shared" si="148"/>
        <v>7.3436512950094762E-2</v>
      </c>
      <c r="AH366" s="92">
        <v>237.68</v>
      </c>
      <c r="AI366" s="93">
        <v>350.94000000000011</v>
      </c>
      <c r="AJ366" s="93">
        <v>350.94</v>
      </c>
      <c r="AK366" s="93">
        <v>200.02999999999983</v>
      </c>
      <c r="AL366" s="94">
        <v>141.68</v>
      </c>
      <c r="AM366" s="94">
        <v>447.56999999999903</v>
      </c>
      <c r="AN366" s="94" t="s">
        <v>779</v>
      </c>
      <c r="AO366" s="111">
        <v>0</v>
      </c>
      <c r="AP366" s="112">
        <v>0</v>
      </c>
      <c r="AQ366" s="112">
        <v>0</v>
      </c>
      <c r="AR366" s="112">
        <v>0</v>
      </c>
      <c r="AS366" s="113">
        <v>0</v>
      </c>
      <c r="AT366" s="113">
        <v>0</v>
      </c>
      <c r="AU366" s="111">
        <v>958.45999999999981</v>
      </c>
      <c r="AV366" s="112">
        <v>1147.8999999999978</v>
      </c>
      <c r="AW366" s="112">
        <v>586.89999999999918</v>
      </c>
      <c r="AX366" s="112">
        <v>308.27</v>
      </c>
      <c r="AY366" s="113">
        <v>1507.58</v>
      </c>
      <c r="AZ366" s="113">
        <v>1805.78</v>
      </c>
    </row>
    <row r="367" spans="1:52" x14ac:dyDescent="0.25">
      <c r="A367" s="101" t="s">
        <v>1003</v>
      </c>
      <c r="B367" s="102" t="s">
        <v>516</v>
      </c>
      <c r="C367" s="102"/>
      <c r="D367" s="102" t="s">
        <v>1048</v>
      </c>
      <c r="E367" s="103">
        <v>1.0199999999999996</v>
      </c>
      <c r="F367" s="104">
        <v>624</v>
      </c>
      <c r="G367" s="105">
        <f t="shared" si="135"/>
        <v>312</v>
      </c>
      <c r="H367" s="105">
        <v>442</v>
      </c>
      <c r="I367" s="106">
        <f t="shared" si="136"/>
        <v>0.70588235294117652</v>
      </c>
      <c r="J367" s="86">
        <v>0</v>
      </c>
      <c r="K367" s="87">
        <v>0</v>
      </c>
      <c r="L367" s="87">
        <v>0</v>
      </c>
      <c r="M367" s="87">
        <v>0</v>
      </c>
      <c r="N367" s="90">
        <v>639</v>
      </c>
      <c r="O367" s="90">
        <v>610</v>
      </c>
      <c r="P367" s="86">
        <f t="shared" si="149"/>
        <v>0</v>
      </c>
      <c r="Q367" s="87">
        <f t="shared" si="150"/>
        <v>0</v>
      </c>
      <c r="R367" s="87">
        <f t="shared" si="151"/>
        <v>0</v>
      </c>
      <c r="S367" s="88">
        <f t="shared" si="152"/>
        <v>0</v>
      </c>
      <c r="T367" s="89">
        <f t="shared" si="153"/>
        <v>651.77999999999975</v>
      </c>
      <c r="U367" s="89">
        <f t="shared" si="142"/>
        <v>622.1999999999997</v>
      </c>
      <c r="V367" s="86">
        <v>252</v>
      </c>
      <c r="W367" s="87">
        <v>280</v>
      </c>
      <c r="X367" s="87">
        <v>423</v>
      </c>
      <c r="Y367" s="87">
        <v>413</v>
      </c>
      <c r="Z367" s="90">
        <v>192</v>
      </c>
      <c r="AA367" s="90">
        <v>365</v>
      </c>
      <c r="AB367" s="91">
        <f t="shared" si="143"/>
        <v>0.57013574660633481</v>
      </c>
      <c r="AC367" s="91">
        <f t="shared" si="144"/>
        <v>0.63348416289592757</v>
      </c>
      <c r="AD367" s="91">
        <f t="shared" si="145"/>
        <v>0.95701357466063353</v>
      </c>
      <c r="AE367" s="91">
        <f t="shared" si="146"/>
        <v>0.93438914027149322</v>
      </c>
      <c r="AF367" s="91">
        <f t="shared" si="147"/>
        <v>0.43438914027149322</v>
      </c>
      <c r="AG367" s="91">
        <f t="shared" si="148"/>
        <v>0.82579185520361986</v>
      </c>
      <c r="AH367" s="92">
        <v>678.26</v>
      </c>
      <c r="AI367" s="93">
        <v>802.84999999999843</v>
      </c>
      <c r="AJ367" s="93">
        <v>802.84999999999866</v>
      </c>
      <c r="AK367" s="93">
        <v>390.30999999999977</v>
      </c>
      <c r="AL367" s="94">
        <v>313.16999999999899</v>
      </c>
      <c r="AM367" s="94">
        <v>324.42</v>
      </c>
      <c r="AN367" s="94" t="s">
        <v>780</v>
      </c>
      <c r="AO367" s="111">
        <v>0</v>
      </c>
      <c r="AP367" s="112">
        <v>0</v>
      </c>
      <c r="AQ367" s="112">
        <v>0</v>
      </c>
      <c r="AR367" s="112">
        <v>0</v>
      </c>
      <c r="AS367" s="113">
        <v>7995.3899999999994</v>
      </c>
      <c r="AT367" s="113">
        <v>8027.9</v>
      </c>
      <c r="AU367" s="111">
        <v>0</v>
      </c>
      <c r="AV367" s="112">
        <v>0</v>
      </c>
      <c r="AW367" s="112">
        <v>0</v>
      </c>
      <c r="AX367" s="112">
        <v>0</v>
      </c>
      <c r="AY367" s="113">
        <v>0</v>
      </c>
      <c r="AZ367" s="113">
        <v>0</v>
      </c>
    </row>
    <row r="368" spans="1:52" x14ac:dyDescent="0.25">
      <c r="A368" s="101" t="s">
        <v>795</v>
      </c>
      <c r="B368" s="102" t="s">
        <v>838</v>
      </c>
      <c r="C368" s="102"/>
      <c r="D368" s="102" t="s">
        <v>1048</v>
      </c>
      <c r="E368" s="103">
        <v>1.0166287339971536</v>
      </c>
      <c r="F368" s="104">
        <v>600</v>
      </c>
      <c r="G368" s="105">
        <f t="shared" si="135"/>
        <v>300</v>
      </c>
      <c r="H368" s="105">
        <v>730</v>
      </c>
      <c r="I368" s="106">
        <f t="shared" si="136"/>
        <v>0.41095890410958902</v>
      </c>
      <c r="J368" s="86">
        <v>0</v>
      </c>
      <c r="K368" s="86">
        <v>0</v>
      </c>
      <c r="L368" s="86">
        <v>0</v>
      </c>
      <c r="M368" s="86">
        <v>0</v>
      </c>
      <c r="N368" s="86">
        <v>0</v>
      </c>
      <c r="O368" s="90">
        <v>75</v>
      </c>
      <c r="P368" s="86"/>
      <c r="Q368" s="87"/>
      <c r="R368" s="87"/>
      <c r="S368" s="88"/>
      <c r="T368" s="89"/>
      <c r="U368" s="89">
        <f t="shared" si="142"/>
        <v>76.247155049786514</v>
      </c>
      <c r="V368" s="86"/>
      <c r="W368" s="87"/>
      <c r="X368" s="87"/>
      <c r="Y368" s="87"/>
      <c r="Z368" s="90"/>
      <c r="AA368" s="90"/>
      <c r="AB368" s="91">
        <f t="shared" si="143"/>
        <v>0</v>
      </c>
      <c r="AC368" s="91">
        <f t="shared" si="144"/>
        <v>0</v>
      </c>
      <c r="AD368" s="91">
        <f t="shared" si="145"/>
        <v>0</v>
      </c>
      <c r="AE368" s="91">
        <f t="shared" si="146"/>
        <v>0</v>
      </c>
      <c r="AF368" s="91">
        <f t="shared" si="147"/>
        <v>0</v>
      </c>
      <c r="AG368" s="91">
        <f t="shared" si="148"/>
        <v>0</v>
      </c>
      <c r="AH368" s="92"/>
      <c r="AI368" s="93"/>
      <c r="AJ368" s="93"/>
      <c r="AK368" s="93"/>
      <c r="AL368" s="94"/>
      <c r="AM368" s="94"/>
      <c r="AN368" s="94" t="s">
        <v>780</v>
      </c>
      <c r="AO368" s="111">
        <v>0</v>
      </c>
      <c r="AP368" s="112">
        <v>0</v>
      </c>
      <c r="AQ368" s="112">
        <v>0</v>
      </c>
      <c r="AR368" s="112">
        <v>0</v>
      </c>
      <c r="AS368" s="113">
        <v>1410</v>
      </c>
      <c r="AT368" s="113">
        <v>932.25</v>
      </c>
      <c r="AU368" s="111">
        <v>0</v>
      </c>
      <c r="AV368" s="112">
        <v>0</v>
      </c>
      <c r="AW368" s="112">
        <v>0</v>
      </c>
      <c r="AX368" s="112">
        <v>0</v>
      </c>
      <c r="AY368" s="113">
        <v>0</v>
      </c>
      <c r="AZ368" s="113">
        <v>0</v>
      </c>
    </row>
    <row r="369" spans="1:52" x14ac:dyDescent="0.25">
      <c r="A369" s="101" t="s">
        <v>325</v>
      </c>
      <c r="B369" s="102" t="s">
        <v>326</v>
      </c>
      <c r="C369" s="102"/>
      <c r="D369" s="102" t="s">
        <v>1048</v>
      </c>
      <c r="E369" s="103">
        <v>1.0099999999999998</v>
      </c>
      <c r="F369" s="104">
        <v>5313.2000000000007</v>
      </c>
      <c r="G369" s="105">
        <f t="shared" si="135"/>
        <v>2656.6000000000004</v>
      </c>
      <c r="H369" s="105">
        <v>26566</v>
      </c>
      <c r="I369" s="106">
        <f t="shared" si="136"/>
        <v>0.10000000000000002</v>
      </c>
      <c r="J369" s="86">
        <v>493</v>
      </c>
      <c r="K369" s="87">
        <v>0</v>
      </c>
      <c r="L369" s="87">
        <v>0</v>
      </c>
      <c r="M369" s="87">
        <v>0</v>
      </c>
      <c r="N369" s="90"/>
      <c r="O369" s="90">
        <v>0</v>
      </c>
      <c r="P369" s="86">
        <f>+J369*E369</f>
        <v>497.92999999999989</v>
      </c>
      <c r="Q369" s="87">
        <f>+K369*E369</f>
        <v>0</v>
      </c>
      <c r="R369" s="87">
        <f>+L369*E369</f>
        <v>0</v>
      </c>
      <c r="S369" s="88">
        <f>+M369*E369</f>
        <v>0</v>
      </c>
      <c r="T369" s="89">
        <f>+N369*E369</f>
        <v>0</v>
      </c>
      <c r="U369" s="89">
        <f t="shared" si="142"/>
        <v>0</v>
      </c>
      <c r="V369" s="86">
        <v>1</v>
      </c>
      <c r="W369" s="87">
        <v>2</v>
      </c>
      <c r="X369" s="87">
        <v>2</v>
      </c>
      <c r="Y369" s="87">
        <v>1</v>
      </c>
      <c r="Z369" s="90">
        <v>4</v>
      </c>
      <c r="AA369" s="90">
        <v>1</v>
      </c>
      <c r="AB369" s="91">
        <f t="shared" si="143"/>
        <v>3.7642098923435967E-5</v>
      </c>
      <c r="AC369" s="91">
        <f t="shared" si="144"/>
        <v>7.5284197846871935E-5</v>
      </c>
      <c r="AD369" s="91">
        <f t="shared" si="145"/>
        <v>7.5284197846871935E-5</v>
      </c>
      <c r="AE369" s="91">
        <f t="shared" si="146"/>
        <v>3.7642098923435967E-5</v>
      </c>
      <c r="AF369" s="91">
        <f t="shared" si="147"/>
        <v>1.5056839569374387E-4</v>
      </c>
      <c r="AG369" s="91">
        <f t="shared" si="148"/>
        <v>3.7642098923435967E-5</v>
      </c>
      <c r="AH369" s="92">
        <v>1.36</v>
      </c>
      <c r="AI369" s="93">
        <v>2.34</v>
      </c>
      <c r="AJ369" s="93">
        <v>2.0199999999999996</v>
      </c>
      <c r="AK369" s="93">
        <v>2.02</v>
      </c>
      <c r="AL369" s="94">
        <v>1.05</v>
      </c>
      <c r="AM369" s="94">
        <v>0.94</v>
      </c>
      <c r="AN369" s="94" t="s">
        <v>779</v>
      </c>
      <c r="AO369" s="111">
        <v>0</v>
      </c>
      <c r="AP369" s="112">
        <v>0</v>
      </c>
      <c r="AQ369" s="112">
        <v>0</v>
      </c>
      <c r="AR369" s="112">
        <v>0</v>
      </c>
      <c r="AS369" s="113">
        <v>0</v>
      </c>
      <c r="AT369" s="113">
        <v>0</v>
      </c>
      <c r="AU369" s="111">
        <v>5.9</v>
      </c>
      <c r="AV369" s="112">
        <v>11.600000000000001</v>
      </c>
      <c r="AW369" s="112">
        <v>11.33</v>
      </c>
      <c r="AX369" s="112">
        <v>5.75</v>
      </c>
      <c r="AY369" s="113">
        <v>22.88</v>
      </c>
      <c r="AZ369" s="113">
        <v>5.63</v>
      </c>
    </row>
    <row r="370" spans="1:52" x14ac:dyDescent="0.25">
      <c r="A370" s="101" t="s">
        <v>823</v>
      </c>
      <c r="B370" s="102" t="s">
        <v>866</v>
      </c>
      <c r="C370" s="102"/>
      <c r="D370" s="102" t="s">
        <v>1048</v>
      </c>
      <c r="E370" s="103">
        <v>1.0017543859649116</v>
      </c>
      <c r="F370" s="104">
        <v>300</v>
      </c>
      <c r="G370" s="105">
        <f t="shared" si="135"/>
        <v>150</v>
      </c>
      <c r="H370" s="105">
        <v>636</v>
      </c>
      <c r="I370" s="106">
        <f t="shared" si="136"/>
        <v>0.23584905660377359</v>
      </c>
      <c r="J370" s="86">
        <v>0</v>
      </c>
      <c r="K370" s="86">
        <v>0</v>
      </c>
      <c r="L370" s="86">
        <v>0</v>
      </c>
      <c r="M370" s="86">
        <v>0</v>
      </c>
      <c r="N370" s="86">
        <v>0</v>
      </c>
      <c r="O370" s="90">
        <v>93</v>
      </c>
      <c r="P370" s="86"/>
      <c r="Q370" s="87"/>
      <c r="R370" s="87"/>
      <c r="S370" s="88"/>
      <c r="T370" s="89"/>
      <c r="U370" s="89">
        <f t="shared" si="142"/>
        <v>93.163157894736784</v>
      </c>
      <c r="V370" s="86"/>
      <c r="W370" s="87"/>
      <c r="X370" s="87"/>
      <c r="Y370" s="87"/>
      <c r="Z370" s="90"/>
      <c r="AA370" s="90"/>
      <c r="AB370" s="91">
        <f t="shared" si="143"/>
        <v>0</v>
      </c>
      <c r="AC370" s="91">
        <f t="shared" si="144"/>
        <v>0</v>
      </c>
      <c r="AD370" s="91">
        <f t="shared" si="145"/>
        <v>0</v>
      </c>
      <c r="AE370" s="91">
        <f t="shared" si="146"/>
        <v>0</v>
      </c>
      <c r="AF370" s="91">
        <f t="shared" si="147"/>
        <v>0</v>
      </c>
      <c r="AG370" s="91">
        <f t="shared" si="148"/>
        <v>0</v>
      </c>
      <c r="AH370" s="92"/>
      <c r="AI370" s="93"/>
      <c r="AJ370" s="93"/>
      <c r="AK370" s="93"/>
      <c r="AL370" s="94"/>
      <c r="AM370" s="94"/>
      <c r="AN370" s="94" t="s">
        <v>780</v>
      </c>
      <c r="AO370" s="111">
        <v>6012.75</v>
      </c>
      <c r="AP370" s="112">
        <v>7901.1999999999989</v>
      </c>
      <c r="AQ370" s="112">
        <v>6508.3700000000008</v>
      </c>
      <c r="AR370" s="112">
        <v>4502.16</v>
      </c>
      <c r="AS370" s="113">
        <v>3450.8100000000004</v>
      </c>
      <c r="AT370" s="113">
        <v>1750.06</v>
      </c>
      <c r="AU370" s="111">
        <v>5103.03</v>
      </c>
      <c r="AV370" s="112">
        <v>4026.2</v>
      </c>
      <c r="AW370" s="112">
        <v>5576.3</v>
      </c>
      <c r="AX370" s="112">
        <v>4355.4199999999901</v>
      </c>
      <c r="AY370" s="113">
        <v>8639.5499999999993</v>
      </c>
      <c r="AZ370" s="113">
        <v>9125.3799999999901</v>
      </c>
    </row>
    <row r="371" spans="1:52" x14ac:dyDescent="0.25">
      <c r="A371" s="101" t="s">
        <v>413</v>
      </c>
      <c r="B371" s="102" t="s">
        <v>414</v>
      </c>
      <c r="C371" s="102"/>
      <c r="D371" s="102" t="s">
        <v>1048</v>
      </c>
      <c r="E371" s="103">
        <v>1</v>
      </c>
      <c r="F371" s="104">
        <v>4000</v>
      </c>
      <c r="G371" s="105">
        <f t="shared" si="135"/>
        <v>2000</v>
      </c>
      <c r="H371" s="105">
        <v>3562</v>
      </c>
      <c r="I371" s="106">
        <f t="shared" si="136"/>
        <v>0.56148231330713083</v>
      </c>
      <c r="J371" s="86">
        <v>838</v>
      </c>
      <c r="K371" s="87">
        <v>2955</v>
      </c>
      <c r="L371" s="87">
        <v>1925</v>
      </c>
      <c r="M371" s="87">
        <v>1458</v>
      </c>
      <c r="N371" s="90">
        <v>1051</v>
      </c>
      <c r="O371" s="90">
        <v>3004</v>
      </c>
      <c r="P371" s="86">
        <f t="shared" ref="P371:P382" si="154">+J371*E371</f>
        <v>838</v>
      </c>
      <c r="Q371" s="87">
        <f t="shared" ref="Q371:Q382" si="155">+K371*E371</f>
        <v>2955</v>
      </c>
      <c r="R371" s="87">
        <f t="shared" ref="R371:R382" si="156">+L371*E371</f>
        <v>1925</v>
      </c>
      <c r="S371" s="88">
        <f t="shared" ref="S371:S382" si="157">+M371*E371</f>
        <v>1458</v>
      </c>
      <c r="T371" s="89">
        <f t="shared" ref="T371:T382" si="158">+N371*E371</f>
        <v>1051</v>
      </c>
      <c r="U371" s="89">
        <f t="shared" si="142"/>
        <v>3004</v>
      </c>
      <c r="V371" s="86">
        <v>2448</v>
      </c>
      <c r="W371" s="87">
        <v>1359</v>
      </c>
      <c r="X371" s="87">
        <v>2087</v>
      </c>
      <c r="Y371" s="87">
        <v>2512</v>
      </c>
      <c r="Z371" s="90">
        <v>1444</v>
      </c>
      <c r="AA371" s="90">
        <v>2300</v>
      </c>
      <c r="AB371" s="91">
        <f t="shared" si="143"/>
        <v>0.68725435148792813</v>
      </c>
      <c r="AC371" s="91">
        <f t="shared" si="144"/>
        <v>0.3815272318921954</v>
      </c>
      <c r="AD371" s="91">
        <f t="shared" si="145"/>
        <v>0.58590679393599099</v>
      </c>
      <c r="AE371" s="91">
        <f t="shared" si="146"/>
        <v>0.70522178551375636</v>
      </c>
      <c r="AF371" s="91">
        <f t="shared" si="147"/>
        <v>0.40539023020774845</v>
      </c>
      <c r="AG371" s="91">
        <f t="shared" si="148"/>
        <v>0.6457046603032004</v>
      </c>
      <c r="AH371" s="92">
        <v>3239.599999999989</v>
      </c>
      <c r="AI371" s="93">
        <v>2326.8999999999955</v>
      </c>
      <c r="AJ371" s="93">
        <v>2326.8999999999951</v>
      </c>
      <c r="AK371" s="93">
        <v>3441.7199999999948</v>
      </c>
      <c r="AL371" s="94">
        <v>3125.49999999997</v>
      </c>
      <c r="AM371" s="94">
        <v>2335.46</v>
      </c>
      <c r="AN371" s="94" t="s">
        <v>779</v>
      </c>
      <c r="AO371" s="111">
        <v>6315.06</v>
      </c>
      <c r="AP371" s="112">
        <v>22221.15</v>
      </c>
      <c r="AQ371" s="112">
        <v>14213.929999999998</v>
      </c>
      <c r="AR371" s="112">
        <v>10827.929999999998</v>
      </c>
      <c r="AS371" s="113">
        <v>7700.57</v>
      </c>
      <c r="AT371" s="113">
        <v>22182.629999999997</v>
      </c>
      <c r="AU371" s="111">
        <v>21660.85</v>
      </c>
      <c r="AV371" s="112">
        <v>12536.959999999997</v>
      </c>
      <c r="AW371" s="112">
        <v>19060.719999999983</v>
      </c>
      <c r="AX371" s="112">
        <v>21791.8199999998</v>
      </c>
      <c r="AY371" s="113">
        <v>12575.6599999999</v>
      </c>
      <c r="AZ371" s="113">
        <v>19297.47</v>
      </c>
    </row>
    <row r="372" spans="1:52" x14ac:dyDescent="0.25">
      <c r="A372" s="101" t="s">
        <v>428</v>
      </c>
      <c r="B372" s="102" t="s">
        <v>429</v>
      </c>
      <c r="C372" s="102"/>
      <c r="D372" s="102" t="s">
        <v>1048</v>
      </c>
      <c r="E372" s="103">
        <v>0.98000000000000043</v>
      </c>
      <c r="F372" s="104">
        <v>1000</v>
      </c>
      <c r="G372" s="105">
        <f t="shared" si="135"/>
        <v>500</v>
      </c>
      <c r="H372" s="105">
        <v>3968</v>
      </c>
      <c r="I372" s="106">
        <f t="shared" si="136"/>
        <v>0.12600806451612903</v>
      </c>
      <c r="J372" s="86">
        <v>126</v>
      </c>
      <c r="K372" s="87">
        <v>0</v>
      </c>
      <c r="L372" s="87">
        <v>519.28571428571422</v>
      </c>
      <c r="M372" s="87">
        <v>753.71428571428567</v>
      </c>
      <c r="N372" s="90">
        <v>1776.4285714285711</v>
      </c>
      <c r="O372" s="90">
        <v>200</v>
      </c>
      <c r="P372" s="86">
        <f t="shared" si="154"/>
        <v>123.48000000000005</v>
      </c>
      <c r="Q372" s="87">
        <f t="shared" si="155"/>
        <v>0</v>
      </c>
      <c r="R372" s="87">
        <f t="shared" si="156"/>
        <v>508.90000000000015</v>
      </c>
      <c r="S372" s="88">
        <f t="shared" si="157"/>
        <v>738.64000000000033</v>
      </c>
      <c r="T372" s="89">
        <f t="shared" si="158"/>
        <v>1740.9000000000005</v>
      </c>
      <c r="U372" s="89">
        <f t="shared" si="142"/>
        <v>196.00000000000009</v>
      </c>
      <c r="V372" s="86">
        <v>268</v>
      </c>
      <c r="W372" s="87">
        <v>256</v>
      </c>
      <c r="X372" s="87">
        <v>173</v>
      </c>
      <c r="Y372" s="87">
        <v>34</v>
      </c>
      <c r="Z372" s="90">
        <v>82</v>
      </c>
      <c r="AA372" s="90">
        <v>927</v>
      </c>
      <c r="AB372" s="91">
        <f t="shared" si="143"/>
        <v>6.7540322580645157E-2</v>
      </c>
      <c r="AC372" s="91">
        <f t="shared" si="144"/>
        <v>6.4516129032258063E-2</v>
      </c>
      <c r="AD372" s="91">
        <f t="shared" si="145"/>
        <v>4.3598790322580648E-2</v>
      </c>
      <c r="AE372" s="91">
        <f t="shared" si="146"/>
        <v>8.5685483870967735E-3</v>
      </c>
      <c r="AF372" s="91">
        <f t="shared" si="147"/>
        <v>2.066532258064516E-2</v>
      </c>
      <c r="AG372" s="91">
        <f t="shared" si="148"/>
        <v>0.23361895161290322</v>
      </c>
      <c r="AH372" s="92">
        <v>239.89999999999989</v>
      </c>
      <c r="AI372" s="93">
        <v>208.2699999999995</v>
      </c>
      <c r="AJ372" s="93">
        <v>208.26999999999947</v>
      </c>
      <c r="AK372" s="93">
        <v>415.50999999999959</v>
      </c>
      <c r="AL372" s="94">
        <v>122.14</v>
      </c>
      <c r="AM372" s="94">
        <v>959.89999999999895</v>
      </c>
      <c r="AN372" s="94" t="s">
        <v>779</v>
      </c>
      <c r="AO372" s="111">
        <v>1126.44</v>
      </c>
      <c r="AP372" s="112">
        <v>0</v>
      </c>
      <c r="AQ372" s="112">
        <v>4139.12</v>
      </c>
      <c r="AR372" s="112">
        <v>6051.15</v>
      </c>
      <c r="AS372" s="113">
        <v>13724.65</v>
      </c>
      <c r="AT372" s="113">
        <v>1776</v>
      </c>
      <c r="AU372" s="111">
        <v>2866.2999999999988</v>
      </c>
      <c r="AV372" s="112">
        <v>2847.0999999999972</v>
      </c>
      <c r="AW372" s="112">
        <v>2092.8099999999977</v>
      </c>
      <c r="AX372" s="112">
        <v>420.539999999999</v>
      </c>
      <c r="AY372" s="113">
        <v>1016.88</v>
      </c>
      <c r="AZ372" s="113">
        <v>8428.3099999999704</v>
      </c>
    </row>
    <row r="373" spans="1:52" x14ac:dyDescent="0.25">
      <c r="A373" s="101" t="s">
        <v>362</v>
      </c>
      <c r="B373" s="102" t="s">
        <v>363</v>
      </c>
      <c r="C373" s="102"/>
      <c r="D373" s="102" t="s">
        <v>1048</v>
      </c>
      <c r="E373" s="103">
        <v>0.98000000000000043</v>
      </c>
      <c r="F373" s="104">
        <v>20000</v>
      </c>
      <c r="G373" s="105">
        <f t="shared" si="135"/>
        <v>10000</v>
      </c>
      <c r="H373" s="105">
        <v>68021</v>
      </c>
      <c r="I373" s="106">
        <f t="shared" si="136"/>
        <v>0.1470134223254583</v>
      </c>
      <c r="J373" s="86">
        <v>0</v>
      </c>
      <c r="K373" s="87">
        <v>209</v>
      </c>
      <c r="L373" s="87">
        <v>319</v>
      </c>
      <c r="M373" s="87">
        <v>1434</v>
      </c>
      <c r="N373" s="90">
        <v>2747</v>
      </c>
      <c r="O373" s="90">
        <v>3818</v>
      </c>
      <c r="P373" s="86">
        <f t="shared" si="154"/>
        <v>0</v>
      </c>
      <c r="Q373" s="87">
        <f t="shared" si="155"/>
        <v>204.82000000000008</v>
      </c>
      <c r="R373" s="87">
        <f t="shared" si="156"/>
        <v>312.62000000000012</v>
      </c>
      <c r="S373" s="88">
        <f t="shared" si="157"/>
        <v>1405.3200000000006</v>
      </c>
      <c r="T373" s="89">
        <f t="shared" si="158"/>
        <v>2692.0600000000013</v>
      </c>
      <c r="U373" s="89">
        <f t="shared" si="142"/>
        <v>3741.6400000000017</v>
      </c>
      <c r="V373" s="86">
        <v>99</v>
      </c>
      <c r="W373" s="87">
        <v>1</v>
      </c>
      <c r="X373" s="87">
        <v>207</v>
      </c>
      <c r="Y373" s="87">
        <v>0</v>
      </c>
      <c r="Z373" s="90">
        <v>1743</v>
      </c>
      <c r="AA373" s="90">
        <v>4007</v>
      </c>
      <c r="AB373" s="91">
        <f t="shared" si="143"/>
        <v>1.4554328810220372E-3</v>
      </c>
      <c r="AC373" s="91">
        <f t="shared" si="144"/>
        <v>1.4701342232545831E-5</v>
      </c>
      <c r="AD373" s="91">
        <f t="shared" si="145"/>
        <v>3.0431778421369871E-3</v>
      </c>
      <c r="AE373" s="91">
        <f t="shared" si="146"/>
        <v>0</v>
      </c>
      <c r="AF373" s="91">
        <f t="shared" si="147"/>
        <v>2.5624439511327386E-2</v>
      </c>
      <c r="AG373" s="91">
        <f t="shared" si="148"/>
        <v>5.8908278325811143E-2</v>
      </c>
      <c r="AH373" s="92">
        <v>86.35</v>
      </c>
      <c r="AI373" s="93">
        <v>1.0900000000000001</v>
      </c>
      <c r="AJ373" s="93">
        <v>202.8600000000001</v>
      </c>
      <c r="AK373" s="93">
        <v>264.56</v>
      </c>
      <c r="AL373" s="94">
        <v>1708.1400000000008</v>
      </c>
      <c r="AM373" s="94">
        <v>2908.3299999999899</v>
      </c>
      <c r="AN373" s="94" t="s">
        <v>779</v>
      </c>
      <c r="AO373" s="111">
        <v>0</v>
      </c>
      <c r="AP373" s="112">
        <v>1082.6199999999999</v>
      </c>
      <c r="AQ373" s="112">
        <v>1649.23</v>
      </c>
      <c r="AR373" s="112">
        <v>7788.65</v>
      </c>
      <c r="AS373" s="113">
        <v>15053.52</v>
      </c>
      <c r="AT373" s="113">
        <v>20846.5</v>
      </c>
      <c r="AU373" s="111">
        <v>616</v>
      </c>
      <c r="AV373" s="112">
        <v>6.44</v>
      </c>
      <c r="AW373" s="112">
        <v>1326.46999999999</v>
      </c>
      <c r="AX373" s="112">
        <v>0</v>
      </c>
      <c r="AY373" s="113">
        <v>10813.539999999901</v>
      </c>
      <c r="AZ373" s="113">
        <v>24718.9</v>
      </c>
    </row>
    <row r="374" spans="1:52" x14ac:dyDescent="0.25">
      <c r="A374" s="101" t="s">
        <v>1004</v>
      </c>
      <c r="B374" s="102" t="s">
        <v>647</v>
      </c>
      <c r="C374" s="102"/>
      <c r="D374" s="102" t="s">
        <v>1048</v>
      </c>
      <c r="E374" s="103">
        <v>0.98000000000000043</v>
      </c>
      <c r="F374" s="104">
        <v>1500</v>
      </c>
      <c r="G374" s="105">
        <f t="shared" si="135"/>
        <v>750</v>
      </c>
      <c r="H374" s="105">
        <v>8479</v>
      </c>
      <c r="I374" s="106">
        <f t="shared" si="136"/>
        <v>8.8453827102252622E-2</v>
      </c>
      <c r="J374" s="86">
        <v>1515</v>
      </c>
      <c r="K374" s="87">
        <v>0</v>
      </c>
      <c r="L374" s="87">
        <v>0</v>
      </c>
      <c r="M374" s="87">
        <v>0</v>
      </c>
      <c r="N374" s="90">
        <v>3327</v>
      </c>
      <c r="O374" s="90">
        <v>2062</v>
      </c>
      <c r="P374" s="86">
        <f t="shared" si="154"/>
        <v>1484.7000000000007</v>
      </c>
      <c r="Q374" s="87">
        <f t="shared" si="155"/>
        <v>0</v>
      </c>
      <c r="R374" s="87">
        <f t="shared" si="156"/>
        <v>0</v>
      </c>
      <c r="S374" s="88">
        <f t="shared" si="157"/>
        <v>0</v>
      </c>
      <c r="T374" s="89">
        <f t="shared" si="158"/>
        <v>3260.4600000000014</v>
      </c>
      <c r="U374" s="89">
        <f t="shared" si="142"/>
        <v>2020.7600000000009</v>
      </c>
      <c r="V374" s="86">
        <v>1899</v>
      </c>
      <c r="W374" s="87">
        <v>1862</v>
      </c>
      <c r="X374" s="87">
        <v>1637</v>
      </c>
      <c r="Y374" s="87">
        <v>1539</v>
      </c>
      <c r="Z374" s="90">
        <v>639</v>
      </c>
      <c r="AA374" s="90">
        <v>1172</v>
      </c>
      <c r="AB374" s="91">
        <f t="shared" si="143"/>
        <v>0.22396509022290365</v>
      </c>
      <c r="AC374" s="91">
        <f t="shared" si="144"/>
        <v>0.21960136808585917</v>
      </c>
      <c r="AD374" s="91">
        <f t="shared" si="145"/>
        <v>0.19306521995518339</v>
      </c>
      <c r="AE374" s="91">
        <f t="shared" si="146"/>
        <v>0.18150725321382238</v>
      </c>
      <c r="AF374" s="91">
        <f t="shared" si="147"/>
        <v>7.5362660691119229E-2</v>
      </c>
      <c r="AG374" s="91">
        <f t="shared" si="148"/>
        <v>0.13822384715178676</v>
      </c>
      <c r="AH374" s="92">
        <v>699.84999999999934</v>
      </c>
      <c r="AI374" s="93">
        <v>376.06999999999846</v>
      </c>
      <c r="AJ374" s="93">
        <v>376.06999999999846</v>
      </c>
      <c r="AK374" s="93">
        <v>380.35999999999927</v>
      </c>
      <c r="AL374" s="94">
        <v>116.38</v>
      </c>
      <c r="AM374" s="94">
        <v>1125.74999999999</v>
      </c>
      <c r="AN374" s="94" t="s">
        <v>780</v>
      </c>
      <c r="AO374" s="111">
        <v>44592.9</v>
      </c>
      <c r="AP374" s="112">
        <v>0</v>
      </c>
      <c r="AQ374" s="112">
        <v>0</v>
      </c>
      <c r="AR374" s="112">
        <v>0</v>
      </c>
      <c r="AS374" s="113">
        <v>94330.12</v>
      </c>
      <c r="AT374" s="113">
        <v>58079.34</v>
      </c>
      <c r="AU374" s="111">
        <v>0</v>
      </c>
      <c r="AV374" s="112">
        <v>0</v>
      </c>
      <c r="AW374" s="112">
        <v>0</v>
      </c>
      <c r="AX374" s="112">
        <v>0</v>
      </c>
      <c r="AY374" s="113">
        <v>0</v>
      </c>
      <c r="AZ374" s="113">
        <v>0</v>
      </c>
    </row>
    <row r="375" spans="1:52" x14ac:dyDescent="0.25">
      <c r="A375" s="101" t="s">
        <v>730</v>
      </c>
      <c r="B375" s="102" t="s">
        <v>731</v>
      </c>
      <c r="C375" s="102"/>
      <c r="D375" s="102" t="s">
        <v>1048</v>
      </c>
      <c r="E375" s="103">
        <v>0.98</v>
      </c>
      <c r="F375" s="104">
        <v>5800</v>
      </c>
      <c r="G375" s="105">
        <f t="shared" si="135"/>
        <v>2900</v>
      </c>
      <c r="H375" s="105">
        <v>11738</v>
      </c>
      <c r="I375" s="106">
        <f t="shared" si="136"/>
        <v>0.247060828079741</v>
      </c>
      <c r="J375" s="86">
        <v>11016</v>
      </c>
      <c r="K375" s="87">
        <v>15124</v>
      </c>
      <c r="L375" s="87">
        <v>5000</v>
      </c>
      <c r="M375" s="87">
        <v>0</v>
      </c>
      <c r="N375" s="90"/>
      <c r="O375" s="90">
        <v>0</v>
      </c>
      <c r="P375" s="86">
        <f t="shared" si="154"/>
        <v>10795.68</v>
      </c>
      <c r="Q375" s="87">
        <f t="shared" si="155"/>
        <v>14821.52</v>
      </c>
      <c r="R375" s="87">
        <f t="shared" si="156"/>
        <v>4900</v>
      </c>
      <c r="S375" s="88">
        <f t="shared" si="157"/>
        <v>0</v>
      </c>
      <c r="T375" s="89">
        <f t="shared" si="158"/>
        <v>0</v>
      </c>
      <c r="U375" s="89">
        <f t="shared" si="142"/>
        <v>0</v>
      </c>
      <c r="V375" s="86">
        <v>3981</v>
      </c>
      <c r="W375" s="87">
        <v>2044</v>
      </c>
      <c r="X375" s="87">
        <v>6758</v>
      </c>
      <c r="Y375" s="87">
        <v>4279</v>
      </c>
      <c r="Z375" s="90">
        <v>2761</v>
      </c>
      <c r="AA375" s="90">
        <v>6520</v>
      </c>
      <c r="AB375" s="91">
        <f t="shared" si="143"/>
        <v>0.33915488158118928</v>
      </c>
      <c r="AC375" s="91">
        <f t="shared" si="144"/>
        <v>0.17413528710172091</v>
      </c>
      <c r="AD375" s="91">
        <f t="shared" si="145"/>
        <v>0.57573692281478961</v>
      </c>
      <c r="AE375" s="91">
        <f t="shared" si="146"/>
        <v>0.3645425115011075</v>
      </c>
      <c r="AF375" s="91">
        <f t="shared" si="147"/>
        <v>0.23521894700971205</v>
      </c>
      <c r="AG375" s="91">
        <f t="shared" si="148"/>
        <v>0.55546089623445216</v>
      </c>
      <c r="AH375" s="92">
        <v>3936.8100000000031</v>
      </c>
      <c r="AI375" s="93">
        <v>1558.1699999999978</v>
      </c>
      <c r="AJ375" s="93">
        <v>1558.169999999998</v>
      </c>
      <c r="AK375" s="93">
        <v>2861.3299999999872</v>
      </c>
      <c r="AL375" s="94">
        <v>926.82000000000096</v>
      </c>
      <c r="AM375" s="94">
        <v>-2180.28999999997</v>
      </c>
      <c r="AN375" s="94" t="s">
        <v>780</v>
      </c>
      <c r="AO375" s="111">
        <v>96390</v>
      </c>
      <c r="AP375" s="112">
        <v>132764.48000000001</v>
      </c>
      <c r="AQ375" s="112">
        <v>43650</v>
      </c>
      <c r="AR375" s="112">
        <v>0</v>
      </c>
      <c r="AS375" s="113">
        <v>0</v>
      </c>
      <c r="AT375" s="113">
        <v>0</v>
      </c>
      <c r="AU375" s="111">
        <v>39765.810000000027</v>
      </c>
      <c r="AV375" s="112">
        <v>19436.759999999947</v>
      </c>
      <c r="AW375" s="112">
        <v>61865.499999999833</v>
      </c>
      <c r="AX375" s="112">
        <v>38206.580000000104</v>
      </c>
      <c r="AY375" s="113">
        <v>24407.210000000101</v>
      </c>
      <c r="AZ375" s="113">
        <v>54608.909999998497</v>
      </c>
    </row>
    <row r="376" spans="1:52" x14ac:dyDescent="0.25">
      <c r="A376" s="101" t="s">
        <v>294</v>
      </c>
      <c r="B376" s="102" t="s">
        <v>295</v>
      </c>
      <c r="C376" s="102"/>
      <c r="D376" s="102" t="s">
        <v>1048</v>
      </c>
      <c r="E376" s="103">
        <v>0.96999999999999975</v>
      </c>
      <c r="F376" s="104">
        <v>1000</v>
      </c>
      <c r="G376" s="105">
        <f t="shared" si="135"/>
        <v>500</v>
      </c>
      <c r="H376" s="105">
        <v>3179</v>
      </c>
      <c r="I376" s="106">
        <f t="shared" si="136"/>
        <v>0.15728216420257943</v>
      </c>
      <c r="J376" s="86">
        <v>50</v>
      </c>
      <c r="K376" s="87">
        <v>0</v>
      </c>
      <c r="L376" s="87">
        <v>0</v>
      </c>
      <c r="M376" s="87">
        <v>0</v>
      </c>
      <c r="N376" s="90">
        <v>664</v>
      </c>
      <c r="O376" s="90">
        <v>100</v>
      </c>
      <c r="P376" s="86">
        <f t="shared" si="154"/>
        <v>48.499999999999986</v>
      </c>
      <c r="Q376" s="87">
        <f t="shared" si="155"/>
        <v>0</v>
      </c>
      <c r="R376" s="87">
        <f t="shared" si="156"/>
        <v>0</v>
      </c>
      <c r="S376" s="88">
        <f t="shared" si="157"/>
        <v>0</v>
      </c>
      <c r="T376" s="89">
        <f t="shared" si="158"/>
        <v>644.07999999999981</v>
      </c>
      <c r="U376" s="89">
        <f t="shared" si="142"/>
        <v>96.999999999999972</v>
      </c>
      <c r="V376" s="86">
        <v>580</v>
      </c>
      <c r="W376" s="87">
        <v>518</v>
      </c>
      <c r="X376" s="87">
        <v>1300</v>
      </c>
      <c r="Y376" s="87">
        <v>707</v>
      </c>
      <c r="Z376" s="90">
        <v>542</v>
      </c>
      <c r="AA376" s="90">
        <v>530</v>
      </c>
      <c r="AB376" s="91">
        <f t="shared" si="143"/>
        <v>0.18244731047499213</v>
      </c>
      <c r="AC376" s="91">
        <f t="shared" si="144"/>
        <v>0.16294432211387228</v>
      </c>
      <c r="AD376" s="91">
        <f t="shared" si="145"/>
        <v>0.40893362692670648</v>
      </c>
      <c r="AE376" s="91">
        <f t="shared" si="146"/>
        <v>0.2223969801824473</v>
      </c>
      <c r="AF376" s="91">
        <f t="shared" si="147"/>
        <v>0.1704938659955961</v>
      </c>
      <c r="AG376" s="91">
        <f t="shared" si="148"/>
        <v>0.1667190940547342</v>
      </c>
      <c r="AH376" s="92">
        <v>135.56</v>
      </c>
      <c r="AI376" s="93">
        <v>143.26999999999973</v>
      </c>
      <c r="AJ376" s="93">
        <v>143.26999999999975</v>
      </c>
      <c r="AK376" s="93">
        <v>1134.6599999999996</v>
      </c>
      <c r="AL376" s="94">
        <v>391.67</v>
      </c>
      <c r="AM376" s="94">
        <v>448.94999999999902</v>
      </c>
      <c r="AN376" s="94" t="s">
        <v>779</v>
      </c>
      <c r="AO376" s="111">
        <v>200</v>
      </c>
      <c r="AP376" s="112">
        <v>0</v>
      </c>
      <c r="AQ376" s="112">
        <v>0</v>
      </c>
      <c r="AR376" s="112">
        <v>0</v>
      </c>
      <c r="AS376" s="113">
        <v>2640.96</v>
      </c>
      <c r="AT376" s="113">
        <v>398</v>
      </c>
      <c r="AU376" s="111">
        <v>2504.630000000001</v>
      </c>
      <c r="AV376" s="112">
        <v>2256.9699999999971</v>
      </c>
      <c r="AW376" s="112">
        <v>6438.6599999999989</v>
      </c>
      <c r="AX376" s="112">
        <v>3256.2</v>
      </c>
      <c r="AY376" s="113">
        <v>2434.9899999999998</v>
      </c>
      <c r="AZ376" s="113">
        <v>2584.7399999999898</v>
      </c>
    </row>
    <row r="377" spans="1:52" x14ac:dyDescent="0.25">
      <c r="A377" s="101" t="s">
        <v>391</v>
      </c>
      <c r="B377" s="102" t="s">
        <v>392</v>
      </c>
      <c r="C377" s="102"/>
      <c r="D377" s="102" t="s">
        <v>1048</v>
      </c>
      <c r="E377" s="103">
        <v>0.96</v>
      </c>
      <c r="F377" s="104">
        <v>6000</v>
      </c>
      <c r="G377" s="105">
        <f t="shared" si="135"/>
        <v>3000</v>
      </c>
      <c r="H377" s="105">
        <v>16036</v>
      </c>
      <c r="I377" s="106">
        <f t="shared" si="136"/>
        <v>0.18707907208780244</v>
      </c>
      <c r="J377" s="86">
        <v>1138.25</v>
      </c>
      <c r="K377" s="87">
        <v>0</v>
      </c>
      <c r="L377" s="87">
        <v>0</v>
      </c>
      <c r="M377" s="87">
        <v>0</v>
      </c>
      <c r="N377" s="90"/>
      <c r="O377" s="90">
        <v>0</v>
      </c>
      <c r="P377" s="86">
        <f t="shared" si="154"/>
        <v>1092.72</v>
      </c>
      <c r="Q377" s="87">
        <f t="shared" si="155"/>
        <v>0</v>
      </c>
      <c r="R377" s="87">
        <f t="shared" si="156"/>
        <v>0</v>
      </c>
      <c r="S377" s="88">
        <f t="shared" si="157"/>
        <v>0</v>
      </c>
      <c r="T377" s="89">
        <f t="shared" si="158"/>
        <v>0</v>
      </c>
      <c r="U377" s="89">
        <f t="shared" si="142"/>
        <v>0</v>
      </c>
      <c r="V377" s="86">
        <v>567</v>
      </c>
      <c r="W377" s="87">
        <v>1402</v>
      </c>
      <c r="X377" s="87">
        <v>2164</v>
      </c>
      <c r="Y377" s="87">
        <v>1877</v>
      </c>
      <c r="Z377" s="90">
        <v>1819</v>
      </c>
      <c r="AA377" s="90">
        <v>32</v>
      </c>
      <c r="AB377" s="91">
        <f t="shared" si="143"/>
        <v>3.5357944624594663E-2</v>
      </c>
      <c r="AC377" s="91">
        <f t="shared" si="144"/>
        <v>8.7428286355699672E-2</v>
      </c>
      <c r="AD377" s="91">
        <f t="shared" si="145"/>
        <v>0.13494637066600149</v>
      </c>
      <c r="AE377" s="91">
        <f t="shared" si="146"/>
        <v>0.11704913943626839</v>
      </c>
      <c r="AF377" s="91">
        <f t="shared" si="147"/>
        <v>0.11343227737590422</v>
      </c>
      <c r="AG377" s="91">
        <f t="shared" si="148"/>
        <v>1.9955101022698929E-3</v>
      </c>
      <c r="AH377" s="92">
        <v>505.73000000000008</v>
      </c>
      <c r="AI377" s="93">
        <v>1084.3399999999947</v>
      </c>
      <c r="AJ377" s="93">
        <v>1084.3399999999947</v>
      </c>
      <c r="AK377" s="93">
        <v>2346.3299999999913</v>
      </c>
      <c r="AL377" s="94">
        <v>1964.78999999999</v>
      </c>
      <c r="AM377" s="94">
        <v>35.72</v>
      </c>
      <c r="AN377" s="94" t="s">
        <v>779</v>
      </c>
      <c r="AO377" s="111">
        <v>0</v>
      </c>
      <c r="AP377" s="112">
        <v>0</v>
      </c>
      <c r="AQ377" s="112">
        <v>0</v>
      </c>
      <c r="AR377" s="112">
        <v>0</v>
      </c>
      <c r="AS377" s="113">
        <v>0</v>
      </c>
      <c r="AT377" s="113">
        <v>0</v>
      </c>
      <c r="AU377" s="111">
        <v>4257.4900000000016</v>
      </c>
      <c r="AV377" s="112">
        <v>10337.459999999963</v>
      </c>
      <c r="AW377" s="112">
        <v>16613.489999999943</v>
      </c>
      <c r="AX377" s="112">
        <v>14277.789999999901</v>
      </c>
      <c r="AY377" s="113">
        <v>13464.4899999998</v>
      </c>
      <c r="AZ377" s="113">
        <v>237.039999999999</v>
      </c>
    </row>
    <row r="378" spans="1:52" x14ac:dyDescent="0.25">
      <c r="A378" s="101" t="s">
        <v>1005</v>
      </c>
      <c r="B378" s="102" t="s">
        <v>261</v>
      </c>
      <c r="C378" s="102"/>
      <c r="D378" s="102" t="s">
        <v>1048</v>
      </c>
      <c r="E378" s="103">
        <v>0.96</v>
      </c>
      <c r="F378" s="104">
        <v>3000</v>
      </c>
      <c r="G378" s="105">
        <f t="shared" si="135"/>
        <v>1500</v>
      </c>
      <c r="H378" s="105">
        <v>31761</v>
      </c>
      <c r="I378" s="106">
        <f t="shared" si="136"/>
        <v>4.7227732124303388E-2</v>
      </c>
      <c r="J378" s="86">
        <v>0</v>
      </c>
      <c r="K378" s="87">
        <v>0</v>
      </c>
      <c r="L378" s="87">
        <v>0</v>
      </c>
      <c r="M378" s="87">
        <v>0</v>
      </c>
      <c r="N378" s="90">
        <v>172</v>
      </c>
      <c r="O378" s="90">
        <v>1499</v>
      </c>
      <c r="P378" s="86">
        <f t="shared" si="154"/>
        <v>0</v>
      </c>
      <c r="Q378" s="87">
        <f t="shared" si="155"/>
        <v>0</v>
      </c>
      <c r="R378" s="87">
        <f t="shared" si="156"/>
        <v>0</v>
      </c>
      <c r="S378" s="88">
        <f t="shared" si="157"/>
        <v>0</v>
      </c>
      <c r="T378" s="89">
        <f t="shared" si="158"/>
        <v>165.12</v>
      </c>
      <c r="U378" s="89">
        <f t="shared" si="142"/>
        <v>1439.04</v>
      </c>
      <c r="V378" s="86">
        <v>3111</v>
      </c>
      <c r="W378" s="87">
        <v>1468</v>
      </c>
      <c r="X378" s="87">
        <v>0</v>
      </c>
      <c r="Y378" s="87">
        <v>0</v>
      </c>
      <c r="Z378" s="90">
        <v>0</v>
      </c>
      <c r="AA378" s="90">
        <v>651</v>
      </c>
      <c r="AB378" s="91">
        <f t="shared" si="143"/>
        <v>9.7950316425805234E-2</v>
      </c>
      <c r="AC378" s="91">
        <f t="shared" si="144"/>
        <v>4.6220207172318249E-2</v>
      </c>
      <c r="AD378" s="91">
        <f t="shared" si="145"/>
        <v>0</v>
      </c>
      <c r="AE378" s="91">
        <f t="shared" si="146"/>
        <v>0</v>
      </c>
      <c r="AF378" s="91">
        <f t="shared" si="147"/>
        <v>0</v>
      </c>
      <c r="AG378" s="91">
        <f t="shared" si="148"/>
        <v>2.0496835741947671E-2</v>
      </c>
      <c r="AH378" s="92">
        <v>946.23000000000059</v>
      </c>
      <c r="AI378" s="93">
        <v>265.26999999999953</v>
      </c>
      <c r="AJ378" s="93">
        <v>265.26999999999947</v>
      </c>
      <c r="AK378" s="93">
        <v>0</v>
      </c>
      <c r="AL378" s="94">
        <v>0</v>
      </c>
      <c r="AM378" s="94">
        <v>625.98</v>
      </c>
      <c r="AN378" s="94" t="s">
        <v>779</v>
      </c>
      <c r="AO378" s="111">
        <v>0</v>
      </c>
      <c r="AP378" s="112">
        <v>0</v>
      </c>
      <c r="AQ378" s="112">
        <v>0</v>
      </c>
      <c r="AR378" s="112">
        <v>0</v>
      </c>
      <c r="AS378" s="113">
        <v>560.72</v>
      </c>
      <c r="AT378" s="113">
        <v>4877.1100000000006</v>
      </c>
      <c r="AU378" s="111">
        <v>0</v>
      </c>
      <c r="AV378" s="112">
        <v>0</v>
      </c>
      <c r="AW378" s="112">
        <v>0</v>
      </c>
      <c r="AX378" s="112">
        <v>0</v>
      </c>
      <c r="AY378" s="113">
        <v>0</v>
      </c>
      <c r="AZ378" s="113">
        <v>0</v>
      </c>
    </row>
    <row r="379" spans="1:52" x14ac:dyDescent="0.25">
      <c r="A379" s="101" t="s">
        <v>565</v>
      </c>
      <c r="B379" s="102" t="s">
        <v>566</v>
      </c>
      <c r="C379" s="102"/>
      <c r="D379" s="102" t="s">
        <v>1048</v>
      </c>
      <c r="E379" s="103">
        <v>0.95999999999999908</v>
      </c>
      <c r="F379" s="104">
        <v>120</v>
      </c>
      <c r="G379" s="105">
        <f t="shared" si="135"/>
        <v>60</v>
      </c>
      <c r="H379" s="105">
        <v>285</v>
      </c>
      <c r="I379" s="106">
        <f t="shared" si="136"/>
        <v>0.21052631578947367</v>
      </c>
      <c r="J379" s="86">
        <v>50</v>
      </c>
      <c r="K379" s="87">
        <v>0</v>
      </c>
      <c r="L379" s="87">
        <v>276</v>
      </c>
      <c r="M379" s="87">
        <v>338</v>
      </c>
      <c r="N379" s="90">
        <v>175</v>
      </c>
      <c r="O379" s="90">
        <v>292</v>
      </c>
      <c r="P379" s="86">
        <f t="shared" si="154"/>
        <v>47.999999999999957</v>
      </c>
      <c r="Q379" s="87">
        <f t="shared" si="155"/>
        <v>0</v>
      </c>
      <c r="R379" s="87">
        <f t="shared" si="156"/>
        <v>264.95999999999975</v>
      </c>
      <c r="S379" s="88">
        <f t="shared" si="157"/>
        <v>324.47999999999968</v>
      </c>
      <c r="T379" s="89">
        <f t="shared" si="158"/>
        <v>167.99999999999983</v>
      </c>
      <c r="U379" s="89">
        <f t="shared" si="142"/>
        <v>280.31999999999971</v>
      </c>
      <c r="V379" s="86">
        <v>213</v>
      </c>
      <c r="W379" s="87">
        <v>113</v>
      </c>
      <c r="X379" s="87">
        <v>117</v>
      </c>
      <c r="Y379" s="87">
        <v>219</v>
      </c>
      <c r="Z379" s="90">
        <v>83</v>
      </c>
      <c r="AA379" s="90">
        <v>134</v>
      </c>
      <c r="AB379" s="91">
        <f t="shared" si="143"/>
        <v>0.74736842105263157</v>
      </c>
      <c r="AC379" s="91">
        <f t="shared" si="144"/>
        <v>0.39649122807017545</v>
      </c>
      <c r="AD379" s="91">
        <f t="shared" si="145"/>
        <v>0.41052631578947368</v>
      </c>
      <c r="AE379" s="91">
        <f t="shared" si="146"/>
        <v>0.76842105263157889</v>
      </c>
      <c r="AF379" s="91">
        <f t="shared" si="147"/>
        <v>0.29122807017543861</v>
      </c>
      <c r="AG379" s="91">
        <f t="shared" si="148"/>
        <v>0.47017543859649125</v>
      </c>
      <c r="AH379" s="92">
        <v>61.789999999999992</v>
      </c>
      <c r="AI379" s="93">
        <v>15.649999999999986</v>
      </c>
      <c r="AJ379" s="93">
        <v>15.649999999999984</v>
      </c>
      <c r="AK379" s="93">
        <v>35.359999999999978</v>
      </c>
      <c r="AL379" s="94">
        <v>783.96</v>
      </c>
      <c r="AM379" s="94">
        <v>118.649999999999</v>
      </c>
      <c r="AN379" s="94" t="s">
        <v>780</v>
      </c>
      <c r="AO379" s="111">
        <v>783</v>
      </c>
      <c r="AP379" s="112">
        <v>0</v>
      </c>
      <c r="AQ379" s="112">
        <v>4044.1499999999996</v>
      </c>
      <c r="AR379" s="112">
        <v>4930.66</v>
      </c>
      <c r="AS379" s="113">
        <v>2467.5</v>
      </c>
      <c r="AT379" s="113">
        <v>4108.92</v>
      </c>
      <c r="AU379" s="111">
        <v>3437.84</v>
      </c>
      <c r="AV379" s="112">
        <v>1806.6999999999987</v>
      </c>
      <c r="AW379" s="112">
        <v>1889.8099999999977</v>
      </c>
      <c r="AX379" s="112">
        <v>4118.83</v>
      </c>
      <c r="AY379" s="113">
        <v>1400.13</v>
      </c>
      <c r="AZ379" s="113">
        <v>2090.5099999999902</v>
      </c>
    </row>
    <row r="380" spans="1:52" x14ac:dyDescent="0.25">
      <c r="A380" s="101" t="s">
        <v>619</v>
      </c>
      <c r="B380" s="102" t="s">
        <v>620</v>
      </c>
      <c r="C380" s="102"/>
      <c r="D380" s="102" t="s">
        <v>1048</v>
      </c>
      <c r="E380" s="103">
        <v>0.94000000000000128</v>
      </c>
      <c r="F380" s="104">
        <v>6000</v>
      </c>
      <c r="G380" s="105">
        <f t="shared" si="135"/>
        <v>3000</v>
      </c>
      <c r="H380" s="105">
        <v>11168</v>
      </c>
      <c r="I380" s="106">
        <f t="shared" si="136"/>
        <v>0.26862464183381091</v>
      </c>
      <c r="J380" s="86">
        <v>3215.121212121212</v>
      </c>
      <c r="K380" s="87">
        <v>3162.727272727273</v>
      </c>
      <c r="L380" s="87">
        <v>1399.4848484848485</v>
      </c>
      <c r="M380" s="87">
        <v>1395.909090909091</v>
      </c>
      <c r="N380" s="90">
        <v>2404.818181818182</v>
      </c>
      <c r="O380" s="90">
        <v>4759</v>
      </c>
      <c r="P380" s="86">
        <f t="shared" si="154"/>
        <v>3022.2139393939433</v>
      </c>
      <c r="Q380" s="87">
        <f t="shared" si="155"/>
        <v>2972.9636363636405</v>
      </c>
      <c r="R380" s="87">
        <f t="shared" si="156"/>
        <v>1315.5157575757594</v>
      </c>
      <c r="S380" s="88">
        <f t="shared" si="157"/>
        <v>1312.1545454545474</v>
      </c>
      <c r="T380" s="89">
        <f t="shared" si="158"/>
        <v>2260.5290909090941</v>
      </c>
      <c r="U380" s="89">
        <f t="shared" si="142"/>
        <v>4473.4600000000064</v>
      </c>
      <c r="V380" s="86">
        <v>818</v>
      </c>
      <c r="W380" s="87">
        <v>1738</v>
      </c>
      <c r="X380" s="87">
        <v>2613</v>
      </c>
      <c r="Y380" s="87">
        <v>3226</v>
      </c>
      <c r="Z380" s="90">
        <v>2501</v>
      </c>
      <c r="AA380" s="90">
        <v>2471</v>
      </c>
      <c r="AB380" s="91">
        <f t="shared" si="143"/>
        <v>7.3244985673352442E-2</v>
      </c>
      <c r="AC380" s="91">
        <f t="shared" si="144"/>
        <v>0.15562320916905445</v>
      </c>
      <c r="AD380" s="91">
        <f t="shared" si="145"/>
        <v>0.23397206303724929</v>
      </c>
      <c r="AE380" s="91">
        <f t="shared" si="146"/>
        <v>0.28886103151862463</v>
      </c>
      <c r="AF380" s="91">
        <f t="shared" si="147"/>
        <v>0.22394340974212035</v>
      </c>
      <c r="AG380" s="91">
        <f t="shared" si="148"/>
        <v>0.22125716332378223</v>
      </c>
      <c r="AH380" s="92">
        <v>2316.0499999999988</v>
      </c>
      <c r="AI380" s="93">
        <v>4666.5099999999893</v>
      </c>
      <c r="AJ380" s="93">
        <v>4666.5099999999893</v>
      </c>
      <c r="AK380" s="93">
        <v>5261.9299999999921</v>
      </c>
      <c r="AL380" s="94">
        <v>2799.1600000000499</v>
      </c>
      <c r="AM380" s="94">
        <v>1863.6099999999899</v>
      </c>
      <c r="AN380" s="94" t="s">
        <v>780</v>
      </c>
      <c r="AO380" s="111">
        <v>68589.960000000006</v>
      </c>
      <c r="AP380" s="112">
        <v>67323.170000000013</v>
      </c>
      <c r="AQ380" s="112">
        <v>29760.420000000002</v>
      </c>
      <c r="AR380" s="112">
        <v>21068.06</v>
      </c>
      <c r="AS380" s="113">
        <v>50481.06</v>
      </c>
      <c r="AT380" s="113">
        <v>73068.2</v>
      </c>
      <c r="AU380" s="111">
        <v>19516.230000000021</v>
      </c>
      <c r="AV380" s="112">
        <v>41624.159999999865</v>
      </c>
      <c r="AW380" s="112">
        <v>60843.519999999873</v>
      </c>
      <c r="AX380" s="112">
        <v>71317.329999999594</v>
      </c>
      <c r="AY380" s="113">
        <v>54640.410000000098</v>
      </c>
      <c r="AZ380" s="113">
        <v>53734.94</v>
      </c>
    </row>
    <row r="381" spans="1:52" x14ac:dyDescent="0.25">
      <c r="A381" s="101" t="s">
        <v>1006</v>
      </c>
      <c r="B381" s="102" t="s">
        <v>357</v>
      </c>
      <c r="C381" s="102"/>
      <c r="D381" s="102" t="s">
        <v>1048</v>
      </c>
      <c r="E381" s="103">
        <v>0.9300000000000006</v>
      </c>
      <c r="F381" s="104">
        <v>4000</v>
      </c>
      <c r="G381" s="105">
        <f t="shared" si="135"/>
        <v>2000</v>
      </c>
      <c r="H381" s="105">
        <v>3296</v>
      </c>
      <c r="I381" s="106">
        <f t="shared" si="136"/>
        <v>0.60679611650485432</v>
      </c>
      <c r="J381" s="86">
        <v>2058</v>
      </c>
      <c r="K381" s="87">
        <v>124</v>
      </c>
      <c r="L381" s="87">
        <v>282</v>
      </c>
      <c r="M381" s="87">
        <v>1793</v>
      </c>
      <c r="N381" s="90">
        <v>1985</v>
      </c>
      <c r="O381" s="90">
        <v>1441</v>
      </c>
      <c r="P381" s="86">
        <f t="shared" si="154"/>
        <v>1913.9400000000012</v>
      </c>
      <c r="Q381" s="87">
        <f t="shared" si="155"/>
        <v>115.32000000000008</v>
      </c>
      <c r="R381" s="87">
        <f t="shared" si="156"/>
        <v>262.26000000000016</v>
      </c>
      <c r="S381" s="88">
        <f t="shared" si="157"/>
        <v>1667.4900000000011</v>
      </c>
      <c r="T381" s="89">
        <f t="shared" si="158"/>
        <v>1846.0500000000011</v>
      </c>
      <c r="U381" s="89">
        <f t="shared" si="142"/>
        <v>1340.1300000000008</v>
      </c>
      <c r="V381" s="86">
        <v>2447</v>
      </c>
      <c r="W381" s="87">
        <v>2185</v>
      </c>
      <c r="X381" s="87">
        <v>1496</v>
      </c>
      <c r="Y381" s="87">
        <v>279</v>
      </c>
      <c r="Z381" s="90">
        <v>1197</v>
      </c>
      <c r="AA381" s="90">
        <v>2538</v>
      </c>
      <c r="AB381" s="91">
        <f t="shared" si="143"/>
        <v>0.74241504854368934</v>
      </c>
      <c r="AC381" s="91">
        <f t="shared" si="144"/>
        <v>0.66292475728155342</v>
      </c>
      <c r="AD381" s="91">
        <f t="shared" si="145"/>
        <v>0.45388349514563109</v>
      </c>
      <c r="AE381" s="91">
        <f t="shared" si="146"/>
        <v>8.4648058252427189E-2</v>
      </c>
      <c r="AF381" s="91">
        <f t="shared" si="147"/>
        <v>0.36316747572815533</v>
      </c>
      <c r="AG381" s="91">
        <f t="shared" si="148"/>
        <v>0.77002427184466016</v>
      </c>
      <c r="AH381" s="92">
        <v>1111.200000000001</v>
      </c>
      <c r="AI381" s="93">
        <v>1320.9699999999989</v>
      </c>
      <c r="AJ381" s="93">
        <v>1320.9699999999991</v>
      </c>
      <c r="AK381" s="93">
        <v>959.91999999999985</v>
      </c>
      <c r="AL381" s="94">
        <v>287.14999999999998</v>
      </c>
      <c r="AM381" s="94">
        <v>2113.8399999999901</v>
      </c>
      <c r="AN381" s="94" t="s">
        <v>779</v>
      </c>
      <c r="AO381" s="111">
        <v>10807.210000000001</v>
      </c>
      <c r="AP381" s="112">
        <v>643.55999999999995</v>
      </c>
      <c r="AQ381" s="112">
        <v>1459.12</v>
      </c>
      <c r="AR381" s="112">
        <v>9101.34</v>
      </c>
      <c r="AS381" s="113">
        <v>10488.53</v>
      </c>
      <c r="AT381" s="113">
        <v>7376.83</v>
      </c>
      <c r="AU381" s="111">
        <v>0</v>
      </c>
      <c r="AV381" s="112">
        <v>0</v>
      </c>
      <c r="AW381" s="112">
        <v>0</v>
      </c>
      <c r="AX381" s="112">
        <v>0</v>
      </c>
      <c r="AY381" s="113">
        <v>0</v>
      </c>
      <c r="AZ381" s="113">
        <v>0</v>
      </c>
    </row>
    <row r="382" spans="1:52" x14ac:dyDescent="0.25">
      <c r="A382" s="101" t="s">
        <v>212</v>
      </c>
      <c r="B382" s="102" t="s">
        <v>213</v>
      </c>
      <c r="C382" s="102"/>
      <c r="D382" s="102" t="s">
        <v>1048</v>
      </c>
      <c r="E382" s="103">
        <v>0.92999999999999972</v>
      </c>
      <c r="F382" s="104">
        <v>1000</v>
      </c>
      <c r="G382" s="105">
        <f t="shared" si="135"/>
        <v>500</v>
      </c>
      <c r="H382" s="105">
        <v>797</v>
      </c>
      <c r="I382" s="106">
        <f t="shared" si="136"/>
        <v>0.62735257214554585</v>
      </c>
      <c r="J382" s="86">
        <v>0</v>
      </c>
      <c r="K382" s="87">
        <v>0</v>
      </c>
      <c r="L382" s="87">
        <v>0</v>
      </c>
      <c r="M382" s="87">
        <v>0</v>
      </c>
      <c r="N382" s="90"/>
      <c r="O382" s="90">
        <v>245</v>
      </c>
      <c r="P382" s="86">
        <f t="shared" si="154"/>
        <v>0</v>
      </c>
      <c r="Q382" s="87">
        <f t="shared" si="155"/>
        <v>0</v>
      </c>
      <c r="R382" s="87">
        <f t="shared" si="156"/>
        <v>0</v>
      </c>
      <c r="S382" s="88">
        <f t="shared" si="157"/>
        <v>0</v>
      </c>
      <c r="T382" s="89">
        <f t="shared" si="158"/>
        <v>0</v>
      </c>
      <c r="U382" s="89">
        <f t="shared" si="142"/>
        <v>227.84999999999994</v>
      </c>
      <c r="V382" s="86">
        <v>402</v>
      </c>
      <c r="W382" s="87">
        <v>479</v>
      </c>
      <c r="X382" s="87">
        <v>532</v>
      </c>
      <c r="Y382" s="87">
        <v>372</v>
      </c>
      <c r="Z382" s="90">
        <v>498</v>
      </c>
      <c r="AA382" s="90">
        <v>362</v>
      </c>
      <c r="AB382" s="91">
        <f t="shared" si="143"/>
        <v>0.50439146800501877</v>
      </c>
      <c r="AC382" s="91">
        <f t="shared" si="144"/>
        <v>0.60100376411543288</v>
      </c>
      <c r="AD382" s="91">
        <f t="shared" si="145"/>
        <v>0.66750313676286077</v>
      </c>
      <c r="AE382" s="91">
        <f t="shared" si="146"/>
        <v>0.46675031367628605</v>
      </c>
      <c r="AF382" s="91">
        <f t="shared" si="147"/>
        <v>0.62484316185696365</v>
      </c>
      <c r="AG382" s="91">
        <f t="shared" si="148"/>
        <v>0.45420326223337515</v>
      </c>
      <c r="AH382" s="92">
        <v>223.63</v>
      </c>
      <c r="AI382" s="93">
        <v>248.41999999999913</v>
      </c>
      <c r="AJ382" s="93">
        <v>248.41999999999913</v>
      </c>
      <c r="AK382" s="93">
        <v>369.83999999999963</v>
      </c>
      <c r="AL382" s="94">
        <v>268.06</v>
      </c>
      <c r="AM382" s="94">
        <v>282.51</v>
      </c>
      <c r="AN382" s="94" t="s">
        <v>779</v>
      </c>
      <c r="AO382" s="111">
        <v>0</v>
      </c>
      <c r="AP382" s="112">
        <v>0</v>
      </c>
      <c r="AQ382" s="112">
        <v>0</v>
      </c>
      <c r="AR382" s="112">
        <v>0</v>
      </c>
      <c r="AS382" s="113">
        <v>0</v>
      </c>
      <c r="AT382" s="113">
        <v>561.04999999999995</v>
      </c>
      <c r="AU382" s="111">
        <v>1176.370000000001</v>
      </c>
      <c r="AV382" s="112">
        <v>1383.6499999999978</v>
      </c>
      <c r="AW382" s="112">
        <v>1630.6799999999989</v>
      </c>
      <c r="AX382" s="112">
        <v>1149.7</v>
      </c>
      <c r="AY382" s="113">
        <v>1597.97999999999</v>
      </c>
      <c r="AZ382" s="113">
        <v>1140.44999999999</v>
      </c>
    </row>
    <row r="383" spans="1:52" x14ac:dyDescent="0.25">
      <c r="A383" s="101" t="s">
        <v>812</v>
      </c>
      <c r="B383" s="102" t="s">
        <v>855</v>
      </c>
      <c r="C383" s="102"/>
      <c r="D383" s="102" t="s">
        <v>1048</v>
      </c>
      <c r="E383" s="103">
        <v>0.92676950998184537</v>
      </c>
      <c r="F383" s="104">
        <v>4000</v>
      </c>
      <c r="G383" s="105">
        <f t="shared" si="135"/>
        <v>2000</v>
      </c>
      <c r="H383" s="105">
        <v>7900</v>
      </c>
      <c r="I383" s="106">
        <f t="shared" si="136"/>
        <v>0.25316455696202533</v>
      </c>
      <c r="J383" s="86">
        <v>0</v>
      </c>
      <c r="K383" s="86">
        <v>0</v>
      </c>
      <c r="L383" s="86">
        <v>0</v>
      </c>
      <c r="M383" s="86">
        <v>0</v>
      </c>
      <c r="N383" s="86">
        <v>0</v>
      </c>
      <c r="O383" s="90">
        <v>1648</v>
      </c>
      <c r="P383" s="86"/>
      <c r="Q383" s="87"/>
      <c r="R383" s="87"/>
      <c r="S383" s="88"/>
      <c r="T383" s="89"/>
      <c r="U383" s="89">
        <f t="shared" si="142"/>
        <v>1527.3161524500811</v>
      </c>
      <c r="V383" s="86"/>
      <c r="W383" s="87"/>
      <c r="X383" s="87"/>
      <c r="Y383" s="87"/>
      <c r="Z383" s="90"/>
      <c r="AA383" s="90"/>
      <c r="AB383" s="91">
        <f t="shared" si="143"/>
        <v>0</v>
      </c>
      <c r="AC383" s="91">
        <f t="shared" si="144"/>
        <v>0</v>
      </c>
      <c r="AD383" s="91">
        <f t="shared" si="145"/>
        <v>0</v>
      </c>
      <c r="AE383" s="91">
        <f t="shared" si="146"/>
        <v>0</v>
      </c>
      <c r="AF383" s="91">
        <f t="shared" si="147"/>
        <v>0</v>
      </c>
      <c r="AG383" s="91">
        <f t="shared" si="148"/>
        <v>0</v>
      </c>
      <c r="AH383" s="92"/>
      <c r="AI383" s="93"/>
      <c r="AJ383" s="93"/>
      <c r="AK383" s="93"/>
      <c r="AL383" s="94"/>
      <c r="AM383" s="94"/>
      <c r="AN383" s="94" t="s">
        <v>780</v>
      </c>
      <c r="AO383" s="111">
        <v>32583.420000000002</v>
      </c>
      <c r="AP383" s="112">
        <v>50770.7</v>
      </c>
      <c r="AQ383" s="112">
        <v>41574.869999999995</v>
      </c>
      <c r="AR383" s="112">
        <v>21645.190000000002</v>
      </c>
      <c r="AS383" s="113">
        <v>32670.66</v>
      </c>
      <c r="AT383" s="113">
        <v>42587.759999999995</v>
      </c>
      <c r="AU383" s="111">
        <v>50825.779999999977</v>
      </c>
      <c r="AV383" s="112">
        <v>59602.939999999966</v>
      </c>
      <c r="AW383" s="112">
        <v>26372.61</v>
      </c>
      <c r="AX383" s="112">
        <v>56307.889999999898</v>
      </c>
      <c r="AY383" s="113">
        <v>23885.499999999902</v>
      </c>
      <c r="AZ383" s="113">
        <v>34172.450000000099</v>
      </c>
    </row>
    <row r="384" spans="1:52" x14ac:dyDescent="0.25">
      <c r="A384" s="101" t="s">
        <v>615</v>
      </c>
      <c r="B384" s="102" t="s">
        <v>616</v>
      </c>
      <c r="C384" s="102"/>
      <c r="D384" s="102" t="s">
        <v>1048</v>
      </c>
      <c r="E384" s="103">
        <v>0.92000000000000171</v>
      </c>
      <c r="F384" s="104">
        <v>6000</v>
      </c>
      <c r="G384" s="105">
        <f t="shared" si="135"/>
        <v>3000</v>
      </c>
      <c r="H384" s="105">
        <v>11491</v>
      </c>
      <c r="I384" s="106">
        <f t="shared" si="136"/>
        <v>0.26107388390914626</v>
      </c>
      <c r="J384" s="86">
        <v>5308</v>
      </c>
      <c r="K384" s="87">
        <v>0</v>
      </c>
      <c r="L384" s="87">
        <v>0</v>
      </c>
      <c r="M384" s="87">
        <v>20710</v>
      </c>
      <c r="N384" s="90"/>
      <c r="O384" s="90">
        <v>0</v>
      </c>
      <c r="P384" s="86">
        <f t="shared" ref="P384:P395" si="159">+J384*E384</f>
        <v>4883.3600000000088</v>
      </c>
      <c r="Q384" s="87">
        <f t="shared" ref="Q384:Q395" si="160">+K384*E384</f>
        <v>0</v>
      </c>
      <c r="R384" s="87">
        <f t="shared" ref="R384:R395" si="161">+L384*E384</f>
        <v>0</v>
      </c>
      <c r="S384" s="88">
        <f t="shared" ref="S384:S395" si="162">+M384*E384</f>
        <v>19053.200000000037</v>
      </c>
      <c r="T384" s="89">
        <f t="shared" ref="T384:T395" si="163">+N384*E384</f>
        <v>0</v>
      </c>
      <c r="U384" s="89">
        <f t="shared" si="142"/>
        <v>0</v>
      </c>
      <c r="V384" s="86">
        <v>3376</v>
      </c>
      <c r="W384" s="87">
        <v>3418</v>
      </c>
      <c r="X384" s="87">
        <v>3023</v>
      </c>
      <c r="Y384" s="87">
        <v>3868</v>
      </c>
      <c r="Z384" s="90">
        <v>4908</v>
      </c>
      <c r="AA384" s="90">
        <v>5347</v>
      </c>
      <c r="AB384" s="91">
        <f t="shared" si="143"/>
        <v>0.29379514402575929</v>
      </c>
      <c r="AC384" s="91">
        <f t="shared" si="144"/>
        <v>0.29745017840048732</v>
      </c>
      <c r="AD384" s="91">
        <f t="shared" si="145"/>
        <v>0.26307545035244972</v>
      </c>
      <c r="AE384" s="91">
        <f t="shared" si="146"/>
        <v>0.33661126098685928</v>
      </c>
      <c r="AF384" s="91">
        <f t="shared" si="147"/>
        <v>0.42711687407536331</v>
      </c>
      <c r="AG384" s="91">
        <f t="shared" si="148"/>
        <v>0.46532068575406837</v>
      </c>
      <c r="AH384" s="92">
        <v>19450.350000000049</v>
      </c>
      <c r="AI384" s="93">
        <v>14839.709999999983</v>
      </c>
      <c r="AJ384" s="93">
        <v>14839.709999999985</v>
      </c>
      <c r="AK384" s="93">
        <v>9273.9599999999846</v>
      </c>
      <c r="AL384" s="94">
        <v>9649.4699999999302</v>
      </c>
      <c r="AM384" s="94">
        <v>6718.0700000000497</v>
      </c>
      <c r="AN384" s="94" t="s">
        <v>780</v>
      </c>
      <c r="AO384" s="111">
        <v>108511.23</v>
      </c>
      <c r="AP384" s="112">
        <v>0</v>
      </c>
      <c r="AQ384" s="112">
        <v>0</v>
      </c>
      <c r="AR384" s="112">
        <v>417014.17999999993</v>
      </c>
      <c r="AS384" s="113">
        <v>0</v>
      </c>
      <c r="AT384" s="113">
        <v>0</v>
      </c>
      <c r="AU384" s="111">
        <v>90224.919999999984</v>
      </c>
      <c r="AV384" s="112">
        <v>85887.499999999956</v>
      </c>
      <c r="AW384" s="112">
        <v>74995.839999999851</v>
      </c>
      <c r="AX384" s="112">
        <v>92370.280000000595</v>
      </c>
      <c r="AY384" s="113">
        <v>112099.13</v>
      </c>
      <c r="AZ384" s="113">
        <v>114139.359999999</v>
      </c>
    </row>
    <row r="385" spans="1:52" x14ac:dyDescent="0.25">
      <c r="A385" s="101" t="s">
        <v>739</v>
      </c>
      <c r="B385" s="102" t="s">
        <v>740</v>
      </c>
      <c r="C385" s="102"/>
      <c r="D385" s="102" t="s">
        <v>1048</v>
      </c>
      <c r="E385" s="103">
        <v>0.92</v>
      </c>
      <c r="F385" s="104">
        <v>80</v>
      </c>
      <c r="G385" s="105">
        <f t="shared" si="135"/>
        <v>40</v>
      </c>
      <c r="H385" s="105">
        <v>23</v>
      </c>
      <c r="I385" s="106">
        <f t="shared" si="136"/>
        <v>1.7391304347826086</v>
      </c>
      <c r="J385" s="86">
        <v>214.28571428571428</v>
      </c>
      <c r="K385" s="87">
        <v>214.28571428571428</v>
      </c>
      <c r="L385" s="87">
        <v>0</v>
      </c>
      <c r="M385" s="87">
        <v>0</v>
      </c>
      <c r="N385" s="90">
        <v>0</v>
      </c>
      <c r="O385" s="90">
        <v>0</v>
      </c>
      <c r="P385" s="86">
        <f t="shared" si="159"/>
        <v>197.14285714285714</v>
      </c>
      <c r="Q385" s="87">
        <f t="shared" si="160"/>
        <v>197.14285714285714</v>
      </c>
      <c r="R385" s="87">
        <f t="shared" si="161"/>
        <v>0</v>
      </c>
      <c r="S385" s="88">
        <f t="shared" si="162"/>
        <v>0</v>
      </c>
      <c r="T385" s="89">
        <f t="shared" si="163"/>
        <v>0</v>
      </c>
      <c r="U385" s="89">
        <f t="shared" si="142"/>
        <v>0</v>
      </c>
      <c r="V385" s="86">
        <v>14</v>
      </c>
      <c r="W385" s="87">
        <v>2</v>
      </c>
      <c r="X385" s="87">
        <v>53</v>
      </c>
      <c r="Y385" s="87">
        <v>21</v>
      </c>
      <c r="Z385" s="90">
        <v>13</v>
      </c>
      <c r="AA385" s="90">
        <v>150</v>
      </c>
      <c r="AB385" s="91">
        <f t="shared" si="143"/>
        <v>0.60869565217391308</v>
      </c>
      <c r="AC385" s="91">
        <f t="shared" si="144"/>
        <v>8.6956521739130432E-2</v>
      </c>
      <c r="AD385" s="91">
        <f t="shared" si="145"/>
        <v>2.3043478260869565</v>
      </c>
      <c r="AE385" s="91">
        <f t="shared" si="146"/>
        <v>0.91304347826086951</v>
      </c>
      <c r="AF385" s="91">
        <f t="shared" si="147"/>
        <v>0.56521739130434778</v>
      </c>
      <c r="AG385" s="91">
        <f t="shared" si="148"/>
        <v>6.5217391304347823</v>
      </c>
      <c r="AH385" s="92">
        <v>12.92</v>
      </c>
      <c r="AI385" s="93">
        <v>0.86</v>
      </c>
      <c r="AJ385" s="93">
        <v>-174.90000000000003</v>
      </c>
      <c r="AK385" s="93">
        <v>-69.300000000000011</v>
      </c>
      <c r="AL385" s="94">
        <v>-42.900000000000006</v>
      </c>
      <c r="AM385" s="94">
        <v>-513.73999999999899</v>
      </c>
      <c r="AN385" s="94" t="s">
        <v>780</v>
      </c>
      <c r="AO385" s="111">
        <v>2410.8000000000002</v>
      </c>
      <c r="AP385" s="112">
        <v>2416.1999999999998</v>
      </c>
      <c r="AQ385" s="112">
        <v>0</v>
      </c>
      <c r="AR385" s="112">
        <v>0</v>
      </c>
      <c r="AS385" s="113">
        <v>0</v>
      </c>
      <c r="AT385" s="113">
        <v>0</v>
      </c>
      <c r="AU385" s="111">
        <v>174.9</v>
      </c>
      <c r="AV385" s="112">
        <v>23.9</v>
      </c>
      <c r="AW385" s="112">
        <v>436.72</v>
      </c>
      <c r="AX385" s="112">
        <v>173.039999999999</v>
      </c>
      <c r="AY385" s="113">
        <v>107.119999999999</v>
      </c>
      <c r="AZ385" s="113">
        <v>1211.52</v>
      </c>
    </row>
    <row r="386" spans="1:52" x14ac:dyDescent="0.25">
      <c r="A386" s="101" t="s">
        <v>528</v>
      </c>
      <c r="B386" s="102" t="s">
        <v>529</v>
      </c>
      <c r="C386" s="102"/>
      <c r="D386" s="102" t="s">
        <v>1048</v>
      </c>
      <c r="E386" s="103">
        <v>0.91000000000000014</v>
      </c>
      <c r="F386" s="104">
        <v>2000</v>
      </c>
      <c r="G386" s="105">
        <f t="shared" ref="G386:G449" si="164">F386/2</f>
        <v>1000</v>
      </c>
      <c r="H386" s="105">
        <v>2706</v>
      </c>
      <c r="I386" s="106">
        <f t="shared" ref="I386:I449" si="165">+G386/H386</f>
        <v>0.36954915003695493</v>
      </c>
      <c r="J386" s="86">
        <v>39</v>
      </c>
      <c r="K386" s="87">
        <v>1013</v>
      </c>
      <c r="L386" s="87">
        <v>301</v>
      </c>
      <c r="M386" s="87">
        <v>70</v>
      </c>
      <c r="N386" s="90">
        <v>166</v>
      </c>
      <c r="O386" s="90">
        <v>0</v>
      </c>
      <c r="P386" s="86">
        <f t="shared" si="159"/>
        <v>35.490000000000009</v>
      </c>
      <c r="Q386" s="87">
        <f t="shared" si="160"/>
        <v>921.83000000000015</v>
      </c>
      <c r="R386" s="87">
        <f t="shared" si="161"/>
        <v>273.91000000000003</v>
      </c>
      <c r="S386" s="88">
        <f t="shared" si="162"/>
        <v>63.70000000000001</v>
      </c>
      <c r="T386" s="89">
        <f t="shared" si="163"/>
        <v>151.06000000000003</v>
      </c>
      <c r="U386" s="89">
        <f t="shared" ref="U386:U449" si="166">+O386*E386</f>
        <v>0</v>
      </c>
      <c r="V386" s="86">
        <v>568</v>
      </c>
      <c r="W386" s="87">
        <v>467</v>
      </c>
      <c r="X386" s="87">
        <v>279</v>
      </c>
      <c r="Y386" s="87">
        <v>628</v>
      </c>
      <c r="Z386" s="90">
        <v>246</v>
      </c>
      <c r="AA386" s="90">
        <v>165</v>
      </c>
      <c r="AB386" s="91">
        <f t="shared" ref="AB386:AB449" si="167">+IFERROR(V386/H386,"")</f>
        <v>0.20990391722099039</v>
      </c>
      <c r="AC386" s="91">
        <f t="shared" ref="AC386:AC449" si="168">+IFERROR(W386/H386,"")</f>
        <v>0.17257945306725794</v>
      </c>
      <c r="AD386" s="91">
        <f t="shared" ref="AD386:AD449" si="169">+IFERROR(X386/H386,"")</f>
        <v>0.10310421286031042</v>
      </c>
      <c r="AE386" s="91">
        <f t="shared" ref="AE386:AE449" si="170">+IFERROR(Y386/H386,"")</f>
        <v>0.2320768662232077</v>
      </c>
      <c r="AF386" s="91">
        <f t="shared" ref="AF386:AF449" si="171">+IFERROR(Z386/H386,"")</f>
        <v>9.0909090909090912E-2</v>
      </c>
      <c r="AG386" s="91">
        <f t="shared" ref="AG386:AG449" si="172">+IFERROR(AA386/H386,"")</f>
        <v>6.097560975609756E-2</v>
      </c>
      <c r="AH386" s="92">
        <v>396.57</v>
      </c>
      <c r="AI386" s="93">
        <v>291.52999999999986</v>
      </c>
      <c r="AJ386" s="93">
        <v>291.5299999999998</v>
      </c>
      <c r="AK386" s="93">
        <v>287.08999999999992</v>
      </c>
      <c r="AL386" s="94">
        <v>541.25</v>
      </c>
      <c r="AM386" s="94">
        <v>148.039999999999</v>
      </c>
      <c r="AN386" s="94" t="s">
        <v>780</v>
      </c>
      <c r="AO386" s="111">
        <v>483.21</v>
      </c>
      <c r="AP386" s="112">
        <v>12562.82</v>
      </c>
      <c r="AQ386" s="112">
        <v>3686.7700000000004</v>
      </c>
      <c r="AR386" s="112">
        <v>854.7</v>
      </c>
      <c r="AS386" s="113">
        <v>2035.3500000000001</v>
      </c>
      <c r="AT386" s="113">
        <v>0</v>
      </c>
      <c r="AU386" s="111">
        <v>7398.5299999999979</v>
      </c>
      <c r="AV386" s="112">
        <v>6108.2199999999921</v>
      </c>
      <c r="AW386" s="112">
        <v>3733.9799999999923</v>
      </c>
      <c r="AX386" s="112">
        <v>8286.0799999999708</v>
      </c>
      <c r="AY386" s="113">
        <v>3231.46</v>
      </c>
      <c r="AZ386" s="113">
        <v>2167.6399999999899</v>
      </c>
    </row>
    <row r="387" spans="1:52" x14ac:dyDescent="0.25">
      <c r="A387" s="101" t="s">
        <v>1007</v>
      </c>
      <c r="B387" s="102" t="s">
        <v>408</v>
      </c>
      <c r="C387" s="102"/>
      <c r="D387" s="102" t="s">
        <v>1048</v>
      </c>
      <c r="E387" s="103">
        <v>0.89999999999999947</v>
      </c>
      <c r="F387" s="104">
        <v>4000</v>
      </c>
      <c r="G387" s="105">
        <f t="shared" si="164"/>
        <v>2000</v>
      </c>
      <c r="H387" s="105">
        <v>3382</v>
      </c>
      <c r="I387" s="106">
        <f t="shared" si="165"/>
        <v>0.59136605558840927</v>
      </c>
      <c r="J387" s="86">
        <v>3374</v>
      </c>
      <c r="K387" s="87">
        <v>1617</v>
      </c>
      <c r="L387" s="87">
        <v>888</v>
      </c>
      <c r="M387" s="87">
        <v>4644</v>
      </c>
      <c r="N387" s="90">
        <v>1094</v>
      </c>
      <c r="O387" s="90">
        <v>1770</v>
      </c>
      <c r="P387" s="86">
        <f t="shared" si="159"/>
        <v>3036.5999999999981</v>
      </c>
      <c r="Q387" s="87">
        <f t="shared" si="160"/>
        <v>1455.299999999999</v>
      </c>
      <c r="R387" s="87">
        <f t="shared" si="161"/>
        <v>799.19999999999948</v>
      </c>
      <c r="S387" s="88">
        <f t="shared" si="162"/>
        <v>4179.5999999999976</v>
      </c>
      <c r="T387" s="89">
        <f t="shared" si="163"/>
        <v>984.59999999999945</v>
      </c>
      <c r="U387" s="89">
        <f t="shared" si="166"/>
        <v>1592.9999999999991</v>
      </c>
      <c r="V387" s="86">
        <v>1695</v>
      </c>
      <c r="W387" s="87">
        <v>3345</v>
      </c>
      <c r="X387" s="87">
        <v>1900</v>
      </c>
      <c r="Y387" s="87">
        <v>1598</v>
      </c>
      <c r="Z387" s="90">
        <v>1852</v>
      </c>
      <c r="AA387" s="90">
        <v>2157</v>
      </c>
      <c r="AB387" s="91">
        <f t="shared" si="167"/>
        <v>0.50118273211117681</v>
      </c>
      <c r="AC387" s="91">
        <f t="shared" si="168"/>
        <v>0.98905972797161446</v>
      </c>
      <c r="AD387" s="91">
        <f t="shared" si="169"/>
        <v>0.5617977528089888</v>
      </c>
      <c r="AE387" s="91">
        <f t="shared" si="170"/>
        <v>0.47250147841513895</v>
      </c>
      <c r="AF387" s="91">
        <f t="shared" si="171"/>
        <v>0.54760496747486698</v>
      </c>
      <c r="AG387" s="91">
        <f t="shared" si="172"/>
        <v>0.63778829095209932</v>
      </c>
      <c r="AH387" s="92">
        <v>190.88999999999959</v>
      </c>
      <c r="AI387" s="93">
        <v>1000.9999999999977</v>
      </c>
      <c r="AJ387" s="93">
        <v>1000.999999999998</v>
      </c>
      <c r="AK387" s="93">
        <v>1113.069999999999</v>
      </c>
      <c r="AL387" s="94">
        <v>1464.9399999999901</v>
      </c>
      <c r="AM387" s="94">
        <v>1968.89</v>
      </c>
      <c r="AN387" s="94" t="s">
        <v>779</v>
      </c>
      <c r="AO387" s="111">
        <v>22215.14</v>
      </c>
      <c r="AP387" s="112">
        <v>10745.369999999999</v>
      </c>
      <c r="AQ387" s="112">
        <v>5710.5599999999995</v>
      </c>
      <c r="AR387" s="112">
        <v>30267.079999999998</v>
      </c>
      <c r="AS387" s="113">
        <v>7172.2999999999993</v>
      </c>
      <c r="AT387" s="113">
        <v>11641.5</v>
      </c>
      <c r="AU387" s="111">
        <v>0</v>
      </c>
      <c r="AV387" s="112">
        <v>0</v>
      </c>
      <c r="AW387" s="112">
        <v>0</v>
      </c>
      <c r="AX387" s="112">
        <v>0</v>
      </c>
      <c r="AY387" s="113">
        <v>0</v>
      </c>
      <c r="AZ387" s="113">
        <v>0</v>
      </c>
    </row>
    <row r="388" spans="1:52" x14ac:dyDescent="0.25">
      <c r="A388" s="101" t="s">
        <v>184</v>
      </c>
      <c r="B388" s="102" t="s">
        <v>185</v>
      </c>
      <c r="C388" s="102"/>
      <c r="D388" s="102" t="s">
        <v>1048</v>
      </c>
      <c r="E388" s="103">
        <v>0.89000000000000012</v>
      </c>
      <c r="F388" s="104">
        <v>500</v>
      </c>
      <c r="G388" s="105">
        <f t="shared" si="164"/>
        <v>250</v>
      </c>
      <c r="H388" s="105">
        <v>5424</v>
      </c>
      <c r="I388" s="106">
        <f t="shared" si="165"/>
        <v>4.6091445427728611E-2</v>
      </c>
      <c r="J388" s="86">
        <v>0</v>
      </c>
      <c r="K388" s="87">
        <v>132</v>
      </c>
      <c r="L388" s="87">
        <v>0</v>
      </c>
      <c r="M388" s="87">
        <v>0</v>
      </c>
      <c r="N388" s="90"/>
      <c r="O388" s="90">
        <v>50</v>
      </c>
      <c r="P388" s="86">
        <f t="shared" si="159"/>
        <v>0</v>
      </c>
      <c r="Q388" s="87">
        <f t="shared" si="160"/>
        <v>117.48000000000002</v>
      </c>
      <c r="R388" s="87">
        <f t="shared" si="161"/>
        <v>0</v>
      </c>
      <c r="S388" s="88">
        <f t="shared" si="162"/>
        <v>0</v>
      </c>
      <c r="T388" s="89">
        <f t="shared" si="163"/>
        <v>0</v>
      </c>
      <c r="U388" s="89">
        <f t="shared" si="166"/>
        <v>44.500000000000007</v>
      </c>
      <c r="V388" s="86">
        <v>0</v>
      </c>
      <c r="W388" s="87">
        <v>0</v>
      </c>
      <c r="X388" s="87">
        <v>131</v>
      </c>
      <c r="Y388" s="87">
        <v>0</v>
      </c>
      <c r="Z388" s="90">
        <v>0</v>
      </c>
      <c r="AA388" s="90">
        <v>0</v>
      </c>
      <c r="AB388" s="91">
        <f t="shared" si="167"/>
        <v>0</v>
      </c>
      <c r="AC388" s="91">
        <f t="shared" si="168"/>
        <v>0</v>
      </c>
      <c r="AD388" s="91">
        <f t="shared" si="169"/>
        <v>2.4151917404129794E-2</v>
      </c>
      <c r="AE388" s="91">
        <f t="shared" si="170"/>
        <v>0</v>
      </c>
      <c r="AF388" s="91">
        <f t="shared" si="171"/>
        <v>0</v>
      </c>
      <c r="AG388" s="91">
        <f t="shared" si="172"/>
        <v>0</v>
      </c>
      <c r="AH388" s="92">
        <v>0</v>
      </c>
      <c r="AI388" s="93">
        <v>0</v>
      </c>
      <c r="AJ388" s="93">
        <v>116.59000000000002</v>
      </c>
      <c r="AK388" s="93">
        <v>138.9199999999995</v>
      </c>
      <c r="AL388" s="94">
        <v>0</v>
      </c>
      <c r="AM388" s="94">
        <v>0</v>
      </c>
      <c r="AN388" s="94" t="s">
        <v>779</v>
      </c>
      <c r="AO388" s="111">
        <v>0</v>
      </c>
      <c r="AP388" s="112">
        <v>264</v>
      </c>
      <c r="AQ388" s="112">
        <v>0</v>
      </c>
      <c r="AR388" s="112">
        <v>0</v>
      </c>
      <c r="AS388" s="113">
        <v>0</v>
      </c>
      <c r="AT388" s="113">
        <v>91.5</v>
      </c>
      <c r="AU388" s="111">
        <v>0</v>
      </c>
      <c r="AV388" s="112">
        <v>0</v>
      </c>
      <c r="AW388" s="112">
        <v>400.91999999999962</v>
      </c>
      <c r="AX388" s="112">
        <v>0</v>
      </c>
      <c r="AY388" s="113">
        <v>0</v>
      </c>
      <c r="AZ388" s="113">
        <v>0</v>
      </c>
    </row>
    <row r="389" spans="1:52" x14ac:dyDescent="0.25">
      <c r="A389" s="101" t="s">
        <v>424</v>
      </c>
      <c r="B389" s="102" t="s">
        <v>425</v>
      </c>
      <c r="C389" s="102"/>
      <c r="D389" s="102" t="s">
        <v>1048</v>
      </c>
      <c r="E389" s="103">
        <v>0.88999999999999968</v>
      </c>
      <c r="F389" s="104">
        <v>6000</v>
      </c>
      <c r="G389" s="105">
        <f t="shared" si="164"/>
        <v>3000</v>
      </c>
      <c r="H389" s="105">
        <v>20353</v>
      </c>
      <c r="I389" s="106">
        <f t="shared" si="165"/>
        <v>0.14739841792364761</v>
      </c>
      <c r="J389" s="86">
        <v>2288</v>
      </c>
      <c r="K389" s="87">
        <v>1248</v>
      </c>
      <c r="L389" s="87">
        <v>92</v>
      </c>
      <c r="M389" s="87">
        <v>1375</v>
      </c>
      <c r="N389" s="90">
        <v>1401</v>
      </c>
      <c r="O389" s="90">
        <v>1327</v>
      </c>
      <c r="P389" s="86">
        <f t="shared" si="159"/>
        <v>2036.3199999999993</v>
      </c>
      <c r="Q389" s="87">
        <f t="shared" si="160"/>
        <v>1110.7199999999996</v>
      </c>
      <c r="R389" s="87">
        <f t="shared" si="161"/>
        <v>81.879999999999967</v>
      </c>
      <c r="S389" s="88">
        <f t="shared" si="162"/>
        <v>1223.7499999999995</v>
      </c>
      <c r="T389" s="89">
        <f t="shared" si="163"/>
        <v>1246.8899999999996</v>
      </c>
      <c r="U389" s="89">
        <f t="shared" si="166"/>
        <v>1181.0299999999995</v>
      </c>
      <c r="V389" s="86">
        <v>1844</v>
      </c>
      <c r="W389" s="87">
        <v>2424</v>
      </c>
      <c r="X389" s="87">
        <v>1759</v>
      </c>
      <c r="Y389" s="87">
        <v>91</v>
      </c>
      <c r="Z389" s="90">
        <v>1485</v>
      </c>
      <c r="AA389" s="90">
        <v>1339</v>
      </c>
      <c r="AB389" s="91">
        <f t="shared" si="167"/>
        <v>9.0600894217068739E-2</v>
      </c>
      <c r="AC389" s="91">
        <f t="shared" si="168"/>
        <v>0.11909792168230728</v>
      </c>
      <c r="AD389" s="91">
        <f t="shared" si="169"/>
        <v>8.642460570923205E-2</v>
      </c>
      <c r="AE389" s="91">
        <f t="shared" si="170"/>
        <v>4.4710853436839776E-3</v>
      </c>
      <c r="AF389" s="91">
        <f t="shared" si="171"/>
        <v>7.2962216872205568E-2</v>
      </c>
      <c r="AG389" s="91">
        <f t="shared" si="172"/>
        <v>6.5788827199921393E-2</v>
      </c>
      <c r="AH389" s="92">
        <v>688.32999999999947</v>
      </c>
      <c r="AI389" s="93">
        <v>1640.4899999999955</v>
      </c>
      <c r="AJ389" s="93">
        <v>1640.4899999999957</v>
      </c>
      <c r="AK389" s="93">
        <v>1098.129999999996</v>
      </c>
      <c r="AL389" s="94">
        <v>42.1099999999999</v>
      </c>
      <c r="AM389" s="94">
        <v>1003.48999999998</v>
      </c>
      <c r="AN389" s="94" t="s">
        <v>779</v>
      </c>
      <c r="AO389" s="111">
        <v>16329.14</v>
      </c>
      <c r="AP389" s="112">
        <v>8914.86</v>
      </c>
      <c r="AQ389" s="112">
        <v>655.96</v>
      </c>
      <c r="AR389" s="112">
        <v>9735</v>
      </c>
      <c r="AS389" s="113">
        <v>9887.4</v>
      </c>
      <c r="AT389" s="113">
        <v>9292.2000000000007</v>
      </c>
      <c r="AU389" s="111">
        <v>13771.720000000019</v>
      </c>
      <c r="AV389" s="112">
        <v>18880.4199999999</v>
      </c>
      <c r="AW389" s="112">
        <v>13769.699999999923</v>
      </c>
      <c r="AX389" s="112">
        <v>686.39000000000101</v>
      </c>
      <c r="AY389" s="113">
        <v>11424.370000000101</v>
      </c>
      <c r="AZ389" s="113">
        <v>10442.59</v>
      </c>
    </row>
    <row r="390" spans="1:52" x14ac:dyDescent="0.25">
      <c r="A390" s="101" t="s">
        <v>617</v>
      </c>
      <c r="B390" s="102" t="s">
        <v>618</v>
      </c>
      <c r="C390" s="102"/>
      <c r="D390" s="102" t="s">
        <v>1048</v>
      </c>
      <c r="E390" s="103">
        <v>0.87999999999999901</v>
      </c>
      <c r="F390" s="104">
        <v>6000</v>
      </c>
      <c r="G390" s="105">
        <f t="shared" si="164"/>
        <v>3000</v>
      </c>
      <c r="H390" s="105">
        <v>18430</v>
      </c>
      <c r="I390" s="106">
        <f t="shared" si="165"/>
        <v>0.16277807921866522</v>
      </c>
      <c r="J390" s="86">
        <v>2508</v>
      </c>
      <c r="K390" s="87">
        <v>2905</v>
      </c>
      <c r="L390" s="87">
        <v>1464</v>
      </c>
      <c r="M390" s="87">
        <v>734</v>
      </c>
      <c r="N390" s="90">
        <v>3255</v>
      </c>
      <c r="O390" s="90">
        <v>5118</v>
      </c>
      <c r="P390" s="86">
        <f t="shared" si="159"/>
        <v>2207.0399999999977</v>
      </c>
      <c r="Q390" s="87">
        <f t="shared" si="160"/>
        <v>2556.3999999999969</v>
      </c>
      <c r="R390" s="87">
        <f t="shared" si="161"/>
        <v>1288.3199999999986</v>
      </c>
      <c r="S390" s="88">
        <f t="shared" si="162"/>
        <v>645.91999999999928</v>
      </c>
      <c r="T390" s="89">
        <f t="shared" si="163"/>
        <v>2864.3999999999969</v>
      </c>
      <c r="U390" s="89">
        <f t="shared" si="166"/>
        <v>4503.8399999999947</v>
      </c>
      <c r="V390" s="86">
        <v>2238</v>
      </c>
      <c r="W390" s="87">
        <v>3644</v>
      </c>
      <c r="X390" s="87">
        <v>3449</v>
      </c>
      <c r="Y390" s="87">
        <v>1573</v>
      </c>
      <c r="Z390" s="90">
        <v>920</v>
      </c>
      <c r="AA390" s="90">
        <v>3284</v>
      </c>
      <c r="AB390" s="91">
        <f t="shared" si="167"/>
        <v>0.12143244709712425</v>
      </c>
      <c r="AC390" s="91">
        <f t="shared" si="168"/>
        <v>0.19772110689093869</v>
      </c>
      <c r="AD390" s="91">
        <f t="shared" si="169"/>
        <v>0.18714053174172546</v>
      </c>
      <c r="AE390" s="91">
        <f t="shared" si="170"/>
        <v>8.5349972870320132E-2</v>
      </c>
      <c r="AF390" s="91">
        <f t="shared" si="171"/>
        <v>4.9918610960390665E-2</v>
      </c>
      <c r="AG390" s="91">
        <f t="shared" si="172"/>
        <v>0.17818773738469887</v>
      </c>
      <c r="AH390" s="92">
        <v>5455.15</v>
      </c>
      <c r="AI390" s="93">
        <v>3774.639999999989</v>
      </c>
      <c r="AJ390" s="93">
        <v>3774.639999999988</v>
      </c>
      <c r="AK390" s="93">
        <v>2698.7899999999986</v>
      </c>
      <c r="AL390" s="94">
        <v>1077.55</v>
      </c>
      <c r="AM390" s="94">
        <v>2826.8200000000202</v>
      </c>
      <c r="AN390" s="94" t="s">
        <v>780</v>
      </c>
      <c r="AO390" s="111">
        <v>47662.21</v>
      </c>
      <c r="AP390" s="112">
        <v>55650.63</v>
      </c>
      <c r="AQ390" s="112">
        <v>27991.149999999998</v>
      </c>
      <c r="AR390" s="112">
        <v>13997.88</v>
      </c>
      <c r="AS390" s="113">
        <v>62959.310000000005</v>
      </c>
      <c r="AT390" s="113">
        <v>99715.119999999966</v>
      </c>
      <c r="AU390" s="111">
        <v>46917.94000000009</v>
      </c>
      <c r="AV390" s="112">
        <v>72974.719999999797</v>
      </c>
      <c r="AW390" s="112">
        <v>68359.059999999867</v>
      </c>
      <c r="AX390" s="112">
        <v>31145.739999999802</v>
      </c>
      <c r="AY390" s="113">
        <v>18661.009999999998</v>
      </c>
      <c r="AZ390" s="113">
        <v>66515.510000000097</v>
      </c>
    </row>
    <row r="391" spans="1:52" x14ac:dyDescent="0.25">
      <c r="A391" s="101" t="s">
        <v>1008</v>
      </c>
      <c r="B391" s="102" t="s">
        <v>174</v>
      </c>
      <c r="C391" s="102"/>
      <c r="D391" s="102" t="s">
        <v>1048</v>
      </c>
      <c r="E391" s="103">
        <v>0.86999999999999988</v>
      </c>
      <c r="F391" s="104">
        <v>500</v>
      </c>
      <c r="G391" s="105">
        <f t="shared" si="164"/>
        <v>250</v>
      </c>
      <c r="H391" s="105">
        <v>1938</v>
      </c>
      <c r="I391" s="106">
        <f t="shared" si="165"/>
        <v>0.12899896800825594</v>
      </c>
      <c r="J391" s="86">
        <v>0</v>
      </c>
      <c r="K391" s="87">
        <v>0</v>
      </c>
      <c r="L391" s="87">
        <v>0</v>
      </c>
      <c r="M391" s="87">
        <v>0</v>
      </c>
      <c r="N391" s="90">
        <v>75</v>
      </c>
      <c r="O391" s="90">
        <v>135</v>
      </c>
      <c r="P391" s="86">
        <f t="shared" si="159"/>
        <v>0</v>
      </c>
      <c r="Q391" s="87">
        <f t="shared" si="160"/>
        <v>0</v>
      </c>
      <c r="R391" s="87">
        <f t="shared" si="161"/>
        <v>0</v>
      </c>
      <c r="S391" s="88">
        <f t="shared" si="162"/>
        <v>0</v>
      </c>
      <c r="T391" s="89">
        <f t="shared" si="163"/>
        <v>65.249999999999986</v>
      </c>
      <c r="U391" s="89">
        <f t="shared" si="166"/>
        <v>117.44999999999999</v>
      </c>
      <c r="V391" s="86">
        <v>0</v>
      </c>
      <c r="W391" s="87">
        <v>0</v>
      </c>
      <c r="X391" s="87">
        <v>0</v>
      </c>
      <c r="Y391" s="87">
        <v>0</v>
      </c>
      <c r="Z391" s="90">
        <v>0</v>
      </c>
      <c r="AA391" s="90">
        <v>0</v>
      </c>
      <c r="AB391" s="91">
        <f t="shared" si="167"/>
        <v>0</v>
      </c>
      <c r="AC391" s="91">
        <f t="shared" si="168"/>
        <v>0</v>
      </c>
      <c r="AD391" s="91">
        <f t="shared" si="169"/>
        <v>0</v>
      </c>
      <c r="AE391" s="91">
        <f t="shared" si="170"/>
        <v>0</v>
      </c>
      <c r="AF391" s="91">
        <f t="shared" si="171"/>
        <v>0</v>
      </c>
      <c r="AG391" s="91">
        <f t="shared" si="172"/>
        <v>0</v>
      </c>
      <c r="AH391" s="92">
        <v>0</v>
      </c>
      <c r="AI391" s="93">
        <v>0</v>
      </c>
      <c r="AJ391" s="93">
        <v>0</v>
      </c>
      <c r="AK391" s="93">
        <v>0</v>
      </c>
      <c r="AL391" s="94">
        <v>0</v>
      </c>
      <c r="AM391" s="94">
        <v>0</v>
      </c>
      <c r="AN391" s="94" t="s">
        <v>779</v>
      </c>
      <c r="AO391" s="111">
        <v>0</v>
      </c>
      <c r="AP391" s="112">
        <v>0</v>
      </c>
      <c r="AQ391" s="112">
        <v>0</v>
      </c>
      <c r="AR391" s="112">
        <v>0</v>
      </c>
      <c r="AS391" s="113">
        <v>141.75</v>
      </c>
      <c r="AT391" s="113">
        <v>255.75</v>
      </c>
      <c r="AU391" s="111">
        <v>0</v>
      </c>
      <c r="AV391" s="112">
        <v>0</v>
      </c>
      <c r="AW391" s="112">
        <v>0</v>
      </c>
      <c r="AX391" s="112">
        <v>0</v>
      </c>
      <c r="AY391" s="113">
        <v>0</v>
      </c>
      <c r="AZ391" s="113">
        <v>0</v>
      </c>
    </row>
    <row r="392" spans="1:52" x14ac:dyDescent="0.25">
      <c r="A392" s="101" t="s">
        <v>1009</v>
      </c>
      <c r="B392" s="102" t="s">
        <v>689</v>
      </c>
      <c r="C392" s="102"/>
      <c r="D392" s="102" t="s">
        <v>1048</v>
      </c>
      <c r="E392" s="103">
        <v>0.86999999999999744</v>
      </c>
      <c r="F392" s="104">
        <v>3000</v>
      </c>
      <c r="G392" s="105">
        <f t="shared" si="164"/>
        <v>1500</v>
      </c>
      <c r="H392" s="105">
        <v>178832</v>
      </c>
      <c r="I392" s="106">
        <f t="shared" si="165"/>
        <v>8.387760579762012E-3</v>
      </c>
      <c r="J392" s="86">
        <v>2004</v>
      </c>
      <c r="K392" s="87">
        <v>324</v>
      </c>
      <c r="L392" s="87">
        <v>0</v>
      </c>
      <c r="M392" s="87">
        <v>0</v>
      </c>
      <c r="N392" s="90"/>
      <c r="O392" s="90">
        <v>0</v>
      </c>
      <c r="P392" s="86">
        <f t="shared" si="159"/>
        <v>1743.4799999999948</v>
      </c>
      <c r="Q392" s="87">
        <f t="shared" si="160"/>
        <v>281.8799999999992</v>
      </c>
      <c r="R392" s="87">
        <f t="shared" si="161"/>
        <v>0</v>
      </c>
      <c r="S392" s="88">
        <f t="shared" si="162"/>
        <v>0</v>
      </c>
      <c r="T392" s="89">
        <f t="shared" si="163"/>
        <v>0</v>
      </c>
      <c r="U392" s="89">
        <f t="shared" si="166"/>
        <v>0</v>
      </c>
      <c r="V392" s="86">
        <v>326</v>
      </c>
      <c r="W392" s="87">
        <v>0</v>
      </c>
      <c r="X392" s="87">
        <v>0</v>
      </c>
      <c r="Y392" s="87">
        <v>0</v>
      </c>
      <c r="Z392" s="90">
        <v>969</v>
      </c>
      <c r="AA392" s="90">
        <v>1196</v>
      </c>
      <c r="AB392" s="91">
        <f t="shared" si="167"/>
        <v>1.8229399660016105E-3</v>
      </c>
      <c r="AC392" s="91">
        <f t="shared" si="168"/>
        <v>0</v>
      </c>
      <c r="AD392" s="91">
        <f t="shared" si="169"/>
        <v>0</v>
      </c>
      <c r="AE392" s="91">
        <f t="shared" si="170"/>
        <v>0</v>
      </c>
      <c r="AF392" s="91">
        <f t="shared" si="171"/>
        <v>5.418493334526259E-3</v>
      </c>
      <c r="AG392" s="91">
        <f t="shared" si="172"/>
        <v>6.6878411022635769E-3</v>
      </c>
      <c r="AH392" s="92">
        <v>454.84</v>
      </c>
      <c r="AI392" s="93">
        <v>0</v>
      </c>
      <c r="AJ392" s="93">
        <v>0</v>
      </c>
      <c r="AK392" s="93">
        <v>0</v>
      </c>
      <c r="AL392" s="94">
        <v>843.02999999999747</v>
      </c>
      <c r="AM392" s="94">
        <v>907.75</v>
      </c>
      <c r="AN392" s="94" t="s">
        <v>780</v>
      </c>
      <c r="AO392" s="111">
        <v>96780.200000000012</v>
      </c>
      <c r="AP392" s="112">
        <v>15765.84</v>
      </c>
      <c r="AQ392" s="112">
        <v>0</v>
      </c>
      <c r="AR392" s="112">
        <v>0</v>
      </c>
      <c r="AS392" s="113">
        <v>0</v>
      </c>
      <c r="AT392" s="113">
        <v>0</v>
      </c>
      <c r="AU392" s="111">
        <v>0</v>
      </c>
      <c r="AV392" s="112">
        <v>0</v>
      </c>
      <c r="AW392" s="112">
        <v>0</v>
      </c>
      <c r="AX392" s="112">
        <v>0</v>
      </c>
      <c r="AY392" s="113">
        <v>0</v>
      </c>
      <c r="AZ392" s="113">
        <v>0</v>
      </c>
    </row>
    <row r="393" spans="1:52" x14ac:dyDescent="0.25">
      <c r="A393" s="101" t="s">
        <v>621</v>
      </c>
      <c r="B393" s="102" t="s">
        <v>622</v>
      </c>
      <c r="C393" s="102"/>
      <c r="D393" s="102" t="s">
        <v>1048</v>
      </c>
      <c r="E393" s="103">
        <v>0.85000000000000142</v>
      </c>
      <c r="F393" s="104">
        <v>300</v>
      </c>
      <c r="G393" s="105">
        <f t="shared" si="164"/>
        <v>150</v>
      </c>
      <c r="H393" s="105">
        <v>241</v>
      </c>
      <c r="I393" s="106">
        <f t="shared" si="165"/>
        <v>0.62240663900414939</v>
      </c>
      <c r="J393" s="86">
        <v>0</v>
      </c>
      <c r="K393" s="87">
        <v>0</v>
      </c>
      <c r="L393" s="87">
        <v>48</v>
      </c>
      <c r="M393" s="87">
        <v>332</v>
      </c>
      <c r="N393" s="90">
        <v>338</v>
      </c>
      <c r="O393" s="90">
        <v>296</v>
      </c>
      <c r="P393" s="86">
        <f t="shared" si="159"/>
        <v>0</v>
      </c>
      <c r="Q393" s="87">
        <f t="shared" si="160"/>
        <v>0</v>
      </c>
      <c r="R393" s="87">
        <f t="shared" si="161"/>
        <v>40.800000000000068</v>
      </c>
      <c r="S393" s="88">
        <f t="shared" si="162"/>
        <v>282.2000000000005</v>
      </c>
      <c r="T393" s="89">
        <f t="shared" si="163"/>
        <v>287.30000000000047</v>
      </c>
      <c r="U393" s="89">
        <f t="shared" si="166"/>
        <v>251.60000000000042</v>
      </c>
      <c r="V393" s="86">
        <v>91</v>
      </c>
      <c r="W393" s="87">
        <v>363</v>
      </c>
      <c r="X393" s="87">
        <v>90</v>
      </c>
      <c r="Y393" s="87">
        <v>25</v>
      </c>
      <c r="Z393" s="90">
        <v>66</v>
      </c>
      <c r="AA393" s="90">
        <v>72</v>
      </c>
      <c r="AB393" s="91">
        <f t="shared" si="167"/>
        <v>0.37759336099585061</v>
      </c>
      <c r="AC393" s="91">
        <f t="shared" si="168"/>
        <v>1.5062240663900415</v>
      </c>
      <c r="AD393" s="91">
        <f t="shared" si="169"/>
        <v>0.37344398340248963</v>
      </c>
      <c r="AE393" s="91">
        <f t="shared" si="170"/>
        <v>0.1037344398340249</v>
      </c>
      <c r="AF393" s="91">
        <f t="shared" si="171"/>
        <v>0.27385892116182575</v>
      </c>
      <c r="AG393" s="91">
        <f t="shared" si="172"/>
        <v>0.29875518672199169</v>
      </c>
      <c r="AH393" s="92">
        <v>20.51</v>
      </c>
      <c r="AI393" s="93">
        <v>153.07999999999987</v>
      </c>
      <c r="AJ393" s="93">
        <v>153.07999999999987</v>
      </c>
      <c r="AK393" s="93">
        <v>74</v>
      </c>
      <c r="AL393" s="94">
        <v>31.7699999999999</v>
      </c>
      <c r="AM393" s="94">
        <v>59.239999999999903</v>
      </c>
      <c r="AN393" s="94" t="s">
        <v>780</v>
      </c>
      <c r="AO393" s="111">
        <v>0</v>
      </c>
      <c r="AP393" s="112">
        <v>0</v>
      </c>
      <c r="AQ393" s="112">
        <v>942.72</v>
      </c>
      <c r="AR393" s="112">
        <v>6871.7900000000009</v>
      </c>
      <c r="AS393" s="113">
        <v>5658.12</v>
      </c>
      <c r="AT393" s="113">
        <v>4922.9400000000005</v>
      </c>
      <c r="AU393" s="111">
        <v>1805.32</v>
      </c>
      <c r="AV393" s="112">
        <v>7272.0899999999965</v>
      </c>
      <c r="AW393" s="112">
        <v>1839.1199999999994</v>
      </c>
      <c r="AX393" s="112">
        <v>522.099999999999</v>
      </c>
      <c r="AY393" s="113">
        <v>1378.22</v>
      </c>
      <c r="AZ393" s="113">
        <v>1435.62</v>
      </c>
    </row>
    <row r="394" spans="1:52" x14ac:dyDescent="0.25">
      <c r="A394" s="101" t="s">
        <v>395</v>
      </c>
      <c r="B394" s="102" t="s">
        <v>396</v>
      </c>
      <c r="C394" s="102"/>
      <c r="D394" s="102" t="s">
        <v>1048</v>
      </c>
      <c r="E394" s="103">
        <v>0.84000000000000075</v>
      </c>
      <c r="F394" s="104">
        <v>2000</v>
      </c>
      <c r="G394" s="105">
        <f t="shared" si="164"/>
        <v>1000</v>
      </c>
      <c r="H394" s="105">
        <v>7132</v>
      </c>
      <c r="I394" s="106">
        <f t="shared" si="165"/>
        <v>0.14021312394840157</v>
      </c>
      <c r="J394" s="86">
        <v>375</v>
      </c>
      <c r="K394" s="87">
        <v>0</v>
      </c>
      <c r="L394" s="87">
        <v>0</v>
      </c>
      <c r="M394" s="87">
        <v>0</v>
      </c>
      <c r="N394" s="90"/>
      <c r="O394" s="90">
        <v>0</v>
      </c>
      <c r="P394" s="86">
        <f t="shared" si="159"/>
        <v>315.00000000000028</v>
      </c>
      <c r="Q394" s="87">
        <f t="shared" si="160"/>
        <v>0</v>
      </c>
      <c r="R394" s="87">
        <f t="shared" si="161"/>
        <v>0</v>
      </c>
      <c r="S394" s="88">
        <f t="shared" si="162"/>
        <v>0</v>
      </c>
      <c r="T394" s="89">
        <f t="shared" si="163"/>
        <v>0</v>
      </c>
      <c r="U394" s="89">
        <f t="shared" si="166"/>
        <v>0</v>
      </c>
      <c r="V394" s="86">
        <v>1114</v>
      </c>
      <c r="W394" s="87">
        <v>1813</v>
      </c>
      <c r="X394" s="87">
        <v>1412</v>
      </c>
      <c r="Y394" s="87">
        <v>1909</v>
      </c>
      <c r="Z394" s="90">
        <v>1521</v>
      </c>
      <c r="AA394" s="90">
        <v>1020</v>
      </c>
      <c r="AB394" s="91">
        <f t="shared" si="167"/>
        <v>0.15619742007851936</v>
      </c>
      <c r="AC394" s="91">
        <f t="shared" si="168"/>
        <v>0.25420639371845205</v>
      </c>
      <c r="AD394" s="91">
        <f t="shared" si="169"/>
        <v>0.19798093101514302</v>
      </c>
      <c r="AE394" s="91">
        <f t="shared" si="170"/>
        <v>0.26766685361749859</v>
      </c>
      <c r="AF394" s="91">
        <f t="shared" si="171"/>
        <v>0.21326416152551878</v>
      </c>
      <c r="AG394" s="91">
        <f t="shared" si="172"/>
        <v>0.14301738642736961</v>
      </c>
      <c r="AH394" s="92">
        <v>1103.5699999999979</v>
      </c>
      <c r="AI394" s="93">
        <v>1557.7399999999998</v>
      </c>
      <c r="AJ394" s="93">
        <v>1557.7399999999998</v>
      </c>
      <c r="AK394" s="93">
        <v>990.73999999999808</v>
      </c>
      <c r="AL394" s="94">
        <v>1073.22</v>
      </c>
      <c r="AM394" s="94">
        <v>217.61999999999901</v>
      </c>
      <c r="AN394" s="94" t="s">
        <v>779</v>
      </c>
      <c r="AO394" s="111">
        <v>2445</v>
      </c>
      <c r="AP394" s="112">
        <v>0</v>
      </c>
      <c r="AQ394" s="112">
        <v>0</v>
      </c>
      <c r="AR394" s="112">
        <v>0</v>
      </c>
      <c r="AS394" s="113">
        <v>0</v>
      </c>
      <c r="AT394" s="113">
        <v>0</v>
      </c>
      <c r="AU394" s="111">
        <v>8011.9300000000121</v>
      </c>
      <c r="AV394" s="112">
        <v>12861.669999999995</v>
      </c>
      <c r="AW394" s="112">
        <v>9710.5200000000023</v>
      </c>
      <c r="AX394" s="112">
        <v>12909.0199999999</v>
      </c>
      <c r="AY394" s="113">
        <v>10095.369999999901</v>
      </c>
      <c r="AZ394" s="113">
        <v>6541.6199999999499</v>
      </c>
    </row>
    <row r="395" spans="1:52" x14ac:dyDescent="0.25">
      <c r="A395" s="101" t="s">
        <v>1010</v>
      </c>
      <c r="B395" s="102" t="s">
        <v>383</v>
      </c>
      <c r="C395" s="102"/>
      <c r="D395" s="102" t="s">
        <v>1048</v>
      </c>
      <c r="E395" s="103">
        <v>0.83999999999999986</v>
      </c>
      <c r="F395" s="104">
        <v>8000</v>
      </c>
      <c r="G395" s="105">
        <f t="shared" si="164"/>
        <v>4000</v>
      </c>
      <c r="H395" s="105">
        <v>12997</v>
      </c>
      <c r="I395" s="106">
        <f t="shared" si="165"/>
        <v>0.30776332999923062</v>
      </c>
      <c r="J395" s="86">
        <v>7933</v>
      </c>
      <c r="K395" s="87">
        <v>2608</v>
      </c>
      <c r="L395" s="87">
        <v>424</v>
      </c>
      <c r="M395" s="87">
        <v>0</v>
      </c>
      <c r="N395" s="90">
        <v>288</v>
      </c>
      <c r="O395" s="90">
        <v>2392</v>
      </c>
      <c r="P395" s="86">
        <f t="shared" si="159"/>
        <v>6663.7199999999984</v>
      </c>
      <c r="Q395" s="87">
        <f t="shared" si="160"/>
        <v>2190.7199999999998</v>
      </c>
      <c r="R395" s="87">
        <f t="shared" si="161"/>
        <v>356.15999999999997</v>
      </c>
      <c r="S395" s="88">
        <f t="shared" si="162"/>
        <v>0</v>
      </c>
      <c r="T395" s="89">
        <f t="shared" si="163"/>
        <v>241.91999999999996</v>
      </c>
      <c r="U395" s="89">
        <f t="shared" si="166"/>
        <v>2009.2799999999997</v>
      </c>
      <c r="V395" s="86">
        <v>2510</v>
      </c>
      <c r="W395" s="87">
        <v>2393</v>
      </c>
      <c r="X395" s="87">
        <v>4329</v>
      </c>
      <c r="Y395" s="87">
        <v>4591</v>
      </c>
      <c r="Z395" s="90">
        <v>6375</v>
      </c>
      <c r="AA395" s="90">
        <v>897</v>
      </c>
      <c r="AB395" s="91">
        <f t="shared" si="167"/>
        <v>0.19312148957451719</v>
      </c>
      <c r="AC395" s="91">
        <f t="shared" si="168"/>
        <v>0.1841194121720397</v>
      </c>
      <c r="AD395" s="91">
        <f t="shared" si="169"/>
        <v>0.3330768638916673</v>
      </c>
      <c r="AE395" s="91">
        <f t="shared" si="170"/>
        <v>0.35323536200661693</v>
      </c>
      <c r="AF395" s="91">
        <f t="shared" si="171"/>
        <v>0.49049780718627378</v>
      </c>
      <c r="AG395" s="91">
        <f t="shared" si="172"/>
        <v>6.9015926752327456E-2</v>
      </c>
      <c r="AH395" s="92">
        <v>1492.03</v>
      </c>
      <c r="AI395" s="93">
        <v>1523.2399999999993</v>
      </c>
      <c r="AJ395" s="93">
        <v>1523.2399999999991</v>
      </c>
      <c r="AK395" s="93">
        <v>1950.1599999999962</v>
      </c>
      <c r="AL395" s="94">
        <v>1448.97000000001</v>
      </c>
      <c r="AM395" s="94">
        <v>191.73</v>
      </c>
      <c r="AN395" s="94" t="s">
        <v>779</v>
      </c>
      <c r="AO395" s="111">
        <v>42307.62</v>
      </c>
      <c r="AP395" s="112">
        <v>14237.32</v>
      </c>
      <c r="AQ395" s="112">
        <v>2251.44</v>
      </c>
      <c r="AR395" s="112">
        <v>0</v>
      </c>
      <c r="AS395" s="113">
        <v>1523.52</v>
      </c>
      <c r="AT395" s="113">
        <v>12584.4</v>
      </c>
      <c r="AU395" s="111">
        <v>0</v>
      </c>
      <c r="AV395" s="112">
        <v>0</v>
      </c>
      <c r="AW395" s="112">
        <v>0</v>
      </c>
      <c r="AX395" s="112">
        <v>0</v>
      </c>
      <c r="AY395" s="113">
        <v>0</v>
      </c>
      <c r="AZ395" s="113">
        <v>0</v>
      </c>
    </row>
    <row r="396" spans="1:52" x14ac:dyDescent="0.25">
      <c r="A396" s="101" t="s">
        <v>1011</v>
      </c>
      <c r="B396" s="102" t="s">
        <v>833</v>
      </c>
      <c r="C396" s="102"/>
      <c r="D396" s="102" t="s">
        <v>1048</v>
      </c>
      <c r="E396" s="103">
        <v>0.83299663299663296</v>
      </c>
      <c r="F396" s="104">
        <v>200</v>
      </c>
      <c r="G396" s="105">
        <f t="shared" si="164"/>
        <v>100</v>
      </c>
      <c r="H396" s="105">
        <v>462</v>
      </c>
      <c r="I396" s="106">
        <f t="shared" si="165"/>
        <v>0.21645021645021645</v>
      </c>
      <c r="J396" s="86">
        <v>0</v>
      </c>
      <c r="K396" s="86">
        <v>0</v>
      </c>
      <c r="L396" s="86">
        <v>0</v>
      </c>
      <c r="M396" s="86">
        <v>0</v>
      </c>
      <c r="N396" s="86">
        <v>0</v>
      </c>
      <c r="O396" s="90">
        <v>100</v>
      </c>
      <c r="P396" s="86"/>
      <c r="Q396" s="87"/>
      <c r="R396" s="87"/>
      <c r="S396" s="88"/>
      <c r="T396" s="89"/>
      <c r="U396" s="89">
        <f t="shared" si="166"/>
        <v>83.299663299663294</v>
      </c>
      <c r="V396" s="86"/>
      <c r="W396" s="87"/>
      <c r="X396" s="87"/>
      <c r="Y396" s="87"/>
      <c r="Z396" s="90"/>
      <c r="AA396" s="90"/>
      <c r="AB396" s="91">
        <f t="shared" si="167"/>
        <v>0</v>
      </c>
      <c r="AC396" s="91">
        <f t="shared" si="168"/>
        <v>0</v>
      </c>
      <c r="AD396" s="91">
        <f t="shared" si="169"/>
        <v>0</v>
      </c>
      <c r="AE396" s="91">
        <f t="shared" si="170"/>
        <v>0</v>
      </c>
      <c r="AF396" s="91">
        <f t="shared" si="171"/>
        <v>0</v>
      </c>
      <c r="AG396" s="91">
        <f t="shared" si="172"/>
        <v>0</v>
      </c>
      <c r="AH396" s="92"/>
      <c r="AI396" s="93"/>
      <c r="AJ396" s="93"/>
      <c r="AK396" s="93"/>
      <c r="AL396" s="94"/>
      <c r="AM396" s="94"/>
      <c r="AN396" s="94" t="s">
        <v>780</v>
      </c>
      <c r="AO396" s="111">
        <v>0</v>
      </c>
      <c r="AP396" s="112">
        <v>0</v>
      </c>
      <c r="AQ396" s="112">
        <v>0</v>
      </c>
      <c r="AR396" s="112">
        <v>0</v>
      </c>
      <c r="AS396" s="113">
        <v>0</v>
      </c>
      <c r="AT396" s="113">
        <v>335</v>
      </c>
      <c r="AU396" s="111">
        <v>0</v>
      </c>
      <c r="AV396" s="112">
        <v>0</v>
      </c>
      <c r="AW396" s="112">
        <v>0</v>
      </c>
      <c r="AX396" s="112">
        <v>0</v>
      </c>
      <c r="AY396" s="113">
        <v>0</v>
      </c>
      <c r="AZ396" s="113">
        <v>0</v>
      </c>
    </row>
    <row r="397" spans="1:52" x14ac:dyDescent="0.25">
      <c r="A397" s="101" t="s">
        <v>417</v>
      </c>
      <c r="B397" s="102" t="s">
        <v>418</v>
      </c>
      <c r="C397" s="102"/>
      <c r="D397" s="102" t="s">
        <v>1048</v>
      </c>
      <c r="E397" s="103">
        <v>0.83000000000000007</v>
      </c>
      <c r="F397" s="104">
        <v>2000</v>
      </c>
      <c r="G397" s="105">
        <f t="shared" si="164"/>
        <v>1000</v>
      </c>
      <c r="H397" s="105">
        <v>5929</v>
      </c>
      <c r="I397" s="106">
        <f t="shared" si="165"/>
        <v>0.16866250632484397</v>
      </c>
      <c r="J397" s="86">
        <v>0</v>
      </c>
      <c r="K397" s="87">
        <v>13</v>
      </c>
      <c r="L397" s="87">
        <v>94.5</v>
      </c>
      <c r="M397" s="87">
        <v>154</v>
      </c>
      <c r="N397" s="90">
        <v>57.5</v>
      </c>
      <c r="O397" s="90">
        <v>480</v>
      </c>
      <c r="P397" s="86">
        <f t="shared" ref="P397:P402" si="173">+J397*E397</f>
        <v>0</v>
      </c>
      <c r="Q397" s="87">
        <f t="shared" ref="Q397:Q402" si="174">+K397*E397</f>
        <v>10.790000000000001</v>
      </c>
      <c r="R397" s="87">
        <f t="shared" ref="R397:R402" si="175">+L397*E397</f>
        <v>78.435000000000002</v>
      </c>
      <c r="S397" s="88">
        <f t="shared" ref="S397:S402" si="176">+M397*E397</f>
        <v>127.82000000000001</v>
      </c>
      <c r="T397" s="89">
        <f t="shared" ref="T397:T402" si="177">+N397*E397</f>
        <v>47.725000000000001</v>
      </c>
      <c r="U397" s="89">
        <f t="shared" si="166"/>
        <v>398.40000000000003</v>
      </c>
      <c r="V397" s="86">
        <v>717</v>
      </c>
      <c r="W397" s="87">
        <v>123</v>
      </c>
      <c r="X397" s="87">
        <v>0</v>
      </c>
      <c r="Y397" s="87">
        <v>50</v>
      </c>
      <c r="Z397" s="90">
        <v>42</v>
      </c>
      <c r="AA397" s="90">
        <v>208</v>
      </c>
      <c r="AB397" s="91">
        <f t="shared" si="167"/>
        <v>0.12093101703491314</v>
      </c>
      <c r="AC397" s="91">
        <f t="shared" si="168"/>
        <v>2.0745488277955811E-2</v>
      </c>
      <c r="AD397" s="91">
        <f t="shared" si="169"/>
        <v>0</v>
      </c>
      <c r="AE397" s="91">
        <f t="shared" si="170"/>
        <v>8.4331253162421987E-3</v>
      </c>
      <c r="AF397" s="91">
        <f t="shared" si="171"/>
        <v>7.0838252656434475E-3</v>
      </c>
      <c r="AG397" s="91">
        <f t="shared" si="172"/>
        <v>3.5081801315567547E-2</v>
      </c>
      <c r="AH397" s="92">
        <v>220.7300000000001</v>
      </c>
      <c r="AI397" s="93">
        <v>89.549999999999784</v>
      </c>
      <c r="AJ397" s="93">
        <v>89.549999999999784</v>
      </c>
      <c r="AK397" s="93">
        <v>41.5</v>
      </c>
      <c r="AL397" s="94">
        <v>37.53</v>
      </c>
      <c r="AM397" s="94">
        <v>158.1</v>
      </c>
      <c r="AN397" s="94" t="s">
        <v>779</v>
      </c>
      <c r="AO397" s="111">
        <v>0</v>
      </c>
      <c r="AP397" s="112">
        <v>80.599999999999994</v>
      </c>
      <c r="AQ397" s="112">
        <v>603.46</v>
      </c>
      <c r="AR397" s="112">
        <v>978.86</v>
      </c>
      <c r="AS397" s="113">
        <v>369.77</v>
      </c>
      <c r="AT397" s="113">
        <v>1518.8899999999999</v>
      </c>
      <c r="AU397" s="111">
        <v>4883.2000000000044</v>
      </c>
      <c r="AV397" s="112">
        <v>889.04999999999802</v>
      </c>
      <c r="AW397" s="112">
        <v>0</v>
      </c>
      <c r="AX397" s="112">
        <v>355.53</v>
      </c>
      <c r="AY397" s="113">
        <v>300.93</v>
      </c>
      <c r="AZ397" s="113">
        <v>1475.69999999999</v>
      </c>
    </row>
    <row r="398" spans="1:52" x14ac:dyDescent="0.25">
      <c r="A398" s="101" t="s">
        <v>1012</v>
      </c>
      <c r="B398" s="102" t="s">
        <v>570</v>
      </c>
      <c r="C398" s="102"/>
      <c r="D398" s="102" t="s">
        <v>1048</v>
      </c>
      <c r="E398" s="103">
        <v>0.8100000000000005</v>
      </c>
      <c r="F398" s="104">
        <v>500</v>
      </c>
      <c r="G398" s="105">
        <f t="shared" si="164"/>
        <v>250</v>
      </c>
      <c r="H398" s="105">
        <v>1237</v>
      </c>
      <c r="I398" s="106">
        <f t="shared" si="165"/>
        <v>0.20210185933710589</v>
      </c>
      <c r="J398" s="86">
        <v>152</v>
      </c>
      <c r="K398" s="87">
        <v>247</v>
      </c>
      <c r="L398" s="87">
        <v>0</v>
      </c>
      <c r="M398" s="87">
        <v>0</v>
      </c>
      <c r="N398" s="90">
        <v>360</v>
      </c>
      <c r="O398" s="90">
        <v>172</v>
      </c>
      <c r="P398" s="86">
        <f t="shared" si="173"/>
        <v>123.12000000000008</v>
      </c>
      <c r="Q398" s="87">
        <f t="shared" si="174"/>
        <v>200.07000000000014</v>
      </c>
      <c r="R398" s="87">
        <f t="shared" si="175"/>
        <v>0</v>
      </c>
      <c r="S398" s="88">
        <f t="shared" si="176"/>
        <v>0</v>
      </c>
      <c r="T398" s="89">
        <f t="shared" si="177"/>
        <v>291.60000000000019</v>
      </c>
      <c r="U398" s="89">
        <f t="shared" si="166"/>
        <v>139.32000000000008</v>
      </c>
      <c r="V398" s="86">
        <v>106</v>
      </c>
      <c r="W398" s="87">
        <v>51</v>
      </c>
      <c r="X398" s="87">
        <v>411</v>
      </c>
      <c r="Y398" s="87">
        <v>0</v>
      </c>
      <c r="Z398" s="90">
        <v>88</v>
      </c>
      <c r="AA398" s="90">
        <v>280</v>
      </c>
      <c r="AB398" s="91">
        <f t="shared" si="167"/>
        <v>8.5691188358932899E-2</v>
      </c>
      <c r="AC398" s="91">
        <f t="shared" si="168"/>
        <v>4.1228779304769606E-2</v>
      </c>
      <c r="AD398" s="91">
        <f t="shared" si="169"/>
        <v>0.33225545675020213</v>
      </c>
      <c r="AE398" s="91">
        <f t="shared" si="170"/>
        <v>0</v>
      </c>
      <c r="AF398" s="91">
        <f t="shared" si="171"/>
        <v>7.1139854486661283E-2</v>
      </c>
      <c r="AG398" s="91">
        <f t="shared" si="172"/>
        <v>0.22635408245755861</v>
      </c>
      <c r="AH398" s="92">
        <v>60.64</v>
      </c>
      <c r="AI398" s="93">
        <v>45.459999999999894</v>
      </c>
      <c r="AJ398" s="93">
        <v>45.459999999999894</v>
      </c>
      <c r="AK398" s="93">
        <v>279.17999999999967</v>
      </c>
      <c r="AL398" s="94">
        <v>71.280000000000044</v>
      </c>
      <c r="AM398" s="94">
        <v>230.19999999999899</v>
      </c>
      <c r="AN398" s="94" t="s">
        <v>780</v>
      </c>
      <c r="AO398" s="111">
        <v>1951.8400000000001</v>
      </c>
      <c r="AP398" s="112">
        <v>3200.33</v>
      </c>
      <c r="AQ398" s="112">
        <v>0</v>
      </c>
      <c r="AR398" s="112">
        <v>0</v>
      </c>
      <c r="AS398" s="113">
        <v>4613.05</v>
      </c>
      <c r="AT398" s="113">
        <v>2185.7799999999997</v>
      </c>
      <c r="AU398" s="111">
        <v>0</v>
      </c>
      <c r="AV398" s="112">
        <v>0</v>
      </c>
      <c r="AW398" s="112">
        <v>0</v>
      </c>
      <c r="AX398" s="112">
        <v>0</v>
      </c>
      <c r="AY398" s="113">
        <v>0</v>
      </c>
      <c r="AZ398" s="113">
        <v>0</v>
      </c>
    </row>
    <row r="399" spans="1:52" x14ac:dyDescent="0.25">
      <c r="A399" s="101" t="s">
        <v>1013</v>
      </c>
      <c r="B399" s="102" t="s">
        <v>518</v>
      </c>
      <c r="C399" s="102"/>
      <c r="D399" s="102" t="s">
        <v>1048</v>
      </c>
      <c r="E399" s="103">
        <v>0.8100000000000005</v>
      </c>
      <c r="F399" s="104">
        <v>80</v>
      </c>
      <c r="G399" s="105">
        <f t="shared" si="164"/>
        <v>40</v>
      </c>
      <c r="H399" s="105">
        <v>176</v>
      </c>
      <c r="I399" s="106">
        <f t="shared" si="165"/>
        <v>0.22727272727272727</v>
      </c>
      <c r="J399" s="86">
        <v>180</v>
      </c>
      <c r="K399" s="87">
        <v>390</v>
      </c>
      <c r="L399" s="87">
        <v>200</v>
      </c>
      <c r="M399" s="87">
        <v>0</v>
      </c>
      <c r="N399" s="90"/>
      <c r="O399" s="90">
        <v>360</v>
      </c>
      <c r="P399" s="86">
        <f t="shared" si="173"/>
        <v>145.8000000000001</v>
      </c>
      <c r="Q399" s="87">
        <f t="shared" si="174"/>
        <v>315.9000000000002</v>
      </c>
      <c r="R399" s="87">
        <f t="shared" si="175"/>
        <v>162.00000000000011</v>
      </c>
      <c r="S399" s="88">
        <f t="shared" si="176"/>
        <v>0</v>
      </c>
      <c r="T399" s="89">
        <f t="shared" si="177"/>
        <v>0</v>
      </c>
      <c r="U399" s="89">
        <f t="shared" si="166"/>
        <v>291.60000000000019</v>
      </c>
      <c r="V399" s="86">
        <v>88</v>
      </c>
      <c r="W399" s="87">
        <v>161</v>
      </c>
      <c r="X399" s="87">
        <v>177</v>
      </c>
      <c r="Y399" s="87">
        <v>83</v>
      </c>
      <c r="Z399" s="90">
        <v>227</v>
      </c>
      <c r="AA399" s="90">
        <v>117</v>
      </c>
      <c r="AB399" s="91">
        <f t="shared" si="167"/>
        <v>0.5</v>
      </c>
      <c r="AC399" s="91">
        <f t="shared" si="168"/>
        <v>0.91477272727272729</v>
      </c>
      <c r="AD399" s="91">
        <f t="shared" si="169"/>
        <v>1.0056818181818181</v>
      </c>
      <c r="AE399" s="91">
        <f t="shared" si="170"/>
        <v>0.47159090909090912</v>
      </c>
      <c r="AF399" s="91">
        <f t="shared" si="171"/>
        <v>1.2897727272727273</v>
      </c>
      <c r="AG399" s="91">
        <f t="shared" si="172"/>
        <v>0.66477272727272729</v>
      </c>
      <c r="AH399" s="92">
        <v>94.53000000000003</v>
      </c>
      <c r="AI399" s="93">
        <v>127.90999999999987</v>
      </c>
      <c r="AJ399" s="93">
        <v>127.90999999999987</v>
      </c>
      <c r="AK399" s="93">
        <v>51.929999999999872</v>
      </c>
      <c r="AL399" s="94">
        <v>69.259999999999906</v>
      </c>
      <c r="AM399" s="94">
        <v>86.46</v>
      </c>
      <c r="AN399" s="94" t="s">
        <v>780</v>
      </c>
      <c r="AO399" s="111">
        <v>1796.4</v>
      </c>
      <c r="AP399" s="112">
        <v>3950.3</v>
      </c>
      <c r="AQ399" s="112">
        <v>2006</v>
      </c>
      <c r="AR399" s="112">
        <v>0</v>
      </c>
      <c r="AS399" s="113">
        <v>0</v>
      </c>
      <c r="AT399" s="113">
        <v>3578.4</v>
      </c>
      <c r="AU399" s="111">
        <v>0</v>
      </c>
      <c r="AV399" s="112">
        <v>0</v>
      </c>
      <c r="AW399" s="112">
        <v>0</v>
      </c>
      <c r="AX399" s="112">
        <v>0</v>
      </c>
      <c r="AY399" s="113">
        <v>0</v>
      </c>
      <c r="AZ399" s="113">
        <v>0</v>
      </c>
    </row>
    <row r="400" spans="1:52" x14ac:dyDescent="0.25">
      <c r="A400" s="101" t="s">
        <v>1014</v>
      </c>
      <c r="B400" s="102" t="s">
        <v>144</v>
      </c>
      <c r="C400" s="102"/>
      <c r="D400" s="102" t="s">
        <v>1048</v>
      </c>
      <c r="E400" s="103">
        <v>0.81000000000000028</v>
      </c>
      <c r="F400" s="104">
        <v>109</v>
      </c>
      <c r="G400" s="105">
        <f t="shared" si="164"/>
        <v>54.5</v>
      </c>
      <c r="H400" s="105">
        <v>545</v>
      </c>
      <c r="I400" s="106">
        <f t="shared" si="165"/>
        <v>0.1</v>
      </c>
      <c r="J400" s="86">
        <v>0</v>
      </c>
      <c r="K400" s="87">
        <v>807</v>
      </c>
      <c r="L400" s="87">
        <v>0</v>
      </c>
      <c r="M400" s="87">
        <v>0</v>
      </c>
      <c r="N400" s="90">
        <v>472</v>
      </c>
      <c r="O400" s="90">
        <v>0</v>
      </c>
      <c r="P400" s="86">
        <f t="shared" si="173"/>
        <v>0</v>
      </c>
      <c r="Q400" s="87">
        <f t="shared" si="174"/>
        <v>653.67000000000019</v>
      </c>
      <c r="R400" s="87">
        <f t="shared" si="175"/>
        <v>0</v>
      </c>
      <c r="S400" s="88">
        <f t="shared" si="176"/>
        <v>0</v>
      </c>
      <c r="T400" s="89">
        <f t="shared" si="177"/>
        <v>382.32000000000011</v>
      </c>
      <c r="U400" s="89">
        <f t="shared" si="166"/>
        <v>0</v>
      </c>
      <c r="V400" s="86">
        <v>122</v>
      </c>
      <c r="W400" s="87">
        <v>239</v>
      </c>
      <c r="X400" s="87">
        <v>212</v>
      </c>
      <c r="Y400" s="87">
        <v>199</v>
      </c>
      <c r="Z400" s="90">
        <v>107</v>
      </c>
      <c r="AA400" s="90">
        <v>214</v>
      </c>
      <c r="AB400" s="91">
        <f t="shared" si="167"/>
        <v>0.22385321100917432</v>
      </c>
      <c r="AC400" s="91">
        <f t="shared" si="168"/>
        <v>0.43853211009174314</v>
      </c>
      <c r="AD400" s="91">
        <f t="shared" si="169"/>
        <v>0.38899082568807342</v>
      </c>
      <c r="AE400" s="91">
        <f t="shared" si="170"/>
        <v>0.3651376146788991</v>
      </c>
      <c r="AF400" s="91">
        <f t="shared" si="171"/>
        <v>0.19633027522935781</v>
      </c>
      <c r="AG400" s="91">
        <f t="shared" si="172"/>
        <v>0.39266055045871562</v>
      </c>
      <c r="AH400" s="92">
        <v>34.090000000000003</v>
      </c>
      <c r="AI400" s="93">
        <v>82.609999999999957</v>
      </c>
      <c r="AJ400" s="93">
        <v>82.609999999999914</v>
      </c>
      <c r="AK400" s="93">
        <v>109.13999999999994</v>
      </c>
      <c r="AL400" s="94">
        <v>127.8</v>
      </c>
      <c r="AM400" s="94">
        <v>156.69999999999999</v>
      </c>
      <c r="AN400" s="94" t="s">
        <v>779</v>
      </c>
      <c r="AO400" s="111">
        <v>0</v>
      </c>
      <c r="AP400" s="112">
        <v>1113.6600000000001</v>
      </c>
      <c r="AQ400" s="112">
        <v>0</v>
      </c>
      <c r="AR400" s="112">
        <v>0</v>
      </c>
      <c r="AS400" s="113">
        <v>646.64</v>
      </c>
      <c r="AT400" s="113">
        <v>0</v>
      </c>
      <c r="AU400" s="111">
        <v>0</v>
      </c>
      <c r="AV400" s="112">
        <v>0</v>
      </c>
      <c r="AW400" s="112">
        <v>0</v>
      </c>
      <c r="AX400" s="112">
        <v>0</v>
      </c>
      <c r="AY400" s="113">
        <v>0</v>
      </c>
      <c r="AZ400" s="113">
        <v>0</v>
      </c>
    </row>
    <row r="401" spans="1:52" x14ac:dyDescent="0.25">
      <c r="A401" s="101" t="s">
        <v>1015</v>
      </c>
      <c r="B401" s="102" t="s">
        <v>232</v>
      </c>
      <c r="C401" s="102"/>
      <c r="D401" s="102" t="s">
        <v>1048</v>
      </c>
      <c r="E401" s="103">
        <v>0.81</v>
      </c>
      <c r="F401" s="104">
        <v>1500</v>
      </c>
      <c r="G401" s="105">
        <f t="shared" si="164"/>
        <v>750</v>
      </c>
      <c r="H401" s="105">
        <v>963</v>
      </c>
      <c r="I401" s="106">
        <f t="shared" si="165"/>
        <v>0.77881619937694702</v>
      </c>
      <c r="J401" s="86">
        <v>356</v>
      </c>
      <c r="K401" s="87">
        <v>0</v>
      </c>
      <c r="L401" s="87">
        <v>0</v>
      </c>
      <c r="M401" s="87">
        <v>614</v>
      </c>
      <c r="N401" s="90">
        <v>3038</v>
      </c>
      <c r="O401" s="90">
        <v>1200</v>
      </c>
      <c r="P401" s="86">
        <f t="shared" si="173"/>
        <v>288.36</v>
      </c>
      <c r="Q401" s="87">
        <f t="shared" si="174"/>
        <v>0</v>
      </c>
      <c r="R401" s="87">
        <f t="shared" si="175"/>
        <v>0</v>
      </c>
      <c r="S401" s="88">
        <f t="shared" si="176"/>
        <v>497.34000000000003</v>
      </c>
      <c r="T401" s="89">
        <f t="shared" si="177"/>
        <v>2460.7800000000002</v>
      </c>
      <c r="U401" s="89">
        <f t="shared" si="166"/>
        <v>972.00000000000011</v>
      </c>
      <c r="V401" s="86">
        <v>1280</v>
      </c>
      <c r="W401" s="87">
        <v>790</v>
      </c>
      <c r="X401" s="87">
        <v>746</v>
      </c>
      <c r="Y401" s="87">
        <v>288</v>
      </c>
      <c r="Z401" s="90">
        <v>815</v>
      </c>
      <c r="AA401" s="90">
        <v>1329</v>
      </c>
      <c r="AB401" s="91">
        <f t="shared" si="167"/>
        <v>1.3291796469366564</v>
      </c>
      <c r="AC401" s="91">
        <f t="shared" si="168"/>
        <v>0.8203530633437176</v>
      </c>
      <c r="AD401" s="91">
        <f t="shared" si="169"/>
        <v>0.77466251298027</v>
      </c>
      <c r="AE401" s="91">
        <f t="shared" si="170"/>
        <v>0.29906542056074764</v>
      </c>
      <c r="AF401" s="91">
        <f t="shared" si="171"/>
        <v>0.84631360332294914</v>
      </c>
      <c r="AG401" s="91">
        <f t="shared" si="172"/>
        <v>1.3800623052959502</v>
      </c>
      <c r="AH401" s="92">
        <v>1887.9299999999989</v>
      </c>
      <c r="AI401" s="93">
        <v>986.99999999999875</v>
      </c>
      <c r="AJ401" s="93">
        <v>986.99999999999886</v>
      </c>
      <c r="AK401" s="93">
        <v>881.84999999999889</v>
      </c>
      <c r="AL401" s="94">
        <v>348.61999999999898</v>
      </c>
      <c r="AM401" s="94">
        <v>1274.03999999999</v>
      </c>
      <c r="AN401" s="94" t="s">
        <v>779</v>
      </c>
      <c r="AO401" s="111">
        <v>836</v>
      </c>
      <c r="AP401" s="112">
        <v>0</v>
      </c>
      <c r="AQ401" s="112">
        <v>0</v>
      </c>
      <c r="AR401" s="112">
        <v>1356.94</v>
      </c>
      <c r="AS401" s="113">
        <v>6793.85</v>
      </c>
      <c r="AT401" s="113">
        <v>2662</v>
      </c>
      <c r="AU401" s="111">
        <v>0</v>
      </c>
      <c r="AV401" s="112">
        <v>0</v>
      </c>
      <c r="AW401" s="112">
        <v>0</v>
      </c>
      <c r="AX401" s="112">
        <v>0</v>
      </c>
      <c r="AY401" s="113">
        <v>0</v>
      </c>
      <c r="AZ401" s="113">
        <v>0</v>
      </c>
    </row>
    <row r="402" spans="1:52" x14ac:dyDescent="0.25">
      <c r="A402" s="101" t="s">
        <v>500</v>
      </c>
      <c r="B402" s="102" t="s">
        <v>501</v>
      </c>
      <c r="C402" s="102"/>
      <c r="D402" s="102" t="s">
        <v>1048</v>
      </c>
      <c r="E402" s="103">
        <v>0.80999999999999872</v>
      </c>
      <c r="F402" s="104">
        <v>600</v>
      </c>
      <c r="G402" s="105">
        <f t="shared" si="164"/>
        <v>300</v>
      </c>
      <c r="H402" s="105">
        <v>555</v>
      </c>
      <c r="I402" s="106">
        <f t="shared" si="165"/>
        <v>0.54054054054054057</v>
      </c>
      <c r="J402" s="86">
        <v>600</v>
      </c>
      <c r="K402" s="87">
        <v>350</v>
      </c>
      <c r="L402" s="87">
        <v>559</v>
      </c>
      <c r="M402" s="87">
        <v>570</v>
      </c>
      <c r="N402" s="90"/>
      <c r="O402" s="90">
        <v>206</v>
      </c>
      <c r="P402" s="86">
        <f t="shared" si="173"/>
        <v>485.9999999999992</v>
      </c>
      <c r="Q402" s="87">
        <f t="shared" si="174"/>
        <v>283.49999999999955</v>
      </c>
      <c r="R402" s="87">
        <f t="shared" si="175"/>
        <v>452.78999999999928</v>
      </c>
      <c r="S402" s="88">
        <f t="shared" si="176"/>
        <v>461.69999999999925</v>
      </c>
      <c r="T402" s="89">
        <f t="shared" si="177"/>
        <v>0</v>
      </c>
      <c r="U402" s="89">
        <f t="shared" si="166"/>
        <v>166.85999999999973</v>
      </c>
      <c r="V402" s="86">
        <v>180</v>
      </c>
      <c r="W402" s="87">
        <v>258</v>
      </c>
      <c r="X402" s="87">
        <v>326</v>
      </c>
      <c r="Y402" s="87">
        <v>557</v>
      </c>
      <c r="Z402" s="90">
        <v>282</v>
      </c>
      <c r="AA402" s="90">
        <v>384</v>
      </c>
      <c r="AB402" s="91">
        <f t="shared" si="167"/>
        <v>0.32432432432432434</v>
      </c>
      <c r="AC402" s="91">
        <f t="shared" si="168"/>
        <v>0.46486486486486489</v>
      </c>
      <c r="AD402" s="91">
        <f t="shared" si="169"/>
        <v>0.58738738738738738</v>
      </c>
      <c r="AE402" s="91">
        <f t="shared" si="170"/>
        <v>1.0036036036036036</v>
      </c>
      <c r="AF402" s="91">
        <f t="shared" si="171"/>
        <v>0.50810810810810814</v>
      </c>
      <c r="AG402" s="91">
        <f t="shared" si="172"/>
        <v>0.69189189189189193</v>
      </c>
      <c r="AH402" s="92">
        <v>23.15</v>
      </c>
      <c r="AI402" s="93">
        <v>742.8599999999999</v>
      </c>
      <c r="AJ402" s="93">
        <v>742.86000000000013</v>
      </c>
      <c r="AK402" s="93">
        <v>739.6999999999997</v>
      </c>
      <c r="AL402" s="94">
        <v>627.45999999999901</v>
      </c>
      <c r="AM402" s="94">
        <v>394.01</v>
      </c>
      <c r="AN402" s="94" t="s">
        <v>780</v>
      </c>
      <c r="AO402" s="111">
        <v>6054</v>
      </c>
      <c r="AP402" s="112">
        <v>3256</v>
      </c>
      <c r="AQ402" s="112">
        <v>5136.57</v>
      </c>
      <c r="AR402" s="112">
        <v>5583.7</v>
      </c>
      <c r="AS402" s="113">
        <v>0</v>
      </c>
      <c r="AT402" s="113">
        <v>1980.7</v>
      </c>
      <c r="AU402" s="111">
        <v>1890.29</v>
      </c>
      <c r="AV402" s="112">
        <v>3346.0799999999981</v>
      </c>
      <c r="AW402" s="112">
        <v>3884.7799999999957</v>
      </c>
      <c r="AX402" s="112">
        <v>5834.8299999999899</v>
      </c>
      <c r="AY402" s="113">
        <v>2979.3799999999901</v>
      </c>
      <c r="AZ402" s="113">
        <v>4015.13</v>
      </c>
    </row>
    <row r="403" spans="1:52" x14ac:dyDescent="0.25">
      <c r="A403" s="101" t="s">
        <v>820</v>
      </c>
      <c r="B403" s="102" t="s">
        <v>863</v>
      </c>
      <c r="C403" s="102"/>
      <c r="D403" s="102" t="s">
        <v>1048</v>
      </c>
      <c r="E403" s="103">
        <v>0.80350877192981685</v>
      </c>
      <c r="F403" s="104">
        <v>20000</v>
      </c>
      <c r="G403" s="105">
        <f t="shared" si="164"/>
        <v>10000</v>
      </c>
      <c r="H403" s="105">
        <v>43853</v>
      </c>
      <c r="I403" s="106">
        <f t="shared" si="165"/>
        <v>0.22803457004081817</v>
      </c>
      <c r="J403" s="86">
        <v>0</v>
      </c>
      <c r="K403" s="86">
        <v>0</v>
      </c>
      <c r="L403" s="86">
        <v>0</v>
      </c>
      <c r="M403" s="86">
        <v>0</v>
      </c>
      <c r="N403" s="86">
        <v>0</v>
      </c>
      <c r="O403" s="90">
        <v>3649</v>
      </c>
      <c r="P403" s="86"/>
      <c r="Q403" s="87"/>
      <c r="R403" s="87"/>
      <c r="S403" s="88"/>
      <c r="T403" s="89"/>
      <c r="U403" s="89">
        <f t="shared" si="166"/>
        <v>2932.0035087719016</v>
      </c>
      <c r="V403" s="86"/>
      <c r="W403" s="87"/>
      <c r="X403" s="87"/>
      <c r="Y403" s="87"/>
      <c r="Z403" s="90"/>
      <c r="AA403" s="90"/>
      <c r="AB403" s="91">
        <f t="shared" si="167"/>
        <v>0</v>
      </c>
      <c r="AC403" s="91">
        <f t="shared" si="168"/>
        <v>0</v>
      </c>
      <c r="AD403" s="91">
        <f t="shared" si="169"/>
        <v>0</v>
      </c>
      <c r="AE403" s="91">
        <f t="shared" si="170"/>
        <v>0</v>
      </c>
      <c r="AF403" s="91">
        <f t="shared" si="171"/>
        <v>0</v>
      </c>
      <c r="AG403" s="91">
        <f t="shared" si="172"/>
        <v>0</v>
      </c>
      <c r="AH403" s="92"/>
      <c r="AI403" s="93"/>
      <c r="AJ403" s="93"/>
      <c r="AK403" s="93"/>
      <c r="AL403" s="94"/>
      <c r="AM403" s="94"/>
      <c r="AN403" s="94" t="s">
        <v>780</v>
      </c>
      <c r="AO403" s="111">
        <v>244070.27999999997</v>
      </c>
      <c r="AP403" s="112">
        <v>182887.48</v>
      </c>
      <c r="AQ403" s="112">
        <v>214428.10000000003</v>
      </c>
      <c r="AR403" s="112">
        <v>99916.670000000013</v>
      </c>
      <c r="AS403" s="113">
        <v>239207.79999999996</v>
      </c>
      <c r="AT403" s="113">
        <v>94996.560000000027</v>
      </c>
      <c r="AU403" s="111">
        <v>232587.80000000019</v>
      </c>
      <c r="AV403" s="112">
        <v>337012.49999999959</v>
      </c>
      <c r="AW403" s="112">
        <v>99351.649999999616</v>
      </c>
      <c r="AX403" s="112">
        <v>198001.90999999401</v>
      </c>
      <c r="AY403" s="113">
        <v>188261.649999997</v>
      </c>
      <c r="AZ403" s="113">
        <v>169848.07999999699</v>
      </c>
    </row>
    <row r="404" spans="1:52" x14ac:dyDescent="0.25">
      <c r="A404" s="101" t="s">
        <v>483</v>
      </c>
      <c r="B404" s="102" t="s">
        <v>484</v>
      </c>
      <c r="C404" s="102"/>
      <c r="D404" s="102" t="s">
        <v>1048</v>
      </c>
      <c r="E404" s="103">
        <v>0.79999999999999893</v>
      </c>
      <c r="F404" s="104">
        <v>2000</v>
      </c>
      <c r="G404" s="105">
        <f t="shared" si="164"/>
        <v>1000</v>
      </c>
      <c r="H404" s="105">
        <v>1838</v>
      </c>
      <c r="I404" s="106">
        <f t="shared" si="165"/>
        <v>0.54406964091403698</v>
      </c>
      <c r="J404" s="86">
        <v>0</v>
      </c>
      <c r="K404" s="87">
        <v>0</v>
      </c>
      <c r="L404" s="87">
        <v>0</v>
      </c>
      <c r="M404" s="87">
        <v>1474</v>
      </c>
      <c r="N404" s="90">
        <v>1745</v>
      </c>
      <c r="O404" s="90">
        <v>1834</v>
      </c>
      <c r="P404" s="86">
        <f>+J404*E404</f>
        <v>0</v>
      </c>
      <c r="Q404" s="87">
        <f>+K404*E404</f>
        <v>0</v>
      </c>
      <c r="R404" s="87">
        <f>+L404*E404</f>
        <v>0</v>
      </c>
      <c r="S404" s="88">
        <f>+M404*E404</f>
        <v>1179.1999999999985</v>
      </c>
      <c r="T404" s="89">
        <f>+N404*E404</f>
        <v>1395.9999999999982</v>
      </c>
      <c r="U404" s="89">
        <f t="shared" si="166"/>
        <v>1467.199999999998</v>
      </c>
      <c r="V404" s="86">
        <v>1437</v>
      </c>
      <c r="W404" s="87">
        <v>318</v>
      </c>
      <c r="X404" s="87">
        <v>0</v>
      </c>
      <c r="Y404" s="87">
        <v>0</v>
      </c>
      <c r="Z404" s="90">
        <v>491</v>
      </c>
      <c r="AA404" s="90">
        <v>2171</v>
      </c>
      <c r="AB404" s="91">
        <f t="shared" si="167"/>
        <v>0.78182807399347121</v>
      </c>
      <c r="AC404" s="91">
        <f t="shared" si="168"/>
        <v>0.17301414581066377</v>
      </c>
      <c r="AD404" s="91">
        <f t="shared" si="169"/>
        <v>0</v>
      </c>
      <c r="AE404" s="91">
        <f t="shared" si="170"/>
        <v>0</v>
      </c>
      <c r="AF404" s="91">
        <f t="shared" si="171"/>
        <v>0.26713819368879216</v>
      </c>
      <c r="AG404" s="91">
        <f t="shared" si="172"/>
        <v>1.1811751904243744</v>
      </c>
      <c r="AH404" s="92">
        <v>212.59</v>
      </c>
      <c r="AI404" s="93">
        <v>50.57</v>
      </c>
      <c r="AJ404" s="93">
        <v>50.57</v>
      </c>
      <c r="AK404" s="93">
        <v>0</v>
      </c>
      <c r="AL404" s="94">
        <v>392.7999999999995</v>
      </c>
      <c r="AM404" s="94">
        <v>1163.6399999999901</v>
      </c>
      <c r="AN404" s="94" t="s">
        <v>780</v>
      </c>
      <c r="AO404" s="111">
        <v>0</v>
      </c>
      <c r="AP404" s="112">
        <v>0</v>
      </c>
      <c r="AQ404" s="112">
        <v>0</v>
      </c>
      <c r="AR404" s="112">
        <v>13042.019999999999</v>
      </c>
      <c r="AS404" s="113">
        <v>15528.490000000002</v>
      </c>
      <c r="AT404" s="113">
        <v>16140.9</v>
      </c>
      <c r="AU404" s="111">
        <v>12858.47</v>
      </c>
      <c r="AV404" s="112">
        <v>2848.97</v>
      </c>
      <c r="AW404" s="112">
        <v>0</v>
      </c>
      <c r="AX404" s="112">
        <v>0</v>
      </c>
      <c r="AY404" s="113">
        <v>4864.0099999999902</v>
      </c>
      <c r="AZ404" s="113">
        <v>20363.12</v>
      </c>
    </row>
    <row r="405" spans="1:52" x14ac:dyDescent="0.25">
      <c r="A405" s="101" t="s">
        <v>638</v>
      </c>
      <c r="B405" s="102" t="s">
        <v>639</v>
      </c>
      <c r="C405" s="102"/>
      <c r="D405" s="102" t="s">
        <v>1048</v>
      </c>
      <c r="E405" s="103">
        <v>0.79999999999999716</v>
      </c>
      <c r="F405" s="104">
        <v>500</v>
      </c>
      <c r="G405" s="105">
        <f t="shared" si="164"/>
        <v>250</v>
      </c>
      <c r="H405" s="105">
        <v>326</v>
      </c>
      <c r="I405" s="106">
        <f t="shared" si="165"/>
        <v>0.76687116564417179</v>
      </c>
      <c r="J405" s="86">
        <v>145</v>
      </c>
      <c r="K405" s="87">
        <v>137.5</v>
      </c>
      <c r="L405" s="87">
        <v>50</v>
      </c>
      <c r="M405" s="87">
        <v>0</v>
      </c>
      <c r="N405" s="90">
        <v>60</v>
      </c>
      <c r="O405" s="90">
        <v>61</v>
      </c>
      <c r="P405" s="86">
        <f>+J405*E405</f>
        <v>115.99999999999959</v>
      </c>
      <c r="Q405" s="87">
        <f>+K405*E405</f>
        <v>109.9999999999996</v>
      </c>
      <c r="R405" s="87">
        <f>+L405*E405</f>
        <v>39.999999999999858</v>
      </c>
      <c r="S405" s="88">
        <f>+M405*E405</f>
        <v>0</v>
      </c>
      <c r="T405" s="89">
        <f>+N405*E405</f>
        <v>47.999999999999829</v>
      </c>
      <c r="U405" s="89">
        <f t="shared" si="166"/>
        <v>48.799999999999827</v>
      </c>
      <c r="V405" s="86">
        <v>18</v>
      </c>
      <c r="W405" s="87">
        <v>0</v>
      </c>
      <c r="X405" s="87">
        <v>47</v>
      </c>
      <c r="Y405" s="87">
        <v>11</v>
      </c>
      <c r="Z405" s="90">
        <v>0</v>
      </c>
      <c r="AA405" s="90">
        <v>240</v>
      </c>
      <c r="AB405" s="91">
        <f t="shared" si="167"/>
        <v>5.5214723926380369E-2</v>
      </c>
      <c r="AC405" s="91">
        <f t="shared" si="168"/>
        <v>0</v>
      </c>
      <c r="AD405" s="91">
        <f t="shared" si="169"/>
        <v>0.14417177914110429</v>
      </c>
      <c r="AE405" s="91">
        <f t="shared" si="170"/>
        <v>3.3742331288343558E-2</v>
      </c>
      <c r="AF405" s="91">
        <f t="shared" si="171"/>
        <v>0</v>
      </c>
      <c r="AG405" s="91">
        <f t="shared" si="172"/>
        <v>0.73619631901840488</v>
      </c>
      <c r="AH405" s="92">
        <v>58.9</v>
      </c>
      <c r="AI405" s="93">
        <v>0</v>
      </c>
      <c r="AJ405" s="93">
        <v>37.599999999999866</v>
      </c>
      <c r="AK405" s="93">
        <v>64.389999999999901</v>
      </c>
      <c r="AL405" s="94">
        <v>20.63</v>
      </c>
      <c r="AM405" s="94">
        <v>172.98</v>
      </c>
      <c r="AN405" s="94" t="s">
        <v>780</v>
      </c>
      <c r="AO405" s="111">
        <v>2967.4999999999995</v>
      </c>
      <c r="AP405" s="112">
        <v>2826.6499999999996</v>
      </c>
      <c r="AQ405" s="112">
        <v>1018</v>
      </c>
      <c r="AR405" s="112">
        <v>0</v>
      </c>
      <c r="AS405" s="113">
        <v>1215.5999999999999</v>
      </c>
      <c r="AT405" s="113">
        <v>615.49</v>
      </c>
      <c r="AU405" s="111">
        <v>418.9</v>
      </c>
      <c r="AV405" s="112">
        <v>0</v>
      </c>
      <c r="AW405" s="112">
        <v>1004.39</v>
      </c>
      <c r="AX405" s="112">
        <v>240.63</v>
      </c>
      <c r="AY405" s="113">
        <v>0</v>
      </c>
      <c r="AZ405" s="113">
        <v>5071.8599999999897</v>
      </c>
    </row>
    <row r="406" spans="1:52" x14ac:dyDescent="0.25">
      <c r="A406" s="101" t="s">
        <v>350</v>
      </c>
      <c r="B406" s="102" t="s">
        <v>351</v>
      </c>
      <c r="C406" s="102"/>
      <c r="D406" s="102" t="s">
        <v>1048</v>
      </c>
      <c r="E406" s="103">
        <v>0.79</v>
      </c>
      <c r="F406" s="104">
        <v>400</v>
      </c>
      <c r="G406" s="105">
        <f t="shared" si="164"/>
        <v>200</v>
      </c>
      <c r="H406" s="105">
        <v>162</v>
      </c>
      <c r="I406" s="106">
        <f t="shared" si="165"/>
        <v>1.2345679012345678</v>
      </c>
      <c r="J406" s="86">
        <v>100</v>
      </c>
      <c r="K406" s="87">
        <v>0</v>
      </c>
      <c r="L406" s="87">
        <v>241</v>
      </c>
      <c r="M406" s="87">
        <v>0</v>
      </c>
      <c r="N406" s="90"/>
      <c r="O406" s="90">
        <v>0</v>
      </c>
      <c r="P406" s="86">
        <f>+J406*E406</f>
        <v>79</v>
      </c>
      <c r="Q406" s="87">
        <f>+K406*E406</f>
        <v>0</v>
      </c>
      <c r="R406" s="87">
        <f>+L406*E406</f>
        <v>190.39000000000001</v>
      </c>
      <c r="S406" s="88">
        <f>+M406*E406</f>
        <v>0</v>
      </c>
      <c r="T406" s="89">
        <f>+N406*E406</f>
        <v>0</v>
      </c>
      <c r="U406" s="89">
        <f t="shared" si="166"/>
        <v>0</v>
      </c>
      <c r="V406" s="86">
        <v>148</v>
      </c>
      <c r="W406" s="87">
        <v>35</v>
      </c>
      <c r="X406" s="87">
        <v>84</v>
      </c>
      <c r="Y406" s="87">
        <v>109</v>
      </c>
      <c r="Z406" s="90">
        <v>308</v>
      </c>
      <c r="AA406" s="90">
        <v>87</v>
      </c>
      <c r="AB406" s="91">
        <f t="shared" si="167"/>
        <v>0.9135802469135802</v>
      </c>
      <c r="AC406" s="91">
        <f t="shared" si="168"/>
        <v>0.21604938271604937</v>
      </c>
      <c r="AD406" s="91">
        <f t="shared" si="169"/>
        <v>0.51851851851851849</v>
      </c>
      <c r="AE406" s="91">
        <f t="shared" si="170"/>
        <v>0.6728395061728395</v>
      </c>
      <c r="AF406" s="91">
        <f t="shared" si="171"/>
        <v>1.9012345679012346</v>
      </c>
      <c r="AG406" s="91">
        <f t="shared" si="172"/>
        <v>0.53703703703703709</v>
      </c>
      <c r="AH406" s="92">
        <v>57.84</v>
      </c>
      <c r="AI406" s="93">
        <v>13.259999999999991</v>
      </c>
      <c r="AJ406" s="93">
        <v>13.259999999999991</v>
      </c>
      <c r="AK406" s="93">
        <v>47.769999999999989</v>
      </c>
      <c r="AL406" s="94">
        <v>42.569999999999901</v>
      </c>
      <c r="AM406" s="94">
        <v>60.2899999999999</v>
      </c>
      <c r="AN406" s="94" t="s">
        <v>779</v>
      </c>
      <c r="AO406" s="111">
        <v>455</v>
      </c>
      <c r="AP406" s="112">
        <v>0</v>
      </c>
      <c r="AQ406" s="112">
        <v>1086.9100000000001</v>
      </c>
      <c r="AR406" s="112">
        <v>0</v>
      </c>
      <c r="AS406" s="113">
        <v>0</v>
      </c>
      <c r="AT406" s="113">
        <v>0</v>
      </c>
      <c r="AU406" s="111">
        <v>648.92000000000007</v>
      </c>
      <c r="AV406" s="112">
        <v>152.56</v>
      </c>
      <c r="AW406" s="112">
        <v>382.08999999999895</v>
      </c>
      <c r="AX406" s="112">
        <v>514.99</v>
      </c>
      <c r="AY406" s="113">
        <v>1422.66</v>
      </c>
      <c r="AZ406" s="113">
        <v>423.02999999999901</v>
      </c>
    </row>
    <row r="407" spans="1:52" x14ac:dyDescent="0.25">
      <c r="A407" s="101" t="s">
        <v>822</v>
      </c>
      <c r="B407" s="102" t="s">
        <v>865</v>
      </c>
      <c r="C407" s="102"/>
      <c r="D407" s="102" t="s">
        <v>1048</v>
      </c>
      <c r="E407" s="103">
        <v>0.78129554655870237</v>
      </c>
      <c r="F407" s="104">
        <v>16000</v>
      </c>
      <c r="G407" s="105">
        <f t="shared" si="164"/>
        <v>8000</v>
      </c>
      <c r="H407" s="105">
        <v>44341</v>
      </c>
      <c r="I407" s="106">
        <f t="shared" si="165"/>
        <v>0.18041992738097923</v>
      </c>
      <c r="J407" s="86">
        <v>0</v>
      </c>
      <c r="K407" s="86">
        <v>0</v>
      </c>
      <c r="L407" s="86">
        <v>0</v>
      </c>
      <c r="M407" s="86">
        <v>0</v>
      </c>
      <c r="N407" s="86">
        <v>0</v>
      </c>
      <c r="O407" s="90">
        <v>4772</v>
      </c>
      <c r="P407" s="86"/>
      <c r="Q407" s="87"/>
      <c r="R407" s="87"/>
      <c r="S407" s="88"/>
      <c r="T407" s="89"/>
      <c r="U407" s="89">
        <f t="shared" si="166"/>
        <v>3728.3423481781278</v>
      </c>
      <c r="V407" s="86"/>
      <c r="W407" s="87"/>
      <c r="X407" s="87"/>
      <c r="Y407" s="87"/>
      <c r="Z407" s="90"/>
      <c r="AA407" s="90"/>
      <c r="AB407" s="91">
        <f t="shared" si="167"/>
        <v>0</v>
      </c>
      <c r="AC407" s="91">
        <f t="shared" si="168"/>
        <v>0</v>
      </c>
      <c r="AD407" s="91">
        <f t="shared" si="169"/>
        <v>0</v>
      </c>
      <c r="AE407" s="91">
        <f t="shared" si="170"/>
        <v>0</v>
      </c>
      <c r="AF407" s="91">
        <f t="shared" si="171"/>
        <v>0</v>
      </c>
      <c r="AG407" s="91">
        <f t="shared" si="172"/>
        <v>0</v>
      </c>
      <c r="AH407" s="92"/>
      <c r="AI407" s="93"/>
      <c r="AJ407" s="93"/>
      <c r="AK407" s="93"/>
      <c r="AL407" s="94"/>
      <c r="AM407" s="94"/>
      <c r="AN407" s="94" t="s">
        <v>780</v>
      </c>
      <c r="AO407" s="111">
        <v>122648.37000000004</v>
      </c>
      <c r="AP407" s="112">
        <v>98002.539999999979</v>
      </c>
      <c r="AQ407" s="112">
        <v>115849.34999999999</v>
      </c>
      <c r="AR407" s="112">
        <v>97586.39</v>
      </c>
      <c r="AS407" s="113">
        <v>128630.32</v>
      </c>
      <c r="AT407" s="113">
        <v>132545.32</v>
      </c>
      <c r="AU407" s="111">
        <v>135212.33000000031</v>
      </c>
      <c r="AV407" s="112">
        <v>153916.98999999944</v>
      </c>
      <c r="AW407" s="112">
        <v>115881.8599999999</v>
      </c>
      <c r="AX407" s="112">
        <v>125145.559999997</v>
      </c>
      <c r="AY407" s="113">
        <v>79803.779999998806</v>
      </c>
      <c r="AZ407" s="113">
        <v>190049.179999994</v>
      </c>
    </row>
    <row r="408" spans="1:52" x14ac:dyDescent="0.25">
      <c r="A408" s="101" t="s">
        <v>1016</v>
      </c>
      <c r="B408" s="102" t="s">
        <v>600</v>
      </c>
      <c r="C408" s="102"/>
      <c r="D408" s="102" t="s">
        <v>1048</v>
      </c>
      <c r="E408" s="103">
        <v>0.78000000000000114</v>
      </c>
      <c r="F408" s="104">
        <v>2000</v>
      </c>
      <c r="G408" s="105">
        <f t="shared" si="164"/>
        <v>1000</v>
      </c>
      <c r="H408" s="105">
        <v>8099</v>
      </c>
      <c r="I408" s="106">
        <f t="shared" si="165"/>
        <v>0.12347203358439314</v>
      </c>
      <c r="J408" s="86">
        <v>854</v>
      </c>
      <c r="K408" s="87">
        <v>0</v>
      </c>
      <c r="L408" s="87">
        <v>0</v>
      </c>
      <c r="M408" s="87">
        <v>0</v>
      </c>
      <c r="N408" s="90"/>
      <c r="O408" s="90">
        <v>165</v>
      </c>
      <c r="P408" s="86">
        <f t="shared" ref="P408:P426" si="178">+J408*E408</f>
        <v>666.12000000000103</v>
      </c>
      <c r="Q408" s="87">
        <f t="shared" ref="Q408:Q426" si="179">+K408*E408</f>
        <v>0</v>
      </c>
      <c r="R408" s="87">
        <f t="shared" ref="R408:R426" si="180">+L408*E408</f>
        <v>0</v>
      </c>
      <c r="S408" s="88">
        <f t="shared" ref="S408:S426" si="181">+M408*E408</f>
        <v>0</v>
      </c>
      <c r="T408" s="89">
        <f t="shared" ref="T408:T426" si="182">+N408*E408</f>
        <v>0</v>
      </c>
      <c r="U408" s="89">
        <f t="shared" si="166"/>
        <v>128.70000000000019</v>
      </c>
      <c r="V408" s="86">
        <v>1727</v>
      </c>
      <c r="W408" s="87">
        <v>1632</v>
      </c>
      <c r="X408" s="87">
        <v>920</v>
      </c>
      <c r="Y408" s="87">
        <v>1001</v>
      </c>
      <c r="Z408" s="90">
        <v>964</v>
      </c>
      <c r="AA408" s="90">
        <v>1261</v>
      </c>
      <c r="AB408" s="91">
        <f t="shared" si="167"/>
        <v>0.21323620200024695</v>
      </c>
      <c r="AC408" s="91">
        <f t="shared" si="168"/>
        <v>0.20150635880972959</v>
      </c>
      <c r="AD408" s="91">
        <f t="shared" si="169"/>
        <v>0.11359427089764168</v>
      </c>
      <c r="AE408" s="91">
        <f t="shared" si="170"/>
        <v>0.12359550561797752</v>
      </c>
      <c r="AF408" s="91">
        <f t="shared" si="171"/>
        <v>0.11902704037535498</v>
      </c>
      <c r="AG408" s="91">
        <f t="shared" si="172"/>
        <v>0.15569823434991975</v>
      </c>
      <c r="AH408" s="92">
        <v>368.23999999999921</v>
      </c>
      <c r="AI408" s="93">
        <v>1272.9600000000019</v>
      </c>
      <c r="AJ408" s="93">
        <v>717.60000000000105</v>
      </c>
      <c r="AK408" s="93">
        <v>780.78000000000111</v>
      </c>
      <c r="AL408" s="94">
        <v>751.9200000000011</v>
      </c>
      <c r="AM408" s="94">
        <v>-369.11000000000303</v>
      </c>
      <c r="AN408" s="94" t="s">
        <v>780</v>
      </c>
      <c r="AO408" s="111">
        <v>14027.8</v>
      </c>
      <c r="AP408" s="112">
        <v>0</v>
      </c>
      <c r="AQ408" s="112">
        <v>0</v>
      </c>
      <c r="AR408" s="112">
        <v>0</v>
      </c>
      <c r="AS408" s="113">
        <v>0</v>
      </c>
      <c r="AT408" s="113">
        <v>2499.75</v>
      </c>
      <c r="AU408" s="111">
        <v>0</v>
      </c>
      <c r="AV408" s="112">
        <v>0</v>
      </c>
      <c r="AW408" s="112">
        <v>0</v>
      </c>
      <c r="AX408" s="112">
        <v>0</v>
      </c>
      <c r="AY408" s="113">
        <v>0</v>
      </c>
      <c r="AZ408" s="113">
        <v>0</v>
      </c>
    </row>
    <row r="409" spans="1:52" x14ac:dyDescent="0.25">
      <c r="A409" s="101" t="s">
        <v>489</v>
      </c>
      <c r="B409" s="102" t="s">
        <v>490</v>
      </c>
      <c r="C409" s="102"/>
      <c r="D409" s="102" t="s">
        <v>1048</v>
      </c>
      <c r="E409" s="103">
        <v>0.77999999999999936</v>
      </c>
      <c r="F409" s="104">
        <v>1500</v>
      </c>
      <c r="G409" s="105">
        <f t="shared" si="164"/>
        <v>750</v>
      </c>
      <c r="H409" s="105">
        <v>1484</v>
      </c>
      <c r="I409" s="106">
        <f t="shared" si="165"/>
        <v>0.50539083557951481</v>
      </c>
      <c r="J409" s="86">
        <v>563</v>
      </c>
      <c r="K409" s="87">
        <v>232</v>
      </c>
      <c r="L409" s="87">
        <v>0</v>
      </c>
      <c r="M409" s="87">
        <v>40</v>
      </c>
      <c r="N409" s="90">
        <v>182</v>
      </c>
      <c r="O409" s="90">
        <v>1388</v>
      </c>
      <c r="P409" s="86">
        <f t="shared" si="178"/>
        <v>439.13999999999965</v>
      </c>
      <c r="Q409" s="87">
        <f t="shared" si="179"/>
        <v>180.95999999999987</v>
      </c>
      <c r="R409" s="87">
        <f t="shared" si="180"/>
        <v>0</v>
      </c>
      <c r="S409" s="88">
        <f t="shared" si="181"/>
        <v>31.199999999999974</v>
      </c>
      <c r="T409" s="89">
        <f t="shared" si="182"/>
        <v>141.95999999999989</v>
      </c>
      <c r="U409" s="89">
        <f t="shared" si="166"/>
        <v>1082.6399999999992</v>
      </c>
      <c r="V409" s="86">
        <v>716</v>
      </c>
      <c r="W409" s="87">
        <v>1123</v>
      </c>
      <c r="X409" s="87">
        <v>371</v>
      </c>
      <c r="Y409" s="87">
        <v>51</v>
      </c>
      <c r="Z409" s="90">
        <v>0</v>
      </c>
      <c r="AA409" s="90">
        <v>39</v>
      </c>
      <c r="AB409" s="91">
        <f t="shared" si="167"/>
        <v>0.48247978436657685</v>
      </c>
      <c r="AC409" s="91">
        <f t="shared" si="168"/>
        <v>0.75673854447439348</v>
      </c>
      <c r="AD409" s="91">
        <f t="shared" si="169"/>
        <v>0.25</v>
      </c>
      <c r="AE409" s="91">
        <f t="shared" si="170"/>
        <v>3.436657681940701E-2</v>
      </c>
      <c r="AF409" s="91">
        <f t="shared" si="171"/>
        <v>0</v>
      </c>
      <c r="AG409" s="91">
        <f t="shared" si="172"/>
        <v>2.6280323450134771E-2</v>
      </c>
      <c r="AH409" s="92">
        <v>705.12000000000046</v>
      </c>
      <c r="AI409" s="93">
        <v>893.81999999999846</v>
      </c>
      <c r="AJ409" s="93">
        <v>893.81999999999834</v>
      </c>
      <c r="AK409" s="93">
        <v>453.65999999999917</v>
      </c>
      <c r="AL409" s="94">
        <v>91.61</v>
      </c>
      <c r="AM409" s="94">
        <v>61.119999999999898</v>
      </c>
      <c r="AN409" s="94" t="s">
        <v>780</v>
      </c>
      <c r="AO409" s="111">
        <v>4749.2299999999996</v>
      </c>
      <c r="AP409" s="112">
        <v>1993.3200000000002</v>
      </c>
      <c r="AQ409" s="112">
        <v>0</v>
      </c>
      <c r="AR409" s="112">
        <v>350</v>
      </c>
      <c r="AS409" s="113">
        <v>1579.12</v>
      </c>
      <c r="AT409" s="113">
        <v>12233.880000000001</v>
      </c>
      <c r="AU409" s="111">
        <v>6799.889999999994</v>
      </c>
      <c r="AV409" s="112">
        <v>10426.839999999973</v>
      </c>
      <c r="AW409" s="112">
        <v>3613.73</v>
      </c>
      <c r="AX409" s="112">
        <v>526.13</v>
      </c>
      <c r="AY409" s="113">
        <v>0</v>
      </c>
      <c r="AZ409" s="113">
        <v>401.2</v>
      </c>
    </row>
    <row r="410" spans="1:52" x14ac:dyDescent="0.25">
      <c r="A410" s="101" t="s">
        <v>485</v>
      </c>
      <c r="B410" s="102" t="s">
        <v>486</v>
      </c>
      <c r="C410" s="102"/>
      <c r="D410" s="102" t="s">
        <v>1048</v>
      </c>
      <c r="E410" s="103">
        <v>0.76000000000000156</v>
      </c>
      <c r="F410" s="104">
        <v>2036.8000000000002</v>
      </c>
      <c r="G410" s="105">
        <f t="shared" si="164"/>
        <v>1018.4000000000001</v>
      </c>
      <c r="H410" s="105">
        <v>10184</v>
      </c>
      <c r="I410" s="106">
        <f t="shared" si="165"/>
        <v>0.1</v>
      </c>
      <c r="J410" s="86">
        <v>0</v>
      </c>
      <c r="K410" s="87">
        <v>0</v>
      </c>
      <c r="L410" s="87">
        <v>0</v>
      </c>
      <c r="M410" s="87">
        <v>0</v>
      </c>
      <c r="N410" s="90">
        <v>206</v>
      </c>
      <c r="O410" s="90">
        <v>0</v>
      </c>
      <c r="P410" s="86">
        <f t="shared" si="178"/>
        <v>0</v>
      </c>
      <c r="Q410" s="87">
        <f t="shared" si="179"/>
        <v>0</v>
      </c>
      <c r="R410" s="87">
        <f t="shared" si="180"/>
        <v>0</v>
      </c>
      <c r="S410" s="88">
        <f t="shared" si="181"/>
        <v>0</v>
      </c>
      <c r="T410" s="89">
        <f t="shared" si="182"/>
        <v>156.56000000000031</v>
      </c>
      <c r="U410" s="89">
        <f t="shared" si="166"/>
        <v>0</v>
      </c>
      <c r="V410" s="86">
        <v>0</v>
      </c>
      <c r="W410" s="87">
        <v>0</v>
      </c>
      <c r="X410" s="87">
        <v>0</v>
      </c>
      <c r="Y410" s="87">
        <v>0</v>
      </c>
      <c r="Z410" s="90">
        <v>0</v>
      </c>
      <c r="AA410" s="90">
        <v>205</v>
      </c>
      <c r="AB410" s="91">
        <f t="shared" si="167"/>
        <v>0</v>
      </c>
      <c r="AC410" s="91">
        <f t="shared" si="168"/>
        <v>0</v>
      </c>
      <c r="AD410" s="91">
        <f t="shared" si="169"/>
        <v>0</v>
      </c>
      <c r="AE410" s="91">
        <f t="shared" si="170"/>
        <v>0</v>
      </c>
      <c r="AF410" s="91">
        <f t="shared" si="171"/>
        <v>0</v>
      </c>
      <c r="AG410" s="91">
        <f t="shared" si="172"/>
        <v>2.0129615082482327E-2</v>
      </c>
      <c r="AH410" s="92">
        <v>0</v>
      </c>
      <c r="AI410" s="93">
        <v>0</v>
      </c>
      <c r="AJ410" s="93">
        <v>0</v>
      </c>
      <c r="AK410" s="93">
        <v>0</v>
      </c>
      <c r="AL410" s="94">
        <v>0</v>
      </c>
      <c r="AM410" s="94">
        <v>172.96</v>
      </c>
      <c r="AN410" s="94" t="s">
        <v>780</v>
      </c>
      <c r="AO410" s="111">
        <v>0</v>
      </c>
      <c r="AP410" s="112">
        <v>0</v>
      </c>
      <c r="AQ410" s="112">
        <v>0</v>
      </c>
      <c r="AR410" s="112">
        <v>0</v>
      </c>
      <c r="AS410" s="113">
        <v>1724.22</v>
      </c>
      <c r="AT410" s="113">
        <v>0</v>
      </c>
      <c r="AU410" s="111">
        <v>0</v>
      </c>
      <c r="AV410" s="112">
        <v>0</v>
      </c>
      <c r="AW410" s="112">
        <v>0</v>
      </c>
      <c r="AX410" s="112">
        <v>0</v>
      </c>
      <c r="AY410" s="113">
        <v>0</v>
      </c>
      <c r="AZ410" s="113">
        <v>1888.8099999999899</v>
      </c>
    </row>
    <row r="411" spans="1:52" x14ac:dyDescent="0.25">
      <c r="A411" s="101" t="s">
        <v>1017</v>
      </c>
      <c r="B411" s="102" t="s">
        <v>470</v>
      </c>
      <c r="C411" s="102"/>
      <c r="D411" s="102" t="s">
        <v>1048</v>
      </c>
      <c r="E411" s="103">
        <v>0.75999999999999979</v>
      </c>
      <c r="F411" s="104">
        <v>2003.2</v>
      </c>
      <c r="G411" s="105">
        <f t="shared" si="164"/>
        <v>1001.6</v>
      </c>
      <c r="H411" s="105">
        <v>1278</v>
      </c>
      <c r="I411" s="106">
        <f t="shared" si="165"/>
        <v>0.78372456964006265</v>
      </c>
      <c r="J411" s="86">
        <v>1280</v>
      </c>
      <c r="K411" s="87">
        <v>0</v>
      </c>
      <c r="L411" s="87">
        <v>0</v>
      </c>
      <c r="M411" s="87">
        <v>0</v>
      </c>
      <c r="N411" s="90">
        <v>390</v>
      </c>
      <c r="O411" s="90">
        <v>2589</v>
      </c>
      <c r="P411" s="86">
        <f t="shared" si="178"/>
        <v>972.79999999999973</v>
      </c>
      <c r="Q411" s="87">
        <f t="shared" si="179"/>
        <v>0</v>
      </c>
      <c r="R411" s="87">
        <f t="shared" si="180"/>
        <v>0</v>
      </c>
      <c r="S411" s="88">
        <f t="shared" si="181"/>
        <v>0</v>
      </c>
      <c r="T411" s="89">
        <f t="shared" si="182"/>
        <v>296.39999999999992</v>
      </c>
      <c r="U411" s="89">
        <f t="shared" si="166"/>
        <v>1967.6399999999994</v>
      </c>
      <c r="V411" s="86">
        <v>295</v>
      </c>
      <c r="W411" s="87">
        <v>1666</v>
      </c>
      <c r="X411" s="87">
        <v>874</v>
      </c>
      <c r="Y411" s="87">
        <v>1139</v>
      </c>
      <c r="Z411" s="90">
        <v>1034</v>
      </c>
      <c r="AA411" s="90">
        <v>595</v>
      </c>
      <c r="AB411" s="91">
        <f t="shared" si="167"/>
        <v>0.23082942097026604</v>
      </c>
      <c r="AC411" s="91">
        <f t="shared" si="168"/>
        <v>1.3035993740219092</v>
      </c>
      <c r="AD411" s="91">
        <f t="shared" si="169"/>
        <v>0.68388106416275429</v>
      </c>
      <c r="AE411" s="91">
        <f t="shared" si="170"/>
        <v>0.89123630672926446</v>
      </c>
      <c r="AF411" s="91">
        <f t="shared" si="171"/>
        <v>0.80907668231611896</v>
      </c>
      <c r="AG411" s="91">
        <f t="shared" si="172"/>
        <v>0.46557120500782473</v>
      </c>
      <c r="AH411" s="92">
        <v>300.94</v>
      </c>
      <c r="AI411" s="93">
        <v>603.88999999999749</v>
      </c>
      <c r="AJ411" s="93">
        <v>603.88999999999783</v>
      </c>
      <c r="AK411" s="93">
        <v>201.82999999999967</v>
      </c>
      <c r="AL411" s="94">
        <v>128.19</v>
      </c>
      <c r="AM411" s="94">
        <v>185.74999999999901</v>
      </c>
      <c r="AN411" s="94" t="s">
        <v>780</v>
      </c>
      <c r="AO411" s="111">
        <v>9998.2800000000007</v>
      </c>
      <c r="AP411" s="112">
        <v>0</v>
      </c>
      <c r="AQ411" s="112">
        <v>0</v>
      </c>
      <c r="AR411" s="112">
        <v>0</v>
      </c>
      <c r="AS411" s="113">
        <v>2999.3</v>
      </c>
      <c r="AT411" s="113">
        <v>19755.939999999999</v>
      </c>
      <c r="AU411" s="111">
        <v>0</v>
      </c>
      <c r="AV411" s="112">
        <v>0</v>
      </c>
      <c r="AW411" s="112">
        <v>0</v>
      </c>
      <c r="AX411" s="112">
        <v>0</v>
      </c>
      <c r="AY411" s="113">
        <v>0</v>
      </c>
      <c r="AZ411" s="113">
        <v>0</v>
      </c>
    </row>
    <row r="412" spans="1:52" x14ac:dyDescent="0.25">
      <c r="A412" s="101" t="s">
        <v>1018</v>
      </c>
      <c r="B412" s="102" t="s">
        <v>447</v>
      </c>
      <c r="C412" s="102"/>
      <c r="D412" s="102" t="s">
        <v>1048</v>
      </c>
      <c r="E412" s="103">
        <v>0.74000000000000021</v>
      </c>
      <c r="F412" s="104">
        <v>2500</v>
      </c>
      <c r="G412" s="105">
        <f t="shared" si="164"/>
        <v>1250</v>
      </c>
      <c r="H412" s="105">
        <v>1148</v>
      </c>
      <c r="I412" s="106">
        <f t="shared" si="165"/>
        <v>1.0888501742160279</v>
      </c>
      <c r="J412" s="86">
        <v>0</v>
      </c>
      <c r="K412" s="87">
        <v>0</v>
      </c>
      <c r="L412" s="87">
        <v>0</v>
      </c>
      <c r="M412" s="87">
        <v>0</v>
      </c>
      <c r="N412" s="90">
        <v>500</v>
      </c>
      <c r="O412" s="90">
        <v>4288</v>
      </c>
      <c r="P412" s="86">
        <f t="shared" si="178"/>
        <v>0</v>
      </c>
      <c r="Q412" s="87">
        <f t="shared" si="179"/>
        <v>0</v>
      </c>
      <c r="R412" s="87">
        <f t="shared" si="180"/>
        <v>0</v>
      </c>
      <c r="S412" s="88">
        <f t="shared" si="181"/>
        <v>0</v>
      </c>
      <c r="T412" s="89">
        <f t="shared" si="182"/>
        <v>370.00000000000011</v>
      </c>
      <c r="U412" s="89">
        <f t="shared" si="166"/>
        <v>3173.1200000000008</v>
      </c>
      <c r="V412" s="86">
        <v>1013</v>
      </c>
      <c r="W412" s="87">
        <v>1602</v>
      </c>
      <c r="X412" s="87">
        <v>1501</v>
      </c>
      <c r="Y412" s="87">
        <v>575</v>
      </c>
      <c r="Z412" s="90">
        <v>0</v>
      </c>
      <c r="AA412" s="90">
        <v>1109</v>
      </c>
      <c r="AB412" s="91">
        <f t="shared" si="167"/>
        <v>0.88240418118466901</v>
      </c>
      <c r="AC412" s="91">
        <f t="shared" si="168"/>
        <v>1.3954703832752613</v>
      </c>
      <c r="AD412" s="91">
        <f t="shared" si="169"/>
        <v>1.3074912891986064</v>
      </c>
      <c r="AE412" s="91">
        <f t="shared" si="170"/>
        <v>0.50087108013937287</v>
      </c>
      <c r="AF412" s="91">
        <f t="shared" si="171"/>
        <v>0</v>
      </c>
      <c r="AG412" s="91">
        <f t="shared" si="172"/>
        <v>0.96602787456445993</v>
      </c>
      <c r="AH412" s="92">
        <v>923.6699999999995</v>
      </c>
      <c r="AI412" s="93">
        <v>1518.9199999999973</v>
      </c>
      <c r="AJ412" s="93">
        <v>1518.9199999999971</v>
      </c>
      <c r="AK412" s="93">
        <v>1290.7699999999986</v>
      </c>
      <c r="AL412" s="94">
        <v>379.08</v>
      </c>
      <c r="AM412" s="94">
        <v>838.43999999999801</v>
      </c>
      <c r="AN412" s="94" t="s">
        <v>779</v>
      </c>
      <c r="AO412" s="111">
        <v>0</v>
      </c>
      <c r="AP412" s="112">
        <v>0</v>
      </c>
      <c r="AQ412" s="112">
        <v>0</v>
      </c>
      <c r="AR412" s="112">
        <v>0</v>
      </c>
      <c r="AS412" s="113">
        <v>3215</v>
      </c>
      <c r="AT412" s="113">
        <v>26410.48</v>
      </c>
      <c r="AU412" s="111">
        <v>0</v>
      </c>
      <c r="AV412" s="112">
        <v>0</v>
      </c>
      <c r="AW412" s="112">
        <v>0</v>
      </c>
      <c r="AX412" s="112">
        <v>0</v>
      </c>
      <c r="AY412" s="113">
        <v>0</v>
      </c>
      <c r="AZ412" s="113">
        <v>0</v>
      </c>
    </row>
    <row r="413" spans="1:52" x14ac:dyDescent="0.25">
      <c r="A413" s="101" t="s">
        <v>1019</v>
      </c>
      <c r="B413" s="102" t="s">
        <v>479</v>
      </c>
      <c r="C413" s="102"/>
      <c r="D413" s="102" t="s">
        <v>1048</v>
      </c>
      <c r="E413" s="103">
        <v>0.73999999999999932</v>
      </c>
      <c r="F413" s="104">
        <v>1500</v>
      </c>
      <c r="G413" s="105">
        <f t="shared" si="164"/>
        <v>750</v>
      </c>
      <c r="H413" s="105">
        <v>24858</v>
      </c>
      <c r="I413" s="106">
        <f t="shared" si="165"/>
        <v>3.017137340091721E-2</v>
      </c>
      <c r="J413" s="86">
        <v>2082</v>
      </c>
      <c r="K413" s="87">
        <v>701</v>
      </c>
      <c r="L413" s="87">
        <v>0</v>
      </c>
      <c r="M413" s="87">
        <v>743</v>
      </c>
      <c r="N413" s="90">
        <v>2283</v>
      </c>
      <c r="O413" s="90">
        <v>1463</v>
      </c>
      <c r="P413" s="86">
        <f t="shared" si="178"/>
        <v>1540.6799999999987</v>
      </c>
      <c r="Q413" s="87">
        <f t="shared" si="179"/>
        <v>518.73999999999955</v>
      </c>
      <c r="R413" s="87">
        <f t="shared" si="180"/>
        <v>0</v>
      </c>
      <c r="S413" s="88">
        <f t="shared" si="181"/>
        <v>549.81999999999948</v>
      </c>
      <c r="T413" s="89">
        <f t="shared" si="182"/>
        <v>1689.4199999999985</v>
      </c>
      <c r="U413" s="89">
        <f t="shared" si="166"/>
        <v>1082.619999999999</v>
      </c>
      <c r="V413" s="86">
        <v>98</v>
      </c>
      <c r="W413" s="87">
        <v>1132</v>
      </c>
      <c r="X413" s="87">
        <v>1274</v>
      </c>
      <c r="Y413" s="87">
        <v>556</v>
      </c>
      <c r="Z413" s="90">
        <v>606</v>
      </c>
      <c r="AA413" s="90">
        <v>1906</v>
      </c>
      <c r="AB413" s="91">
        <f t="shared" si="167"/>
        <v>3.9423927910531825E-3</v>
      </c>
      <c r="AC413" s="91">
        <f t="shared" si="168"/>
        <v>4.5538659586451043E-2</v>
      </c>
      <c r="AD413" s="91">
        <f t="shared" si="169"/>
        <v>5.1251106283691367E-2</v>
      </c>
      <c r="AE413" s="91">
        <f t="shared" si="170"/>
        <v>2.2367044814546624E-2</v>
      </c>
      <c r="AF413" s="91">
        <f t="shared" si="171"/>
        <v>2.4378469707941105E-2</v>
      </c>
      <c r="AG413" s="91">
        <f t="shared" si="172"/>
        <v>7.6675516936197605E-2</v>
      </c>
      <c r="AH413" s="92">
        <v>128.22999999999999</v>
      </c>
      <c r="AI413" s="93">
        <v>1406.589999999999</v>
      </c>
      <c r="AJ413" s="93">
        <v>1406.5899999999988</v>
      </c>
      <c r="AK413" s="93">
        <v>1061.0599999999981</v>
      </c>
      <c r="AL413" s="94">
        <v>494.38</v>
      </c>
      <c r="AM413" s="94">
        <v>1478.77</v>
      </c>
      <c r="AN413" s="94" t="s">
        <v>780</v>
      </c>
      <c r="AO413" s="111">
        <v>16712.04</v>
      </c>
      <c r="AP413" s="112">
        <v>5643.05</v>
      </c>
      <c r="AQ413" s="112">
        <v>0</v>
      </c>
      <c r="AR413" s="112">
        <v>5914.2800000000007</v>
      </c>
      <c r="AS413" s="113">
        <v>18104.879999999997</v>
      </c>
      <c r="AT413" s="113">
        <v>11479.33</v>
      </c>
      <c r="AU413" s="111">
        <v>0</v>
      </c>
      <c r="AV413" s="112">
        <v>0</v>
      </c>
      <c r="AW413" s="112">
        <v>0</v>
      </c>
      <c r="AX413" s="112">
        <v>0</v>
      </c>
      <c r="AY413" s="113">
        <v>0</v>
      </c>
      <c r="AZ413" s="113">
        <v>0</v>
      </c>
    </row>
    <row r="414" spans="1:52" x14ac:dyDescent="0.25">
      <c r="A414" s="101" t="s">
        <v>658</v>
      </c>
      <c r="B414" s="102" t="s">
        <v>659</v>
      </c>
      <c r="C414" s="102"/>
      <c r="D414" s="102" t="s">
        <v>1048</v>
      </c>
      <c r="E414" s="103">
        <v>0.73999999999999844</v>
      </c>
      <c r="F414" s="104">
        <v>280</v>
      </c>
      <c r="G414" s="105">
        <f t="shared" si="164"/>
        <v>140</v>
      </c>
      <c r="H414" s="105">
        <v>2559</v>
      </c>
      <c r="I414" s="106">
        <f t="shared" si="165"/>
        <v>5.4708870652598669E-2</v>
      </c>
      <c r="J414" s="86">
        <v>506</v>
      </c>
      <c r="K414" s="87">
        <v>462</v>
      </c>
      <c r="L414" s="87">
        <v>0</v>
      </c>
      <c r="M414" s="87">
        <v>0</v>
      </c>
      <c r="N414" s="90"/>
      <c r="O414" s="90">
        <v>0</v>
      </c>
      <c r="P414" s="86">
        <f t="shared" si="178"/>
        <v>374.4399999999992</v>
      </c>
      <c r="Q414" s="87">
        <f t="shared" si="179"/>
        <v>341.87999999999926</v>
      </c>
      <c r="R414" s="87">
        <f t="shared" si="180"/>
        <v>0</v>
      </c>
      <c r="S414" s="88">
        <f t="shared" si="181"/>
        <v>0</v>
      </c>
      <c r="T414" s="89">
        <f t="shared" si="182"/>
        <v>0</v>
      </c>
      <c r="U414" s="89">
        <f t="shared" si="166"/>
        <v>0</v>
      </c>
      <c r="V414" s="86">
        <v>120</v>
      </c>
      <c r="W414" s="87">
        <v>99</v>
      </c>
      <c r="X414" s="87">
        <v>164</v>
      </c>
      <c r="Y414" s="87">
        <v>93</v>
      </c>
      <c r="Z414" s="90">
        <v>109</v>
      </c>
      <c r="AA414" s="90">
        <v>242</v>
      </c>
      <c r="AB414" s="91">
        <f t="shared" si="167"/>
        <v>4.6893317702227433E-2</v>
      </c>
      <c r="AC414" s="91">
        <f t="shared" si="168"/>
        <v>3.8686987104337635E-2</v>
      </c>
      <c r="AD414" s="91">
        <f t="shared" si="169"/>
        <v>6.4087534193044152E-2</v>
      </c>
      <c r="AE414" s="91">
        <f t="shared" si="170"/>
        <v>3.6342321219226259E-2</v>
      </c>
      <c r="AF414" s="91">
        <f t="shared" si="171"/>
        <v>4.259476357952325E-2</v>
      </c>
      <c r="AG414" s="91">
        <f t="shared" si="172"/>
        <v>9.4568190699491989E-2</v>
      </c>
      <c r="AH414" s="92">
        <v>1057.93</v>
      </c>
      <c r="AI414" s="93">
        <v>497.23999999999955</v>
      </c>
      <c r="AJ414" s="93">
        <v>497.23999999999955</v>
      </c>
      <c r="AK414" s="93">
        <v>366.43999999999937</v>
      </c>
      <c r="AL414" s="94">
        <v>118.289999999999</v>
      </c>
      <c r="AM414" s="94">
        <v>183.02</v>
      </c>
      <c r="AN414" s="94" t="s">
        <v>780</v>
      </c>
      <c r="AO414" s="111">
        <v>12117.119999999999</v>
      </c>
      <c r="AP414" s="112">
        <v>11143.82</v>
      </c>
      <c r="AQ414" s="112">
        <v>0</v>
      </c>
      <c r="AR414" s="112">
        <v>0</v>
      </c>
      <c r="AS414" s="113">
        <v>0</v>
      </c>
      <c r="AT414" s="113">
        <v>0</v>
      </c>
      <c r="AU414" s="111">
        <v>4006.83</v>
      </c>
      <c r="AV414" s="112">
        <v>2894.0199999999982</v>
      </c>
      <c r="AW414" s="112">
        <v>4331.96</v>
      </c>
      <c r="AX414" s="112">
        <v>2359.0299999999902</v>
      </c>
      <c r="AY414" s="113">
        <v>2713.25</v>
      </c>
      <c r="AZ414" s="113">
        <v>5991.55</v>
      </c>
    </row>
    <row r="415" spans="1:52" x14ac:dyDescent="0.25">
      <c r="A415" s="101" t="s">
        <v>584</v>
      </c>
      <c r="B415" s="102" t="s">
        <v>585</v>
      </c>
      <c r="C415" s="102"/>
      <c r="D415" s="102" t="s">
        <v>1048</v>
      </c>
      <c r="E415" s="103">
        <v>0.73000000000000043</v>
      </c>
      <c r="F415" s="104">
        <v>800</v>
      </c>
      <c r="G415" s="105">
        <f t="shared" si="164"/>
        <v>400</v>
      </c>
      <c r="H415" s="105">
        <v>1361</v>
      </c>
      <c r="I415" s="106">
        <f t="shared" si="165"/>
        <v>0.29390154298310067</v>
      </c>
      <c r="J415" s="86">
        <v>600</v>
      </c>
      <c r="K415" s="87">
        <v>730</v>
      </c>
      <c r="L415" s="87">
        <v>50</v>
      </c>
      <c r="M415" s="87">
        <v>0</v>
      </c>
      <c r="N415" s="90"/>
      <c r="O415" s="90">
        <v>0</v>
      </c>
      <c r="P415" s="86">
        <f t="shared" si="178"/>
        <v>438.00000000000023</v>
      </c>
      <c r="Q415" s="87">
        <f t="shared" si="179"/>
        <v>532.90000000000032</v>
      </c>
      <c r="R415" s="87">
        <f t="shared" si="180"/>
        <v>36.500000000000021</v>
      </c>
      <c r="S415" s="88">
        <f t="shared" si="181"/>
        <v>0</v>
      </c>
      <c r="T415" s="89">
        <f t="shared" si="182"/>
        <v>0</v>
      </c>
      <c r="U415" s="89">
        <f t="shared" si="166"/>
        <v>0</v>
      </c>
      <c r="V415" s="86">
        <v>174</v>
      </c>
      <c r="W415" s="87">
        <v>181</v>
      </c>
      <c r="X415" s="87">
        <v>316</v>
      </c>
      <c r="Y415" s="87">
        <v>286</v>
      </c>
      <c r="Z415" s="90">
        <v>465</v>
      </c>
      <c r="AA415" s="90">
        <v>278</v>
      </c>
      <c r="AB415" s="91">
        <f t="shared" si="167"/>
        <v>0.1278471711976488</v>
      </c>
      <c r="AC415" s="91">
        <f t="shared" si="168"/>
        <v>0.13299044819985306</v>
      </c>
      <c r="AD415" s="91">
        <f t="shared" si="169"/>
        <v>0.23218221895664953</v>
      </c>
      <c r="AE415" s="91">
        <f t="shared" si="170"/>
        <v>0.21013960323291697</v>
      </c>
      <c r="AF415" s="91">
        <f t="shared" si="171"/>
        <v>0.34166054371785454</v>
      </c>
      <c r="AG415" s="91">
        <f t="shared" si="172"/>
        <v>0.20426157237325496</v>
      </c>
      <c r="AH415" s="92">
        <v>113.36</v>
      </c>
      <c r="AI415" s="93">
        <v>149.86999999999998</v>
      </c>
      <c r="AJ415" s="93">
        <v>149.87</v>
      </c>
      <c r="AK415" s="93">
        <v>444.67999999999944</v>
      </c>
      <c r="AL415" s="94">
        <v>263.45</v>
      </c>
      <c r="AM415" s="94">
        <v>167.97</v>
      </c>
      <c r="AN415" s="94" t="s">
        <v>780</v>
      </c>
      <c r="AO415" s="111">
        <v>7617.3</v>
      </c>
      <c r="AP415" s="112">
        <v>9556.7999999999993</v>
      </c>
      <c r="AQ415" s="112">
        <v>655</v>
      </c>
      <c r="AR415" s="112">
        <v>0</v>
      </c>
      <c r="AS415" s="113">
        <v>0</v>
      </c>
      <c r="AT415" s="113">
        <v>0</v>
      </c>
      <c r="AU415" s="111">
        <v>2356.2199999999998</v>
      </c>
      <c r="AV415" s="112">
        <v>2514.3299999999986</v>
      </c>
      <c r="AW415" s="112">
        <v>4567.5099999999966</v>
      </c>
      <c r="AX415" s="112">
        <v>3990.0299999999902</v>
      </c>
      <c r="AY415" s="113">
        <v>6370.98</v>
      </c>
      <c r="AZ415" s="113">
        <v>3790.31</v>
      </c>
    </row>
    <row r="416" spans="1:52" x14ac:dyDescent="0.25">
      <c r="A416" s="101" t="s">
        <v>1020</v>
      </c>
      <c r="B416" s="102" t="s">
        <v>440</v>
      </c>
      <c r="C416" s="102"/>
      <c r="D416" s="102" t="s">
        <v>1048</v>
      </c>
      <c r="E416" s="103">
        <v>0.71999999999999975</v>
      </c>
      <c r="F416" s="104">
        <v>100</v>
      </c>
      <c r="G416" s="105">
        <f t="shared" si="164"/>
        <v>50</v>
      </c>
      <c r="H416" s="105">
        <v>60</v>
      </c>
      <c r="I416" s="106">
        <f t="shared" si="165"/>
        <v>0.83333333333333337</v>
      </c>
      <c r="J416" s="86">
        <v>922</v>
      </c>
      <c r="K416" s="87">
        <v>636</v>
      </c>
      <c r="L416" s="87">
        <v>0</v>
      </c>
      <c r="M416" s="87">
        <v>0</v>
      </c>
      <c r="N416" s="90"/>
      <c r="O416" s="90">
        <v>0</v>
      </c>
      <c r="P416" s="86">
        <f t="shared" si="178"/>
        <v>663.8399999999998</v>
      </c>
      <c r="Q416" s="87">
        <f t="shared" si="179"/>
        <v>457.91999999999985</v>
      </c>
      <c r="R416" s="87">
        <f t="shared" si="180"/>
        <v>0</v>
      </c>
      <c r="S416" s="88">
        <f t="shared" si="181"/>
        <v>0</v>
      </c>
      <c r="T416" s="89">
        <f t="shared" si="182"/>
        <v>0</v>
      </c>
      <c r="U416" s="89">
        <f t="shared" si="166"/>
        <v>0</v>
      </c>
      <c r="V416" s="86">
        <v>59</v>
      </c>
      <c r="W416" s="87">
        <v>119</v>
      </c>
      <c r="X416" s="87">
        <v>71</v>
      </c>
      <c r="Y416" s="87">
        <v>44</v>
      </c>
      <c r="Z416" s="90">
        <v>208</v>
      </c>
      <c r="AA416" s="90">
        <v>187</v>
      </c>
      <c r="AB416" s="91">
        <f t="shared" si="167"/>
        <v>0.98333333333333328</v>
      </c>
      <c r="AC416" s="91">
        <f t="shared" si="168"/>
        <v>1.9833333333333334</v>
      </c>
      <c r="AD416" s="91">
        <f t="shared" si="169"/>
        <v>1.1833333333333333</v>
      </c>
      <c r="AE416" s="91">
        <f t="shared" si="170"/>
        <v>0.73333333333333328</v>
      </c>
      <c r="AF416" s="91">
        <f t="shared" si="171"/>
        <v>3.4666666666666668</v>
      </c>
      <c r="AG416" s="91">
        <f t="shared" si="172"/>
        <v>3.1166666666666667</v>
      </c>
      <c r="AH416" s="92">
        <v>69.33</v>
      </c>
      <c r="AI416" s="93">
        <v>139.32</v>
      </c>
      <c r="AJ416" s="93">
        <v>139.31999999999996</v>
      </c>
      <c r="AK416" s="93">
        <v>288.57999999999987</v>
      </c>
      <c r="AL416" s="94">
        <v>46.18</v>
      </c>
      <c r="AM416" s="94">
        <v>133.93</v>
      </c>
      <c r="AN416" s="94" t="s">
        <v>779</v>
      </c>
      <c r="AO416" s="111">
        <v>5522.2800000000007</v>
      </c>
      <c r="AP416" s="112">
        <v>3839.86</v>
      </c>
      <c r="AQ416" s="112">
        <v>0</v>
      </c>
      <c r="AR416" s="112">
        <v>0</v>
      </c>
      <c r="AS416" s="113">
        <v>0</v>
      </c>
      <c r="AT416" s="113">
        <v>0</v>
      </c>
      <c r="AU416" s="111">
        <v>0</v>
      </c>
      <c r="AV416" s="112">
        <v>0</v>
      </c>
      <c r="AW416" s="112">
        <v>0</v>
      </c>
      <c r="AX416" s="112">
        <v>0</v>
      </c>
      <c r="AY416" s="113">
        <v>0</v>
      </c>
      <c r="AZ416" s="113">
        <v>0</v>
      </c>
    </row>
    <row r="417" spans="1:52" x14ac:dyDescent="0.25">
      <c r="A417" s="101" t="s">
        <v>652</v>
      </c>
      <c r="B417" s="102" t="s">
        <v>653</v>
      </c>
      <c r="C417" s="102"/>
      <c r="D417" s="102" t="s">
        <v>1048</v>
      </c>
      <c r="E417" s="103">
        <v>0.71999999999999886</v>
      </c>
      <c r="F417" s="104">
        <v>1500</v>
      </c>
      <c r="G417" s="105">
        <f t="shared" si="164"/>
        <v>750</v>
      </c>
      <c r="H417" s="105">
        <v>3204</v>
      </c>
      <c r="I417" s="106">
        <f t="shared" si="165"/>
        <v>0.23408239700374531</v>
      </c>
      <c r="J417" s="86">
        <v>541</v>
      </c>
      <c r="K417" s="87">
        <v>376</v>
      </c>
      <c r="L417" s="87">
        <v>670</v>
      </c>
      <c r="M417" s="87">
        <v>542</v>
      </c>
      <c r="N417" s="90">
        <v>525</v>
      </c>
      <c r="O417" s="90">
        <v>245</v>
      </c>
      <c r="P417" s="86">
        <f t="shared" si="178"/>
        <v>389.51999999999941</v>
      </c>
      <c r="Q417" s="87">
        <f t="shared" si="179"/>
        <v>270.71999999999957</v>
      </c>
      <c r="R417" s="87">
        <f t="shared" si="180"/>
        <v>482.39999999999924</v>
      </c>
      <c r="S417" s="88">
        <f t="shared" si="181"/>
        <v>390.23999999999938</v>
      </c>
      <c r="T417" s="89">
        <f t="shared" si="182"/>
        <v>377.99999999999943</v>
      </c>
      <c r="U417" s="89">
        <f t="shared" si="166"/>
        <v>176.39999999999972</v>
      </c>
      <c r="V417" s="86">
        <v>711</v>
      </c>
      <c r="W417" s="87">
        <v>423</v>
      </c>
      <c r="X417" s="87">
        <v>529</v>
      </c>
      <c r="Y417" s="87">
        <v>557</v>
      </c>
      <c r="Z417" s="90">
        <v>325</v>
      </c>
      <c r="AA417" s="90">
        <v>465</v>
      </c>
      <c r="AB417" s="91">
        <f t="shared" si="167"/>
        <v>0.22191011235955055</v>
      </c>
      <c r="AC417" s="91">
        <f t="shared" si="168"/>
        <v>0.13202247191011235</v>
      </c>
      <c r="AD417" s="91">
        <f t="shared" si="169"/>
        <v>0.16510611735330835</v>
      </c>
      <c r="AE417" s="91">
        <f t="shared" si="170"/>
        <v>0.17384519350811486</v>
      </c>
      <c r="AF417" s="91">
        <f t="shared" si="171"/>
        <v>0.10143570536828964</v>
      </c>
      <c r="AG417" s="91">
        <f t="shared" si="172"/>
        <v>0.14513108614232209</v>
      </c>
      <c r="AH417" s="92">
        <v>310.97999999999979</v>
      </c>
      <c r="AI417" s="93">
        <v>467.51999999999947</v>
      </c>
      <c r="AJ417" s="93">
        <v>467.51999999999953</v>
      </c>
      <c r="AK417" s="93">
        <v>495.87999999999954</v>
      </c>
      <c r="AL417" s="94">
        <v>774.85000000000298</v>
      </c>
      <c r="AM417" s="94">
        <v>364</v>
      </c>
      <c r="AN417" s="94" t="s">
        <v>780</v>
      </c>
      <c r="AO417" s="111">
        <v>11819.480000000001</v>
      </c>
      <c r="AP417" s="112">
        <v>8156.56</v>
      </c>
      <c r="AQ417" s="112">
        <v>14326.48</v>
      </c>
      <c r="AR417" s="112">
        <v>11501.02</v>
      </c>
      <c r="AS417" s="113">
        <v>11235.09</v>
      </c>
      <c r="AT417" s="113">
        <v>5276.03</v>
      </c>
      <c r="AU417" s="111">
        <v>15833.610000000021</v>
      </c>
      <c r="AV417" s="112">
        <v>9682.809999999994</v>
      </c>
      <c r="AW417" s="112">
        <v>11978.649999999956</v>
      </c>
      <c r="AX417" s="112">
        <v>12691.8499999999</v>
      </c>
      <c r="AY417" s="113">
        <v>7306.03999999999</v>
      </c>
      <c r="AZ417" s="113">
        <v>10281.83</v>
      </c>
    </row>
    <row r="418" spans="1:52" x14ac:dyDescent="0.25">
      <c r="A418" s="101" t="s">
        <v>1021</v>
      </c>
      <c r="B418" s="102" t="s">
        <v>662</v>
      </c>
      <c r="C418" s="102"/>
      <c r="D418" s="102" t="s">
        <v>1048</v>
      </c>
      <c r="E418" s="103">
        <v>0.71999999999999886</v>
      </c>
      <c r="F418" s="104">
        <v>1700</v>
      </c>
      <c r="G418" s="105">
        <f t="shared" si="164"/>
        <v>850</v>
      </c>
      <c r="H418" s="105">
        <v>6408</v>
      </c>
      <c r="I418" s="106">
        <f t="shared" si="165"/>
        <v>0.13264669163545567</v>
      </c>
      <c r="J418" s="86">
        <v>1066</v>
      </c>
      <c r="K418" s="87">
        <v>1951</v>
      </c>
      <c r="L418" s="87">
        <v>2789</v>
      </c>
      <c r="M418" s="87">
        <v>1031</v>
      </c>
      <c r="N418" s="90">
        <v>220</v>
      </c>
      <c r="O418" s="90">
        <v>0</v>
      </c>
      <c r="P418" s="86">
        <f t="shared" si="178"/>
        <v>767.51999999999884</v>
      </c>
      <c r="Q418" s="87">
        <f t="shared" si="179"/>
        <v>1404.7199999999978</v>
      </c>
      <c r="R418" s="87">
        <f t="shared" si="180"/>
        <v>2008.0799999999967</v>
      </c>
      <c r="S418" s="88">
        <f t="shared" si="181"/>
        <v>742.3199999999988</v>
      </c>
      <c r="T418" s="89">
        <f t="shared" si="182"/>
        <v>158.39999999999975</v>
      </c>
      <c r="U418" s="89">
        <f t="shared" si="166"/>
        <v>0</v>
      </c>
      <c r="V418" s="86">
        <v>97</v>
      </c>
      <c r="W418" s="87">
        <v>1037</v>
      </c>
      <c r="X418" s="87">
        <v>1461</v>
      </c>
      <c r="Y418" s="87">
        <v>802</v>
      </c>
      <c r="Z418" s="90">
        <v>991</v>
      </c>
      <c r="AA418" s="90">
        <v>1146</v>
      </c>
      <c r="AB418" s="91">
        <f t="shared" si="167"/>
        <v>1.5137328339575531E-2</v>
      </c>
      <c r="AC418" s="91">
        <f t="shared" si="168"/>
        <v>0.16182896379525594</v>
      </c>
      <c r="AD418" s="91">
        <f t="shared" si="169"/>
        <v>0.22799625468164794</v>
      </c>
      <c r="AE418" s="91">
        <f t="shared" si="170"/>
        <v>0.12515605493133583</v>
      </c>
      <c r="AF418" s="91">
        <f t="shared" si="171"/>
        <v>0.15465043695380773</v>
      </c>
      <c r="AG418" s="91">
        <f t="shared" si="172"/>
        <v>0.17883895131086142</v>
      </c>
      <c r="AH418" s="92">
        <v>1529.95</v>
      </c>
      <c r="AI418" s="93">
        <v>18380.87999999999</v>
      </c>
      <c r="AJ418" s="93">
        <v>18380.87999999999</v>
      </c>
      <c r="AK418" s="93">
        <v>23775.999999999985</v>
      </c>
      <c r="AL418" s="94">
        <v>12026.82</v>
      </c>
      <c r="AM418" s="94">
        <v>1855.0899999999899</v>
      </c>
      <c r="AN418" s="94" t="s">
        <v>780</v>
      </c>
      <c r="AO418" s="111">
        <v>26353.03</v>
      </c>
      <c r="AP418" s="112">
        <v>49253.45</v>
      </c>
      <c r="AQ418" s="112">
        <v>83364.98</v>
      </c>
      <c r="AR418" s="112">
        <v>25735.42</v>
      </c>
      <c r="AS418" s="113">
        <v>5401.9</v>
      </c>
      <c r="AT418" s="113">
        <v>0</v>
      </c>
      <c r="AU418" s="111">
        <v>0</v>
      </c>
      <c r="AV418" s="112">
        <v>0</v>
      </c>
      <c r="AW418" s="112">
        <v>0</v>
      </c>
      <c r="AX418" s="112">
        <v>0</v>
      </c>
      <c r="AY418" s="113">
        <v>0</v>
      </c>
      <c r="AZ418" s="113">
        <v>0</v>
      </c>
    </row>
    <row r="419" spans="1:52" x14ac:dyDescent="0.25">
      <c r="A419" s="101" t="s">
        <v>690</v>
      </c>
      <c r="B419" s="102" t="s">
        <v>691</v>
      </c>
      <c r="C419" s="102"/>
      <c r="D419" s="102" t="s">
        <v>1048</v>
      </c>
      <c r="E419" s="103">
        <v>0.70000000000000284</v>
      </c>
      <c r="F419" s="104">
        <v>400</v>
      </c>
      <c r="G419" s="105">
        <f t="shared" si="164"/>
        <v>200</v>
      </c>
      <c r="H419" s="105">
        <v>777</v>
      </c>
      <c r="I419" s="106">
        <f t="shared" si="165"/>
        <v>0.2574002574002574</v>
      </c>
      <c r="J419" s="86">
        <v>50</v>
      </c>
      <c r="K419" s="87">
        <v>0</v>
      </c>
      <c r="L419" s="87">
        <v>78</v>
      </c>
      <c r="M419" s="87">
        <v>0</v>
      </c>
      <c r="N419" s="90">
        <v>77</v>
      </c>
      <c r="O419" s="90">
        <v>87</v>
      </c>
      <c r="P419" s="86">
        <f t="shared" si="178"/>
        <v>35.000000000000142</v>
      </c>
      <c r="Q419" s="87">
        <f t="shared" si="179"/>
        <v>0</v>
      </c>
      <c r="R419" s="87">
        <f t="shared" si="180"/>
        <v>54.600000000000222</v>
      </c>
      <c r="S419" s="88">
        <f t="shared" si="181"/>
        <v>0</v>
      </c>
      <c r="T419" s="89">
        <f t="shared" si="182"/>
        <v>53.900000000000219</v>
      </c>
      <c r="U419" s="89">
        <f t="shared" si="166"/>
        <v>60.900000000000247</v>
      </c>
      <c r="V419" s="86">
        <v>111</v>
      </c>
      <c r="W419" s="87">
        <v>155</v>
      </c>
      <c r="X419" s="87">
        <v>248</v>
      </c>
      <c r="Y419" s="87">
        <v>126</v>
      </c>
      <c r="Z419" s="90">
        <v>109</v>
      </c>
      <c r="AA419" s="90">
        <v>66</v>
      </c>
      <c r="AB419" s="91">
        <f t="shared" si="167"/>
        <v>0.14285714285714285</v>
      </c>
      <c r="AC419" s="91">
        <f t="shared" si="168"/>
        <v>0.19948519948519949</v>
      </c>
      <c r="AD419" s="91">
        <f t="shared" si="169"/>
        <v>0.31917631917631917</v>
      </c>
      <c r="AE419" s="91">
        <f t="shared" si="170"/>
        <v>0.16216216216216217</v>
      </c>
      <c r="AF419" s="91">
        <f t="shared" si="171"/>
        <v>0.14028314028314029</v>
      </c>
      <c r="AG419" s="91">
        <f t="shared" si="172"/>
        <v>8.4942084942084939E-2</v>
      </c>
      <c r="AH419" s="92">
        <v>268.27999999999997</v>
      </c>
      <c r="AI419" s="93">
        <v>362.11</v>
      </c>
      <c r="AJ419" s="93">
        <v>362.11</v>
      </c>
      <c r="AK419" s="93">
        <v>169.34999999999997</v>
      </c>
      <c r="AL419" s="94">
        <v>15.909999999999901</v>
      </c>
      <c r="AM419" s="94">
        <v>12.579999999999901</v>
      </c>
      <c r="AN419" s="94" t="s">
        <v>780</v>
      </c>
      <c r="AO419" s="111">
        <v>1969</v>
      </c>
      <c r="AP419" s="112">
        <v>0</v>
      </c>
      <c r="AQ419" s="112">
        <v>3105.96</v>
      </c>
      <c r="AR419" s="112">
        <v>0</v>
      </c>
      <c r="AS419" s="113">
        <v>2964.5</v>
      </c>
      <c r="AT419" s="113">
        <v>3336.2</v>
      </c>
      <c r="AU419" s="111">
        <v>4732.99</v>
      </c>
      <c r="AV419" s="112">
        <v>6493.1099999999988</v>
      </c>
      <c r="AW419" s="112">
        <v>10022.389999999989</v>
      </c>
      <c r="AX419" s="112">
        <v>5021.8899999999903</v>
      </c>
      <c r="AY419" s="113">
        <v>4347.2599999999902</v>
      </c>
      <c r="AZ419" s="113">
        <v>2633.3999999999901</v>
      </c>
    </row>
    <row r="420" spans="1:52" x14ac:dyDescent="0.25">
      <c r="A420" s="101" t="s">
        <v>1022</v>
      </c>
      <c r="B420" s="102" t="s">
        <v>456</v>
      </c>
      <c r="C420" s="102"/>
      <c r="D420" s="102" t="s">
        <v>1048</v>
      </c>
      <c r="E420" s="103">
        <v>0.70000000000000018</v>
      </c>
      <c r="F420" s="104">
        <v>600</v>
      </c>
      <c r="G420" s="105">
        <f t="shared" si="164"/>
        <v>300</v>
      </c>
      <c r="H420" s="105">
        <v>2543</v>
      </c>
      <c r="I420" s="106">
        <f t="shared" si="165"/>
        <v>0.11797090051120723</v>
      </c>
      <c r="J420" s="86">
        <v>5016</v>
      </c>
      <c r="K420" s="87">
        <v>0</v>
      </c>
      <c r="L420" s="87">
        <v>0</v>
      </c>
      <c r="M420" s="87">
        <v>0</v>
      </c>
      <c r="N420" s="90"/>
      <c r="O420" s="90">
        <v>0</v>
      </c>
      <c r="P420" s="86">
        <f t="shared" si="178"/>
        <v>3511.2000000000007</v>
      </c>
      <c r="Q420" s="87">
        <f t="shared" si="179"/>
        <v>0</v>
      </c>
      <c r="R420" s="87">
        <f t="shared" si="180"/>
        <v>0</v>
      </c>
      <c r="S420" s="88">
        <f t="shared" si="181"/>
        <v>0</v>
      </c>
      <c r="T420" s="89">
        <f t="shared" si="182"/>
        <v>0</v>
      </c>
      <c r="U420" s="89">
        <f t="shared" si="166"/>
        <v>0</v>
      </c>
      <c r="V420" s="86">
        <v>330</v>
      </c>
      <c r="W420" s="87">
        <v>596</v>
      </c>
      <c r="X420" s="87">
        <v>1342</v>
      </c>
      <c r="Y420" s="87">
        <v>2398</v>
      </c>
      <c r="Z420" s="90">
        <v>1383</v>
      </c>
      <c r="AA420" s="90">
        <v>1554</v>
      </c>
      <c r="AB420" s="91">
        <f t="shared" si="167"/>
        <v>0.12976799056232796</v>
      </c>
      <c r="AC420" s="91">
        <f t="shared" si="168"/>
        <v>0.23436885568226504</v>
      </c>
      <c r="AD420" s="91">
        <f t="shared" si="169"/>
        <v>0.52772316162013366</v>
      </c>
      <c r="AE420" s="91">
        <f t="shared" si="170"/>
        <v>0.94298073141958316</v>
      </c>
      <c r="AF420" s="91">
        <f t="shared" si="171"/>
        <v>0.54384585135666541</v>
      </c>
      <c r="AG420" s="91">
        <f t="shared" si="172"/>
        <v>0.61108926464805347</v>
      </c>
      <c r="AH420" s="92">
        <v>192.9</v>
      </c>
      <c r="AI420" s="93">
        <v>344.36999999999944</v>
      </c>
      <c r="AJ420" s="93">
        <v>344.36999999999955</v>
      </c>
      <c r="AK420" s="93">
        <v>699.31999999999948</v>
      </c>
      <c r="AL420" s="94">
        <v>1130.1699999999901</v>
      </c>
      <c r="AM420" s="94">
        <v>623.54</v>
      </c>
      <c r="AN420" s="94" t="s">
        <v>780</v>
      </c>
      <c r="AO420" s="111">
        <v>32854.799999999996</v>
      </c>
      <c r="AP420" s="112">
        <v>0</v>
      </c>
      <c r="AQ420" s="112">
        <v>0</v>
      </c>
      <c r="AR420" s="112">
        <v>0</v>
      </c>
      <c r="AS420" s="113">
        <v>0</v>
      </c>
      <c r="AT420" s="113">
        <v>0</v>
      </c>
      <c r="AU420" s="111">
        <v>0</v>
      </c>
      <c r="AV420" s="112">
        <v>0</v>
      </c>
      <c r="AW420" s="112">
        <v>0</v>
      </c>
      <c r="AX420" s="112">
        <v>0</v>
      </c>
      <c r="AY420" s="113">
        <v>0</v>
      </c>
      <c r="AZ420" s="113">
        <v>0</v>
      </c>
    </row>
    <row r="421" spans="1:52" x14ac:dyDescent="0.25">
      <c r="A421" s="101" t="s">
        <v>432</v>
      </c>
      <c r="B421" s="102" t="s">
        <v>433</v>
      </c>
      <c r="C421" s="102"/>
      <c r="D421" s="102" t="s">
        <v>1048</v>
      </c>
      <c r="E421" s="103">
        <v>0.70000000000000018</v>
      </c>
      <c r="F421" s="104">
        <v>2000</v>
      </c>
      <c r="G421" s="105">
        <f t="shared" si="164"/>
        <v>1000</v>
      </c>
      <c r="H421" s="105">
        <v>376</v>
      </c>
      <c r="I421" s="106">
        <f t="shared" si="165"/>
        <v>2.6595744680851063</v>
      </c>
      <c r="J421" s="86">
        <v>827</v>
      </c>
      <c r="K421" s="87">
        <v>0</v>
      </c>
      <c r="L421" s="87">
        <v>135</v>
      </c>
      <c r="M421" s="87">
        <v>160</v>
      </c>
      <c r="N421" s="90">
        <v>530</v>
      </c>
      <c r="O421" s="90">
        <v>1320</v>
      </c>
      <c r="P421" s="86">
        <f t="shared" si="178"/>
        <v>578.90000000000009</v>
      </c>
      <c r="Q421" s="87">
        <f t="shared" si="179"/>
        <v>0</v>
      </c>
      <c r="R421" s="87">
        <f t="shared" si="180"/>
        <v>94.500000000000028</v>
      </c>
      <c r="S421" s="88">
        <f t="shared" si="181"/>
        <v>112.00000000000003</v>
      </c>
      <c r="T421" s="89">
        <f t="shared" si="182"/>
        <v>371.00000000000011</v>
      </c>
      <c r="U421" s="89">
        <f t="shared" si="166"/>
        <v>924.00000000000023</v>
      </c>
      <c r="V421" s="86">
        <v>543</v>
      </c>
      <c r="W421" s="87">
        <v>1291</v>
      </c>
      <c r="X421" s="87">
        <v>227</v>
      </c>
      <c r="Y421" s="87">
        <v>32</v>
      </c>
      <c r="Z421" s="90">
        <v>358</v>
      </c>
      <c r="AA421" s="90">
        <v>317</v>
      </c>
      <c r="AB421" s="91">
        <f t="shared" si="167"/>
        <v>1.4441489361702127</v>
      </c>
      <c r="AC421" s="91">
        <f t="shared" si="168"/>
        <v>3.4335106382978724</v>
      </c>
      <c r="AD421" s="91">
        <f t="shared" si="169"/>
        <v>0.60372340425531912</v>
      </c>
      <c r="AE421" s="91">
        <f t="shared" si="170"/>
        <v>8.5106382978723402E-2</v>
      </c>
      <c r="AF421" s="91">
        <f t="shared" si="171"/>
        <v>0.9521276595744681</v>
      </c>
      <c r="AG421" s="91">
        <f t="shared" si="172"/>
        <v>0.84308510638297873</v>
      </c>
      <c r="AH421" s="92">
        <v>523.06000000000017</v>
      </c>
      <c r="AI421" s="93">
        <v>1183.3799999999994</v>
      </c>
      <c r="AJ421" s="93">
        <v>1183.3799999999997</v>
      </c>
      <c r="AK421" s="93">
        <v>272.53999999999979</v>
      </c>
      <c r="AL421" s="94">
        <v>64.97</v>
      </c>
      <c r="AM421" s="94">
        <v>200.6</v>
      </c>
      <c r="AN421" s="94" t="s">
        <v>779</v>
      </c>
      <c r="AO421" s="111">
        <v>4671.87</v>
      </c>
      <c r="AP421" s="112">
        <v>0</v>
      </c>
      <c r="AQ421" s="112">
        <v>745.2</v>
      </c>
      <c r="AR421" s="112">
        <v>913.4</v>
      </c>
      <c r="AS421" s="113">
        <v>3060.7</v>
      </c>
      <c r="AT421" s="113">
        <v>7563.6</v>
      </c>
      <c r="AU421" s="111">
        <v>3689.05</v>
      </c>
      <c r="AV421" s="112">
        <v>8599.1699999999837</v>
      </c>
      <c r="AW421" s="112">
        <v>1482.4499999999989</v>
      </c>
      <c r="AX421" s="112">
        <v>240.65</v>
      </c>
      <c r="AY421" s="113">
        <v>2627.92</v>
      </c>
      <c r="AZ421" s="113">
        <v>2047.52</v>
      </c>
    </row>
    <row r="422" spans="1:52" x14ac:dyDescent="0.25">
      <c r="A422" s="101" t="s">
        <v>675</v>
      </c>
      <c r="B422" s="102" t="s">
        <v>676</v>
      </c>
      <c r="C422" s="102"/>
      <c r="D422" s="102" t="s">
        <v>1048</v>
      </c>
      <c r="E422" s="103">
        <v>0.68999999999999773</v>
      </c>
      <c r="F422" s="104">
        <v>2000</v>
      </c>
      <c r="G422" s="105">
        <f t="shared" si="164"/>
        <v>1000</v>
      </c>
      <c r="H422" s="105">
        <v>9368</v>
      </c>
      <c r="I422" s="106">
        <f t="shared" si="165"/>
        <v>0.1067463706233988</v>
      </c>
      <c r="J422" s="86">
        <v>316</v>
      </c>
      <c r="K422" s="87">
        <v>0</v>
      </c>
      <c r="L422" s="87">
        <v>0</v>
      </c>
      <c r="M422" s="87">
        <v>0</v>
      </c>
      <c r="N422" s="90"/>
      <c r="O422" s="90">
        <v>0</v>
      </c>
      <c r="P422" s="86">
        <f t="shared" si="178"/>
        <v>218.03999999999928</v>
      </c>
      <c r="Q422" s="87">
        <f t="shared" si="179"/>
        <v>0</v>
      </c>
      <c r="R422" s="87">
        <f t="shared" si="180"/>
        <v>0</v>
      </c>
      <c r="S422" s="88">
        <f t="shared" si="181"/>
        <v>0</v>
      </c>
      <c r="T422" s="89">
        <f t="shared" si="182"/>
        <v>0</v>
      </c>
      <c r="U422" s="89">
        <f t="shared" si="166"/>
        <v>0</v>
      </c>
      <c r="V422" s="86">
        <v>0</v>
      </c>
      <c r="W422" s="87">
        <v>0</v>
      </c>
      <c r="X422" s="87">
        <v>0</v>
      </c>
      <c r="Y422" s="87">
        <v>0</v>
      </c>
      <c r="Z422" s="90">
        <v>0</v>
      </c>
      <c r="AA422" s="90">
        <v>0</v>
      </c>
      <c r="AB422" s="91">
        <f t="shared" si="167"/>
        <v>0</v>
      </c>
      <c r="AC422" s="91">
        <f t="shared" si="168"/>
        <v>0</v>
      </c>
      <c r="AD422" s="91">
        <f t="shared" si="169"/>
        <v>0</v>
      </c>
      <c r="AE422" s="91">
        <f t="shared" si="170"/>
        <v>0</v>
      </c>
      <c r="AF422" s="91">
        <f t="shared" si="171"/>
        <v>0</v>
      </c>
      <c r="AG422" s="91">
        <f t="shared" si="172"/>
        <v>0</v>
      </c>
      <c r="AH422" s="92">
        <v>0</v>
      </c>
      <c r="AI422" s="93">
        <v>0</v>
      </c>
      <c r="AJ422" s="93">
        <v>0</v>
      </c>
      <c r="AK422" s="93">
        <v>0</v>
      </c>
      <c r="AL422" s="94">
        <v>0</v>
      </c>
      <c r="AM422" s="94">
        <v>0</v>
      </c>
      <c r="AN422" s="94" t="s">
        <v>780</v>
      </c>
      <c r="AO422" s="111">
        <v>9227.2000000000007</v>
      </c>
      <c r="AP422" s="112">
        <v>0</v>
      </c>
      <c r="AQ422" s="112">
        <v>0</v>
      </c>
      <c r="AR422" s="112">
        <v>0</v>
      </c>
      <c r="AS422" s="113">
        <v>0</v>
      </c>
      <c r="AT422" s="113">
        <v>0</v>
      </c>
      <c r="AU422" s="111">
        <v>0</v>
      </c>
      <c r="AV422" s="112">
        <v>0</v>
      </c>
      <c r="AW422" s="112">
        <v>0</v>
      </c>
      <c r="AX422" s="112">
        <v>0</v>
      </c>
      <c r="AY422" s="113">
        <v>0</v>
      </c>
      <c r="AZ422" s="113">
        <v>0</v>
      </c>
    </row>
    <row r="423" spans="1:52" x14ac:dyDescent="0.25">
      <c r="A423" s="101" t="s">
        <v>685</v>
      </c>
      <c r="B423" s="102" t="s">
        <v>686</v>
      </c>
      <c r="C423" s="102"/>
      <c r="D423" s="102" t="s">
        <v>1048</v>
      </c>
      <c r="E423" s="103">
        <v>0.68999999999999773</v>
      </c>
      <c r="F423" s="104">
        <v>3000</v>
      </c>
      <c r="G423" s="105">
        <f t="shared" si="164"/>
        <v>1500</v>
      </c>
      <c r="H423" s="105">
        <v>36542</v>
      </c>
      <c r="I423" s="106">
        <f t="shared" si="165"/>
        <v>4.1048656340649116E-2</v>
      </c>
      <c r="J423" s="86">
        <v>2025</v>
      </c>
      <c r="K423" s="87">
        <v>940</v>
      </c>
      <c r="L423" s="87">
        <v>872</v>
      </c>
      <c r="M423" s="87">
        <v>1654</v>
      </c>
      <c r="N423" s="90">
        <v>1163</v>
      </c>
      <c r="O423" s="90">
        <v>478</v>
      </c>
      <c r="P423" s="86">
        <f t="shared" si="178"/>
        <v>1397.2499999999955</v>
      </c>
      <c r="Q423" s="87">
        <f t="shared" si="179"/>
        <v>648.59999999999786</v>
      </c>
      <c r="R423" s="87">
        <f t="shared" si="180"/>
        <v>601.67999999999802</v>
      </c>
      <c r="S423" s="88">
        <f t="shared" si="181"/>
        <v>1141.2599999999961</v>
      </c>
      <c r="T423" s="89">
        <f t="shared" si="182"/>
        <v>802.4699999999973</v>
      </c>
      <c r="U423" s="89">
        <f t="shared" si="166"/>
        <v>329.81999999999891</v>
      </c>
      <c r="V423" s="86">
        <v>1492</v>
      </c>
      <c r="W423" s="87">
        <v>1235</v>
      </c>
      <c r="X423" s="87">
        <v>2275</v>
      </c>
      <c r="Y423" s="87">
        <v>754</v>
      </c>
      <c r="Z423" s="90">
        <v>362</v>
      </c>
      <c r="AA423" s="90">
        <v>1855</v>
      </c>
      <c r="AB423" s="91">
        <f t="shared" si="167"/>
        <v>4.0829730173498988E-2</v>
      </c>
      <c r="AC423" s="91">
        <f t="shared" si="168"/>
        <v>3.3796727053801108E-2</v>
      </c>
      <c r="AD423" s="91">
        <f t="shared" si="169"/>
        <v>6.2257128783317829E-2</v>
      </c>
      <c r="AE423" s="91">
        <f t="shared" si="170"/>
        <v>2.0633791253899622E-2</v>
      </c>
      <c r="AF423" s="91">
        <f t="shared" si="171"/>
        <v>9.9064090635433196E-3</v>
      </c>
      <c r="AG423" s="91">
        <f t="shared" si="172"/>
        <v>5.0763505007936076E-2</v>
      </c>
      <c r="AH423" s="92">
        <v>1850.5399999999991</v>
      </c>
      <c r="AI423" s="93">
        <v>1054.9499999999996</v>
      </c>
      <c r="AJ423" s="93">
        <v>1054.9499999999996</v>
      </c>
      <c r="AK423" s="93">
        <v>1319.6699999999978</v>
      </c>
      <c r="AL423" s="94">
        <v>480.42999999999898</v>
      </c>
      <c r="AM423" s="94">
        <v>902.06</v>
      </c>
      <c r="AN423" s="94" t="s">
        <v>780</v>
      </c>
      <c r="AO423" s="111">
        <v>70253.72</v>
      </c>
      <c r="AP423" s="112">
        <v>32646.05</v>
      </c>
      <c r="AQ423" s="112">
        <v>30202.739999999998</v>
      </c>
      <c r="AR423" s="112">
        <v>57162.950000000004</v>
      </c>
      <c r="AS423" s="113">
        <v>42346.450000000004</v>
      </c>
      <c r="AT423" s="113">
        <v>16301.259999999998</v>
      </c>
      <c r="AU423" s="111">
        <v>53644.160000000033</v>
      </c>
      <c r="AV423" s="112">
        <v>43932.579999999856</v>
      </c>
      <c r="AW423" s="112">
        <v>80272.009999999922</v>
      </c>
      <c r="AX423" s="112">
        <v>26504.459999999901</v>
      </c>
      <c r="AY423" s="113">
        <v>12710.75</v>
      </c>
      <c r="AZ423" s="113">
        <v>64760.110000000102</v>
      </c>
    </row>
    <row r="424" spans="1:52" x14ac:dyDescent="0.25">
      <c r="A424" s="101" t="s">
        <v>1023</v>
      </c>
      <c r="B424" s="102" t="s">
        <v>634</v>
      </c>
      <c r="C424" s="102"/>
      <c r="D424" s="102" t="s">
        <v>1048</v>
      </c>
      <c r="E424" s="103">
        <v>0.67999999999999972</v>
      </c>
      <c r="F424" s="104">
        <v>5000</v>
      </c>
      <c r="G424" s="105">
        <f t="shared" si="164"/>
        <v>2500</v>
      </c>
      <c r="H424" s="105">
        <v>10360</v>
      </c>
      <c r="I424" s="106">
        <f t="shared" si="165"/>
        <v>0.2413127413127413</v>
      </c>
      <c r="J424" s="86">
        <v>0</v>
      </c>
      <c r="K424" s="87">
        <v>0</v>
      </c>
      <c r="L424" s="87">
        <v>0</v>
      </c>
      <c r="M424" s="87">
        <v>1000</v>
      </c>
      <c r="N424" s="90">
        <v>1117</v>
      </c>
      <c r="O424" s="90">
        <v>0</v>
      </c>
      <c r="P424" s="86">
        <f t="shared" si="178"/>
        <v>0</v>
      </c>
      <c r="Q424" s="87">
        <f t="shared" si="179"/>
        <v>0</v>
      </c>
      <c r="R424" s="87">
        <f t="shared" si="180"/>
        <v>0</v>
      </c>
      <c r="S424" s="88">
        <f t="shared" si="181"/>
        <v>679.99999999999977</v>
      </c>
      <c r="T424" s="89">
        <f t="shared" si="182"/>
        <v>759.55999999999972</v>
      </c>
      <c r="U424" s="89">
        <f t="shared" si="166"/>
        <v>0</v>
      </c>
      <c r="V424" s="86">
        <v>0</v>
      </c>
      <c r="W424" s="87">
        <v>0</v>
      </c>
      <c r="X424" s="87">
        <v>0</v>
      </c>
      <c r="Y424" s="87">
        <v>0</v>
      </c>
      <c r="Z424" s="90">
        <v>371</v>
      </c>
      <c r="AA424" s="90">
        <v>1937</v>
      </c>
      <c r="AB424" s="91">
        <f t="shared" si="167"/>
        <v>0</v>
      </c>
      <c r="AC424" s="91">
        <f t="shared" si="168"/>
        <v>0</v>
      </c>
      <c r="AD424" s="91">
        <f t="shared" si="169"/>
        <v>0</v>
      </c>
      <c r="AE424" s="91">
        <f t="shared" si="170"/>
        <v>0</v>
      </c>
      <c r="AF424" s="91">
        <f t="shared" si="171"/>
        <v>3.5810810810810813E-2</v>
      </c>
      <c r="AG424" s="91">
        <f t="shared" si="172"/>
        <v>0.18696911196911198</v>
      </c>
      <c r="AH424" s="92">
        <v>0</v>
      </c>
      <c r="AI424" s="93">
        <v>0</v>
      </c>
      <c r="AJ424" s="93">
        <v>0</v>
      </c>
      <c r="AK424" s="93">
        <v>0</v>
      </c>
      <c r="AL424" s="94">
        <v>252.27999999999989</v>
      </c>
      <c r="AM424" s="94">
        <v>1512.3299999999699</v>
      </c>
      <c r="AN424" s="94" t="s">
        <v>780</v>
      </c>
      <c r="AO424" s="111">
        <v>0</v>
      </c>
      <c r="AP424" s="112">
        <v>0</v>
      </c>
      <c r="AQ424" s="112">
        <v>0</v>
      </c>
      <c r="AR424" s="112">
        <v>17050</v>
      </c>
      <c r="AS424" s="113">
        <v>18698.579999999998</v>
      </c>
      <c r="AT424" s="113">
        <v>0</v>
      </c>
      <c r="AU424" s="111">
        <v>0</v>
      </c>
      <c r="AV424" s="112">
        <v>0</v>
      </c>
      <c r="AW424" s="112">
        <v>0</v>
      </c>
      <c r="AX424" s="112">
        <v>0</v>
      </c>
      <c r="AY424" s="113">
        <v>0</v>
      </c>
      <c r="AZ424" s="113">
        <v>0</v>
      </c>
    </row>
    <row r="425" spans="1:52" x14ac:dyDescent="0.25">
      <c r="A425" s="101" t="s">
        <v>513</v>
      </c>
      <c r="B425" s="102" t="s">
        <v>514</v>
      </c>
      <c r="C425" s="102"/>
      <c r="D425" s="102" t="s">
        <v>1048</v>
      </c>
      <c r="E425" s="103">
        <v>0.67999999999999972</v>
      </c>
      <c r="F425" s="104">
        <v>3000</v>
      </c>
      <c r="G425" s="105">
        <f t="shared" si="164"/>
        <v>1500</v>
      </c>
      <c r="H425" s="105">
        <v>4624</v>
      </c>
      <c r="I425" s="106">
        <f t="shared" si="165"/>
        <v>0.32439446366782004</v>
      </c>
      <c r="J425" s="86">
        <v>0</v>
      </c>
      <c r="K425" s="87">
        <v>0</v>
      </c>
      <c r="L425" s="87">
        <v>0</v>
      </c>
      <c r="M425" s="87">
        <v>0</v>
      </c>
      <c r="N425" s="90">
        <v>400</v>
      </c>
      <c r="O425" s="90">
        <v>496</v>
      </c>
      <c r="P425" s="86">
        <f t="shared" si="178"/>
        <v>0</v>
      </c>
      <c r="Q425" s="87">
        <f t="shared" si="179"/>
        <v>0</v>
      </c>
      <c r="R425" s="87">
        <f t="shared" si="180"/>
        <v>0</v>
      </c>
      <c r="S425" s="88">
        <f t="shared" si="181"/>
        <v>0</v>
      </c>
      <c r="T425" s="89">
        <f t="shared" si="182"/>
        <v>271.99999999999989</v>
      </c>
      <c r="U425" s="89">
        <f t="shared" si="166"/>
        <v>337.27999999999986</v>
      </c>
      <c r="V425" s="86">
        <v>1106</v>
      </c>
      <c r="W425" s="87">
        <v>1312</v>
      </c>
      <c r="X425" s="87">
        <v>1054</v>
      </c>
      <c r="Y425" s="87">
        <v>1138</v>
      </c>
      <c r="Z425" s="90">
        <v>1358</v>
      </c>
      <c r="AA425" s="90">
        <v>1202</v>
      </c>
      <c r="AB425" s="91">
        <f t="shared" si="167"/>
        <v>0.23918685121107267</v>
      </c>
      <c r="AC425" s="91">
        <f t="shared" si="168"/>
        <v>0.2837370242214533</v>
      </c>
      <c r="AD425" s="91">
        <f t="shared" si="169"/>
        <v>0.22794117647058823</v>
      </c>
      <c r="AE425" s="91">
        <f t="shared" si="170"/>
        <v>0.24610726643598616</v>
      </c>
      <c r="AF425" s="91">
        <f t="shared" si="171"/>
        <v>0.29368512110726641</v>
      </c>
      <c r="AG425" s="91">
        <f t="shared" si="172"/>
        <v>0.25994809688581316</v>
      </c>
      <c r="AH425" s="92">
        <v>767.12000000000012</v>
      </c>
      <c r="AI425" s="93">
        <v>454.93999999999988</v>
      </c>
      <c r="AJ425" s="93">
        <v>454.93999999999983</v>
      </c>
      <c r="AK425" s="93">
        <v>154.87999999999974</v>
      </c>
      <c r="AL425" s="94">
        <v>262.91999999999899</v>
      </c>
      <c r="AM425" s="94">
        <v>312.20999999999799</v>
      </c>
      <c r="AN425" s="94" t="s">
        <v>780</v>
      </c>
      <c r="AO425" s="111">
        <v>0</v>
      </c>
      <c r="AP425" s="112">
        <v>0</v>
      </c>
      <c r="AQ425" s="112">
        <v>0</v>
      </c>
      <c r="AR425" s="112">
        <v>0</v>
      </c>
      <c r="AS425" s="113">
        <v>2920</v>
      </c>
      <c r="AT425" s="113">
        <v>3628.6400000000003</v>
      </c>
      <c r="AU425" s="111">
        <v>9541.5399999999954</v>
      </c>
      <c r="AV425" s="112">
        <v>11195.759999999975</v>
      </c>
      <c r="AW425" s="112">
        <v>8955.1499999999887</v>
      </c>
      <c r="AX425" s="112">
        <v>9776.5999999999694</v>
      </c>
      <c r="AY425" s="113">
        <v>11374.98</v>
      </c>
      <c r="AZ425" s="113">
        <v>10360.9299999999</v>
      </c>
    </row>
    <row r="426" spans="1:52" x14ac:dyDescent="0.25">
      <c r="A426" s="101" t="s">
        <v>223</v>
      </c>
      <c r="B426" s="102" t="s">
        <v>224</v>
      </c>
      <c r="C426" s="102"/>
      <c r="D426" s="102" t="s">
        <v>1048</v>
      </c>
      <c r="E426" s="103">
        <v>0.66000000000000014</v>
      </c>
      <c r="F426" s="104">
        <v>3000</v>
      </c>
      <c r="G426" s="105">
        <f t="shared" si="164"/>
        <v>1500</v>
      </c>
      <c r="H426" s="105">
        <v>31761</v>
      </c>
      <c r="I426" s="106">
        <f t="shared" si="165"/>
        <v>4.7227732124303388E-2</v>
      </c>
      <c r="J426" s="86">
        <v>1980</v>
      </c>
      <c r="K426" s="87">
        <v>648</v>
      </c>
      <c r="L426" s="87">
        <v>815</v>
      </c>
      <c r="M426" s="87">
        <v>558</v>
      </c>
      <c r="N426" s="90">
        <v>244</v>
      </c>
      <c r="O426" s="90">
        <v>616</v>
      </c>
      <c r="P426" s="86">
        <f t="shared" si="178"/>
        <v>1306.8000000000002</v>
      </c>
      <c r="Q426" s="87">
        <f t="shared" si="179"/>
        <v>427.68000000000006</v>
      </c>
      <c r="R426" s="87">
        <f t="shared" si="180"/>
        <v>537.90000000000009</v>
      </c>
      <c r="S426" s="88">
        <f t="shared" si="181"/>
        <v>368.28000000000009</v>
      </c>
      <c r="T426" s="89">
        <f t="shared" si="182"/>
        <v>161.04000000000002</v>
      </c>
      <c r="U426" s="89">
        <f t="shared" si="166"/>
        <v>406.56000000000006</v>
      </c>
      <c r="V426" s="86">
        <v>1248</v>
      </c>
      <c r="W426" s="87">
        <v>2203</v>
      </c>
      <c r="X426" s="87">
        <v>722</v>
      </c>
      <c r="Y426" s="87">
        <v>732</v>
      </c>
      <c r="Z426" s="90">
        <v>642</v>
      </c>
      <c r="AA426" s="90">
        <v>237</v>
      </c>
      <c r="AB426" s="91">
        <f t="shared" si="167"/>
        <v>3.9293473127420424E-2</v>
      </c>
      <c r="AC426" s="91">
        <f t="shared" si="168"/>
        <v>6.9361795913226915E-2</v>
      </c>
      <c r="AD426" s="91">
        <f t="shared" si="169"/>
        <v>2.2732281729164697E-2</v>
      </c>
      <c r="AE426" s="91">
        <f t="shared" si="170"/>
        <v>2.3047133276660053E-2</v>
      </c>
      <c r="AF426" s="91">
        <f t="shared" si="171"/>
        <v>2.0213469349201853E-2</v>
      </c>
      <c r="AG426" s="91">
        <f t="shared" si="172"/>
        <v>7.4619816756399358E-3</v>
      </c>
      <c r="AH426" s="92">
        <v>751.21000000000015</v>
      </c>
      <c r="AI426" s="93">
        <v>998.65999999999735</v>
      </c>
      <c r="AJ426" s="93">
        <v>998.65999999999713</v>
      </c>
      <c r="AK426" s="93">
        <v>457.6499999999989</v>
      </c>
      <c r="AL426" s="94">
        <v>447.849999999999</v>
      </c>
      <c r="AM426" s="94">
        <v>116.62</v>
      </c>
      <c r="AN426" s="94" t="s">
        <v>779</v>
      </c>
      <c r="AO426" s="111">
        <v>3563.19</v>
      </c>
      <c r="AP426" s="112">
        <v>1122.68</v>
      </c>
      <c r="AQ426" s="112">
        <v>1479.5900000000001</v>
      </c>
      <c r="AR426" s="112">
        <v>946.66000000000008</v>
      </c>
      <c r="AS426" s="113">
        <v>443.24</v>
      </c>
      <c r="AT426" s="113">
        <v>1121.28</v>
      </c>
      <c r="AU426" s="111">
        <v>2843.2300000000009</v>
      </c>
      <c r="AV426" s="112">
        <v>4886.9099999999953</v>
      </c>
      <c r="AW426" s="112">
        <v>1723.1499999999969</v>
      </c>
      <c r="AX426" s="112">
        <v>1780.09</v>
      </c>
      <c r="AY426" s="113">
        <v>1540.1299999999901</v>
      </c>
      <c r="AZ426" s="113">
        <v>537.229999999999</v>
      </c>
    </row>
    <row r="427" spans="1:52" x14ac:dyDescent="0.25">
      <c r="A427" s="101" t="s">
        <v>814</v>
      </c>
      <c r="B427" s="102" t="s">
        <v>857</v>
      </c>
      <c r="C427" s="102"/>
      <c r="D427" s="102" t="s">
        <v>1048</v>
      </c>
      <c r="E427" s="103">
        <v>0.65941639813820174</v>
      </c>
      <c r="F427" s="104">
        <v>1000</v>
      </c>
      <c r="G427" s="105">
        <f t="shared" si="164"/>
        <v>500</v>
      </c>
      <c r="H427" s="105">
        <v>7298</v>
      </c>
      <c r="I427" s="106">
        <f t="shared" si="165"/>
        <v>6.8511921074266929E-2</v>
      </c>
      <c r="J427" s="86">
        <v>0</v>
      </c>
      <c r="K427" s="86">
        <v>0</v>
      </c>
      <c r="L427" s="86">
        <v>0</v>
      </c>
      <c r="M427" s="86">
        <v>0</v>
      </c>
      <c r="N427" s="86">
        <v>0</v>
      </c>
      <c r="O427" s="90">
        <v>2193</v>
      </c>
      <c r="P427" s="86"/>
      <c r="Q427" s="87"/>
      <c r="R427" s="87"/>
      <c r="S427" s="88"/>
      <c r="T427" s="89"/>
      <c r="U427" s="89">
        <f t="shared" si="166"/>
        <v>1446.1001611170764</v>
      </c>
      <c r="V427" s="86"/>
      <c r="W427" s="87"/>
      <c r="X427" s="87"/>
      <c r="Y427" s="87"/>
      <c r="Z427" s="90"/>
      <c r="AA427" s="90"/>
      <c r="AB427" s="91">
        <f t="shared" si="167"/>
        <v>0</v>
      </c>
      <c r="AC427" s="91">
        <f t="shared" si="168"/>
        <v>0</v>
      </c>
      <c r="AD427" s="91">
        <f t="shared" si="169"/>
        <v>0</v>
      </c>
      <c r="AE427" s="91">
        <f t="shared" si="170"/>
        <v>0</v>
      </c>
      <c r="AF427" s="91">
        <f t="shared" si="171"/>
        <v>0</v>
      </c>
      <c r="AG427" s="91">
        <f t="shared" si="172"/>
        <v>0</v>
      </c>
      <c r="AH427" s="92"/>
      <c r="AI427" s="93"/>
      <c r="AJ427" s="93"/>
      <c r="AK427" s="93"/>
      <c r="AL427" s="94"/>
      <c r="AM427" s="94"/>
      <c r="AN427" s="94" t="s">
        <v>780</v>
      </c>
      <c r="AO427" s="111">
        <v>2929</v>
      </c>
      <c r="AP427" s="112">
        <v>44801.599999999999</v>
      </c>
      <c r="AQ427" s="112">
        <v>174337.90999999997</v>
      </c>
      <c r="AR427" s="112">
        <v>156581.09000000003</v>
      </c>
      <c r="AS427" s="113">
        <v>94974.99</v>
      </c>
      <c r="AT427" s="113">
        <v>62235.11</v>
      </c>
      <c r="AU427" s="111">
        <v>102522.77</v>
      </c>
      <c r="AV427" s="112">
        <v>72143.239999999889</v>
      </c>
      <c r="AW427" s="112">
        <v>47335.839999999902</v>
      </c>
      <c r="AX427" s="112">
        <v>90101.869999999501</v>
      </c>
      <c r="AY427" s="113">
        <v>155264.05000000101</v>
      </c>
      <c r="AZ427" s="113">
        <v>106686.37</v>
      </c>
    </row>
    <row r="428" spans="1:52" x14ac:dyDescent="0.25">
      <c r="A428" s="101" t="s">
        <v>586</v>
      </c>
      <c r="B428" s="102" t="s">
        <v>587</v>
      </c>
      <c r="C428" s="102"/>
      <c r="D428" s="102" t="s">
        <v>1048</v>
      </c>
      <c r="E428" s="103">
        <v>0.65000000000000036</v>
      </c>
      <c r="F428" s="104">
        <v>605.20000000000005</v>
      </c>
      <c r="G428" s="105">
        <f t="shared" si="164"/>
        <v>302.60000000000002</v>
      </c>
      <c r="H428" s="105">
        <v>812</v>
      </c>
      <c r="I428" s="106">
        <f t="shared" si="165"/>
        <v>0.37266009852216753</v>
      </c>
      <c r="J428" s="86">
        <v>1432</v>
      </c>
      <c r="K428" s="87">
        <v>0</v>
      </c>
      <c r="L428" s="87">
        <v>0</v>
      </c>
      <c r="M428" s="87">
        <v>0</v>
      </c>
      <c r="N428" s="90"/>
      <c r="O428" s="90">
        <v>0</v>
      </c>
      <c r="P428" s="86">
        <f t="shared" ref="P428:P472" si="183">+J428*E428</f>
        <v>930.80000000000052</v>
      </c>
      <c r="Q428" s="87">
        <f t="shared" ref="Q428:Q472" si="184">+K428*E428</f>
        <v>0</v>
      </c>
      <c r="R428" s="87">
        <f t="shared" ref="R428:R472" si="185">+L428*E428</f>
        <v>0</v>
      </c>
      <c r="S428" s="88">
        <f t="shared" ref="S428:S472" si="186">+M428*E428</f>
        <v>0</v>
      </c>
      <c r="T428" s="89">
        <f t="shared" ref="T428:T472" si="187">+N428*E428</f>
        <v>0</v>
      </c>
      <c r="U428" s="89">
        <f t="shared" si="166"/>
        <v>0</v>
      </c>
      <c r="V428" s="86">
        <v>314</v>
      </c>
      <c r="W428" s="87">
        <v>310</v>
      </c>
      <c r="X428" s="87">
        <v>289</v>
      </c>
      <c r="Y428" s="87">
        <v>310</v>
      </c>
      <c r="Z428" s="90">
        <v>290</v>
      </c>
      <c r="AA428" s="90">
        <v>327</v>
      </c>
      <c r="AB428" s="91">
        <f t="shared" si="167"/>
        <v>0.38669950738916259</v>
      </c>
      <c r="AC428" s="91">
        <f t="shared" si="168"/>
        <v>0.3817733990147783</v>
      </c>
      <c r="AD428" s="91">
        <f t="shared" si="169"/>
        <v>0.35591133004926107</v>
      </c>
      <c r="AE428" s="91">
        <f t="shared" si="170"/>
        <v>0.3817733990147783</v>
      </c>
      <c r="AF428" s="91">
        <f t="shared" si="171"/>
        <v>0.35714285714285715</v>
      </c>
      <c r="AG428" s="91">
        <f t="shared" si="172"/>
        <v>0.40270935960591131</v>
      </c>
      <c r="AH428" s="92">
        <v>2232.4699999999998</v>
      </c>
      <c r="AI428" s="93">
        <v>1586.239999999998</v>
      </c>
      <c r="AJ428" s="93">
        <v>1586.2399999999977</v>
      </c>
      <c r="AK428" s="93">
        <v>1039.8199999999997</v>
      </c>
      <c r="AL428" s="94">
        <v>632.11999999999796</v>
      </c>
      <c r="AM428" s="94">
        <v>181.79</v>
      </c>
      <c r="AN428" s="94" t="s">
        <v>780</v>
      </c>
      <c r="AO428" s="111">
        <v>17366.850000000002</v>
      </c>
      <c r="AP428" s="112">
        <v>0</v>
      </c>
      <c r="AQ428" s="112">
        <v>0</v>
      </c>
      <c r="AR428" s="112">
        <v>0</v>
      </c>
      <c r="AS428" s="113">
        <v>0</v>
      </c>
      <c r="AT428" s="113">
        <v>0</v>
      </c>
      <c r="AU428" s="111">
        <v>5735.1</v>
      </c>
      <c r="AV428" s="112">
        <v>5175.1399999999949</v>
      </c>
      <c r="AW428" s="112">
        <v>4401.349999999994</v>
      </c>
      <c r="AX428" s="112">
        <v>4248.76</v>
      </c>
      <c r="AY428" s="113">
        <v>3624.62</v>
      </c>
      <c r="AZ428" s="113">
        <v>4002.9699999999898</v>
      </c>
    </row>
    <row r="429" spans="1:52" x14ac:dyDescent="0.25">
      <c r="A429" s="101" t="s">
        <v>1024</v>
      </c>
      <c r="B429" s="102" t="s">
        <v>465</v>
      </c>
      <c r="C429" s="102"/>
      <c r="D429" s="102" t="s">
        <v>1048</v>
      </c>
      <c r="E429" s="103">
        <v>0.64999999999999947</v>
      </c>
      <c r="F429" s="104">
        <v>3000</v>
      </c>
      <c r="G429" s="105">
        <f t="shared" si="164"/>
        <v>1500</v>
      </c>
      <c r="H429" s="105">
        <v>68433</v>
      </c>
      <c r="I429" s="106">
        <f t="shared" si="165"/>
        <v>2.1919249484897638E-2</v>
      </c>
      <c r="J429" s="86">
        <v>197</v>
      </c>
      <c r="K429" s="87">
        <v>0</v>
      </c>
      <c r="L429" s="87">
        <v>0</v>
      </c>
      <c r="M429" s="87">
        <v>99</v>
      </c>
      <c r="N429" s="90"/>
      <c r="O429" s="90">
        <v>72</v>
      </c>
      <c r="P429" s="86">
        <f t="shared" si="183"/>
        <v>128.0499999999999</v>
      </c>
      <c r="Q429" s="87">
        <f t="shared" si="184"/>
        <v>0</v>
      </c>
      <c r="R429" s="87">
        <f t="shared" si="185"/>
        <v>0</v>
      </c>
      <c r="S429" s="88">
        <f t="shared" si="186"/>
        <v>64.349999999999952</v>
      </c>
      <c r="T429" s="89">
        <f t="shared" si="187"/>
        <v>0</v>
      </c>
      <c r="U429" s="89">
        <f t="shared" si="166"/>
        <v>46.799999999999962</v>
      </c>
      <c r="V429" s="86">
        <v>500</v>
      </c>
      <c r="W429" s="87">
        <v>195</v>
      </c>
      <c r="X429" s="87">
        <v>498</v>
      </c>
      <c r="Y429" s="87">
        <v>0</v>
      </c>
      <c r="Z429" s="90">
        <v>93</v>
      </c>
      <c r="AA429" s="90">
        <v>0</v>
      </c>
      <c r="AB429" s="91">
        <f t="shared" si="167"/>
        <v>7.3064164949658787E-3</v>
      </c>
      <c r="AC429" s="91">
        <f t="shared" si="168"/>
        <v>2.8495024330366927E-3</v>
      </c>
      <c r="AD429" s="91">
        <f t="shared" si="169"/>
        <v>7.2771908289860155E-3</v>
      </c>
      <c r="AE429" s="91">
        <f t="shared" si="170"/>
        <v>0</v>
      </c>
      <c r="AF429" s="91">
        <f t="shared" si="171"/>
        <v>1.3589934680636536E-3</v>
      </c>
      <c r="AG429" s="91">
        <f t="shared" si="172"/>
        <v>0</v>
      </c>
      <c r="AH429" s="92">
        <v>94.74</v>
      </c>
      <c r="AI429" s="93">
        <v>155.42000000000002</v>
      </c>
      <c r="AJ429" s="93">
        <v>155.42000000000002</v>
      </c>
      <c r="AK429" s="93">
        <v>282.27999999999997</v>
      </c>
      <c r="AL429" s="94">
        <v>60.449999999999953</v>
      </c>
      <c r="AM429" s="94">
        <v>0</v>
      </c>
      <c r="AN429" s="94" t="s">
        <v>780</v>
      </c>
      <c r="AO429" s="111">
        <v>1298.23</v>
      </c>
      <c r="AP429" s="112">
        <v>0</v>
      </c>
      <c r="AQ429" s="112">
        <v>0</v>
      </c>
      <c r="AR429" s="112">
        <v>630.63</v>
      </c>
      <c r="AS429" s="113">
        <v>0</v>
      </c>
      <c r="AT429" s="113">
        <v>459.36</v>
      </c>
      <c r="AU429" s="111">
        <v>0</v>
      </c>
      <c r="AV429" s="112">
        <v>0</v>
      </c>
      <c r="AW429" s="112">
        <v>0</v>
      </c>
      <c r="AX429" s="112">
        <v>0</v>
      </c>
      <c r="AY429" s="113">
        <v>0</v>
      </c>
      <c r="AZ429" s="113">
        <v>0</v>
      </c>
    </row>
    <row r="430" spans="1:52" x14ac:dyDescent="0.25">
      <c r="A430" s="101" t="s">
        <v>471</v>
      </c>
      <c r="B430" s="102" t="s">
        <v>472</v>
      </c>
      <c r="C430" s="102"/>
      <c r="D430" s="102" t="s">
        <v>1048</v>
      </c>
      <c r="E430" s="103">
        <v>0.64000000000000057</v>
      </c>
      <c r="F430" s="104">
        <v>400</v>
      </c>
      <c r="G430" s="105">
        <f t="shared" si="164"/>
        <v>200</v>
      </c>
      <c r="H430" s="105">
        <v>5357</v>
      </c>
      <c r="I430" s="106">
        <f t="shared" si="165"/>
        <v>3.7334328915437746E-2</v>
      </c>
      <c r="J430" s="86">
        <v>200</v>
      </c>
      <c r="K430" s="87">
        <v>0</v>
      </c>
      <c r="L430" s="87">
        <v>0</v>
      </c>
      <c r="M430" s="87">
        <v>0</v>
      </c>
      <c r="N430" s="90"/>
      <c r="O430" s="90">
        <v>0</v>
      </c>
      <c r="P430" s="86">
        <f t="shared" si="183"/>
        <v>128.00000000000011</v>
      </c>
      <c r="Q430" s="87">
        <f t="shared" si="184"/>
        <v>0</v>
      </c>
      <c r="R430" s="87">
        <f t="shared" si="185"/>
        <v>0</v>
      </c>
      <c r="S430" s="88">
        <f t="shared" si="186"/>
        <v>0</v>
      </c>
      <c r="T430" s="89">
        <f t="shared" si="187"/>
        <v>0</v>
      </c>
      <c r="U430" s="89">
        <f t="shared" si="166"/>
        <v>0</v>
      </c>
      <c r="V430" s="86">
        <v>-16</v>
      </c>
      <c r="W430" s="87">
        <v>0</v>
      </c>
      <c r="X430" s="87">
        <v>0</v>
      </c>
      <c r="Y430" s="87">
        <v>0</v>
      </c>
      <c r="Z430" s="90">
        <v>61</v>
      </c>
      <c r="AA430" s="90">
        <v>52</v>
      </c>
      <c r="AB430" s="91">
        <f t="shared" si="167"/>
        <v>-2.9867463132350197E-3</v>
      </c>
      <c r="AC430" s="91">
        <f t="shared" si="168"/>
        <v>0</v>
      </c>
      <c r="AD430" s="91">
        <f t="shared" si="169"/>
        <v>0</v>
      </c>
      <c r="AE430" s="91">
        <f t="shared" si="170"/>
        <v>0</v>
      </c>
      <c r="AF430" s="91">
        <f t="shared" si="171"/>
        <v>1.1386970319208512E-2</v>
      </c>
      <c r="AG430" s="91">
        <f t="shared" si="172"/>
        <v>9.7069255180138141E-3</v>
      </c>
      <c r="AH430" s="92">
        <v>5.08</v>
      </c>
      <c r="AI430" s="93">
        <v>0</v>
      </c>
      <c r="AJ430" s="93">
        <v>0</v>
      </c>
      <c r="AK430" s="93">
        <v>0</v>
      </c>
      <c r="AL430" s="94">
        <v>39.040000000000035</v>
      </c>
      <c r="AM430" s="94">
        <v>40.950000000000003</v>
      </c>
      <c r="AN430" s="94" t="s">
        <v>780</v>
      </c>
      <c r="AO430" s="111">
        <v>1250.5</v>
      </c>
      <c r="AP430" s="112">
        <v>0</v>
      </c>
      <c r="AQ430" s="112">
        <v>0</v>
      </c>
      <c r="AR430" s="112">
        <v>0</v>
      </c>
      <c r="AS430" s="113">
        <v>0</v>
      </c>
      <c r="AT430" s="113">
        <v>0</v>
      </c>
      <c r="AU430" s="111">
        <v>-102.72</v>
      </c>
      <c r="AV430" s="112">
        <v>0</v>
      </c>
      <c r="AW430" s="112">
        <v>0</v>
      </c>
      <c r="AX430" s="112">
        <v>0</v>
      </c>
      <c r="AY430" s="113">
        <v>520.33999999999901</v>
      </c>
      <c r="AZ430" s="113">
        <v>379.469999999999</v>
      </c>
    </row>
    <row r="431" spans="1:52" x14ac:dyDescent="0.25">
      <c r="A431" s="101" t="s">
        <v>1025</v>
      </c>
      <c r="B431" s="102" t="s">
        <v>347</v>
      </c>
      <c r="C431" s="102"/>
      <c r="D431" s="102" t="s">
        <v>1048</v>
      </c>
      <c r="E431" s="103">
        <v>0.61999999999999966</v>
      </c>
      <c r="F431" s="104">
        <v>4000</v>
      </c>
      <c r="G431" s="105">
        <f t="shared" si="164"/>
        <v>2000</v>
      </c>
      <c r="H431" s="105">
        <v>3658</v>
      </c>
      <c r="I431" s="106">
        <f t="shared" si="165"/>
        <v>0.54674685620557684</v>
      </c>
      <c r="J431" s="86">
        <v>898</v>
      </c>
      <c r="K431" s="87">
        <v>350</v>
      </c>
      <c r="L431" s="87">
        <v>352</v>
      </c>
      <c r="M431" s="87">
        <v>0</v>
      </c>
      <c r="N431" s="90">
        <v>370</v>
      </c>
      <c r="O431" s="90">
        <v>2233</v>
      </c>
      <c r="P431" s="86">
        <f t="shared" si="183"/>
        <v>556.75999999999965</v>
      </c>
      <c r="Q431" s="87">
        <f t="shared" si="184"/>
        <v>216.99999999999989</v>
      </c>
      <c r="R431" s="87">
        <f t="shared" si="185"/>
        <v>218.2399999999999</v>
      </c>
      <c r="S431" s="88">
        <f t="shared" si="186"/>
        <v>0</v>
      </c>
      <c r="T431" s="89">
        <f t="shared" si="187"/>
        <v>229.39999999999986</v>
      </c>
      <c r="U431" s="89">
        <f t="shared" si="166"/>
        <v>1384.4599999999994</v>
      </c>
      <c r="V431" s="86">
        <v>2507</v>
      </c>
      <c r="W431" s="87">
        <v>1153</v>
      </c>
      <c r="X431" s="87">
        <v>2895</v>
      </c>
      <c r="Y431" s="87">
        <v>1310</v>
      </c>
      <c r="Z431" s="90">
        <v>2002</v>
      </c>
      <c r="AA431" s="90">
        <v>822</v>
      </c>
      <c r="AB431" s="91">
        <f t="shared" si="167"/>
        <v>0.68534718425369057</v>
      </c>
      <c r="AC431" s="91">
        <f t="shared" si="168"/>
        <v>0.31519956260251503</v>
      </c>
      <c r="AD431" s="91">
        <f t="shared" si="169"/>
        <v>0.79141607435757244</v>
      </c>
      <c r="AE431" s="91">
        <f t="shared" si="170"/>
        <v>0.35811919081465282</v>
      </c>
      <c r="AF431" s="91">
        <f t="shared" si="171"/>
        <v>0.54729360306178243</v>
      </c>
      <c r="AG431" s="91">
        <f t="shared" si="172"/>
        <v>0.22471295790049206</v>
      </c>
      <c r="AH431" s="92">
        <v>614.88000000000022</v>
      </c>
      <c r="AI431" s="93">
        <v>712.70999999999947</v>
      </c>
      <c r="AJ431" s="93">
        <v>712.70999999999935</v>
      </c>
      <c r="AK431" s="93">
        <v>1790.8699999999974</v>
      </c>
      <c r="AL431" s="94">
        <v>581.86000000000297</v>
      </c>
      <c r="AM431" s="94">
        <v>467.87000000000103</v>
      </c>
      <c r="AN431" s="94" t="s">
        <v>779</v>
      </c>
      <c r="AO431" s="111">
        <v>2963.4</v>
      </c>
      <c r="AP431" s="112">
        <v>1155.5</v>
      </c>
      <c r="AQ431" s="112">
        <v>1122.8800000000001</v>
      </c>
      <c r="AR431" s="112">
        <v>0</v>
      </c>
      <c r="AS431" s="113">
        <v>1172.9000000000001</v>
      </c>
      <c r="AT431" s="113">
        <v>7201.6200000000008</v>
      </c>
      <c r="AU431" s="111">
        <v>0</v>
      </c>
      <c r="AV431" s="112">
        <v>0</v>
      </c>
      <c r="AW431" s="112">
        <v>0</v>
      </c>
      <c r="AX431" s="112">
        <v>0</v>
      </c>
      <c r="AY431" s="113">
        <v>0</v>
      </c>
      <c r="AZ431" s="113">
        <v>0</v>
      </c>
    </row>
    <row r="432" spans="1:52" x14ac:dyDescent="0.25">
      <c r="A432" s="101" t="s">
        <v>1026</v>
      </c>
      <c r="B432" s="102" t="s">
        <v>374</v>
      </c>
      <c r="C432" s="102"/>
      <c r="D432" s="102" t="s">
        <v>1048</v>
      </c>
      <c r="E432" s="103">
        <v>0.61000000000000032</v>
      </c>
      <c r="F432" s="104">
        <v>1200</v>
      </c>
      <c r="G432" s="105">
        <f t="shared" si="164"/>
        <v>600</v>
      </c>
      <c r="H432" s="105">
        <v>3107</v>
      </c>
      <c r="I432" s="106">
        <f t="shared" si="165"/>
        <v>0.19311232700354039</v>
      </c>
      <c r="J432" s="86">
        <v>45</v>
      </c>
      <c r="K432" s="87">
        <v>59</v>
      </c>
      <c r="L432" s="87">
        <v>162</v>
      </c>
      <c r="M432" s="87">
        <v>323</v>
      </c>
      <c r="N432" s="90">
        <v>354</v>
      </c>
      <c r="O432" s="90">
        <v>270</v>
      </c>
      <c r="P432" s="86">
        <f t="shared" si="183"/>
        <v>27.450000000000014</v>
      </c>
      <c r="Q432" s="87">
        <f t="shared" si="184"/>
        <v>35.990000000000016</v>
      </c>
      <c r="R432" s="87">
        <f t="shared" si="185"/>
        <v>98.82000000000005</v>
      </c>
      <c r="S432" s="88">
        <f t="shared" si="186"/>
        <v>197.03000000000011</v>
      </c>
      <c r="T432" s="89">
        <f t="shared" si="187"/>
        <v>215.94000000000011</v>
      </c>
      <c r="U432" s="89">
        <f t="shared" si="166"/>
        <v>164.70000000000007</v>
      </c>
      <c r="V432" s="86">
        <v>199</v>
      </c>
      <c r="W432" s="87">
        <v>0</v>
      </c>
      <c r="X432" s="87">
        <v>101</v>
      </c>
      <c r="Y432" s="87">
        <v>176</v>
      </c>
      <c r="Z432" s="90">
        <v>298</v>
      </c>
      <c r="AA432" s="90">
        <v>353</v>
      </c>
      <c r="AB432" s="91">
        <f t="shared" si="167"/>
        <v>6.4048921789507565E-2</v>
      </c>
      <c r="AC432" s="91">
        <f t="shared" si="168"/>
        <v>0</v>
      </c>
      <c r="AD432" s="91">
        <f t="shared" si="169"/>
        <v>3.250724171226263E-2</v>
      </c>
      <c r="AE432" s="91">
        <f t="shared" si="170"/>
        <v>5.6646282587705182E-2</v>
      </c>
      <c r="AF432" s="91">
        <f t="shared" si="171"/>
        <v>9.5912455745091732E-2</v>
      </c>
      <c r="AG432" s="91">
        <f t="shared" si="172"/>
        <v>0.1136144190537496</v>
      </c>
      <c r="AH432" s="92">
        <v>103.75</v>
      </c>
      <c r="AI432" s="93">
        <v>0</v>
      </c>
      <c r="AJ432" s="93">
        <v>61.610000000000035</v>
      </c>
      <c r="AK432" s="93">
        <v>49.719999999999992</v>
      </c>
      <c r="AL432" s="94">
        <v>65.38</v>
      </c>
      <c r="AM432" s="94">
        <v>271.22000000000003</v>
      </c>
      <c r="AN432" s="94" t="s">
        <v>779</v>
      </c>
      <c r="AO432" s="111">
        <v>164.7</v>
      </c>
      <c r="AP432" s="112">
        <v>211.22</v>
      </c>
      <c r="AQ432" s="112">
        <v>579.26</v>
      </c>
      <c r="AR432" s="112">
        <v>1156.3500000000001</v>
      </c>
      <c r="AS432" s="113">
        <v>1273.3899999999999</v>
      </c>
      <c r="AT432" s="113">
        <v>976.86999999999989</v>
      </c>
      <c r="AU432" s="111">
        <v>0</v>
      </c>
      <c r="AV432" s="112">
        <v>0</v>
      </c>
      <c r="AW432" s="112">
        <v>0</v>
      </c>
      <c r="AX432" s="112">
        <v>0</v>
      </c>
      <c r="AY432" s="113">
        <v>0</v>
      </c>
      <c r="AZ432" s="113">
        <v>0</v>
      </c>
    </row>
    <row r="433" spans="1:52" x14ac:dyDescent="0.25">
      <c r="A433" s="101" t="s">
        <v>314</v>
      </c>
      <c r="B433" s="102" t="s">
        <v>315</v>
      </c>
      <c r="C433" s="102"/>
      <c r="D433" s="102" t="s">
        <v>1048</v>
      </c>
      <c r="E433" s="103">
        <v>0.59999999999999964</v>
      </c>
      <c r="F433" s="104">
        <v>1000</v>
      </c>
      <c r="G433" s="105">
        <f t="shared" si="164"/>
        <v>500</v>
      </c>
      <c r="H433" s="105">
        <v>4290</v>
      </c>
      <c r="I433" s="106">
        <f t="shared" si="165"/>
        <v>0.11655011655011654</v>
      </c>
      <c r="J433" s="86">
        <v>0</v>
      </c>
      <c r="K433" s="87">
        <v>0</v>
      </c>
      <c r="L433" s="87">
        <v>551</v>
      </c>
      <c r="M433" s="87">
        <v>420</v>
      </c>
      <c r="N433" s="90">
        <v>500</v>
      </c>
      <c r="O433" s="90">
        <v>100</v>
      </c>
      <c r="P433" s="86">
        <f t="shared" si="183"/>
        <v>0</v>
      </c>
      <c r="Q433" s="87">
        <f t="shared" si="184"/>
        <v>0</v>
      </c>
      <c r="R433" s="87">
        <f t="shared" si="185"/>
        <v>330.5999999999998</v>
      </c>
      <c r="S433" s="88">
        <f t="shared" si="186"/>
        <v>251.99999999999986</v>
      </c>
      <c r="T433" s="89">
        <f t="shared" si="187"/>
        <v>299.99999999999983</v>
      </c>
      <c r="U433" s="89">
        <f t="shared" si="166"/>
        <v>59.999999999999964</v>
      </c>
      <c r="V433" s="86">
        <v>183</v>
      </c>
      <c r="W433" s="87">
        <v>0</v>
      </c>
      <c r="X433" s="87">
        <v>0</v>
      </c>
      <c r="Y433" s="87">
        <v>524</v>
      </c>
      <c r="Z433" s="90">
        <v>347</v>
      </c>
      <c r="AA433" s="90">
        <v>589</v>
      </c>
      <c r="AB433" s="91">
        <f t="shared" si="167"/>
        <v>4.265734265734266E-2</v>
      </c>
      <c r="AC433" s="91">
        <f t="shared" si="168"/>
        <v>0</v>
      </c>
      <c r="AD433" s="91">
        <f t="shared" si="169"/>
        <v>0</v>
      </c>
      <c r="AE433" s="91">
        <f t="shared" si="170"/>
        <v>0.12214452214452215</v>
      </c>
      <c r="AF433" s="91">
        <f t="shared" si="171"/>
        <v>8.0885780885780884E-2</v>
      </c>
      <c r="AG433" s="91">
        <f t="shared" si="172"/>
        <v>0.13729603729603729</v>
      </c>
      <c r="AH433" s="92">
        <v>80.27</v>
      </c>
      <c r="AI433" s="93">
        <v>0</v>
      </c>
      <c r="AJ433" s="93">
        <v>0</v>
      </c>
      <c r="AK433" s="93">
        <v>314.39999999999981</v>
      </c>
      <c r="AL433" s="94">
        <v>367.26999999999902</v>
      </c>
      <c r="AM433" s="94">
        <v>354.9</v>
      </c>
      <c r="AN433" s="94" t="s">
        <v>779</v>
      </c>
      <c r="AO433" s="111">
        <v>0</v>
      </c>
      <c r="AP433" s="112">
        <v>0</v>
      </c>
      <c r="AQ433" s="112">
        <v>1580.42</v>
      </c>
      <c r="AR433" s="112">
        <v>1113</v>
      </c>
      <c r="AS433" s="113">
        <v>1320</v>
      </c>
      <c r="AT433" s="113">
        <v>261</v>
      </c>
      <c r="AU433" s="111">
        <v>629.27</v>
      </c>
      <c r="AV433" s="112">
        <v>0</v>
      </c>
      <c r="AW433" s="112">
        <v>0</v>
      </c>
      <c r="AX433" s="112">
        <v>1872.6299999999901</v>
      </c>
      <c r="AY433" s="113">
        <v>1200.4100000000001</v>
      </c>
      <c r="AZ433" s="113">
        <v>1921.6399999999901</v>
      </c>
    </row>
    <row r="434" spans="1:52" x14ac:dyDescent="0.25">
      <c r="A434" s="101" t="s">
        <v>1027</v>
      </c>
      <c r="B434" s="102" t="s">
        <v>672</v>
      </c>
      <c r="C434" s="102"/>
      <c r="D434" s="102" t="s">
        <v>1048</v>
      </c>
      <c r="E434" s="103">
        <v>0.58999999999999986</v>
      </c>
      <c r="F434" s="104">
        <v>2000</v>
      </c>
      <c r="G434" s="105">
        <f t="shared" si="164"/>
        <v>1000</v>
      </c>
      <c r="H434" s="105">
        <v>9330</v>
      </c>
      <c r="I434" s="106">
        <f t="shared" si="165"/>
        <v>0.10718113612004287</v>
      </c>
      <c r="J434" s="86">
        <v>399</v>
      </c>
      <c r="K434" s="87">
        <v>747</v>
      </c>
      <c r="L434" s="87">
        <v>620</v>
      </c>
      <c r="M434" s="87">
        <v>161</v>
      </c>
      <c r="N434" s="90">
        <v>156</v>
      </c>
      <c r="O434" s="90">
        <v>243</v>
      </c>
      <c r="P434" s="86">
        <f t="shared" si="183"/>
        <v>235.40999999999994</v>
      </c>
      <c r="Q434" s="87">
        <f t="shared" si="184"/>
        <v>440.7299999999999</v>
      </c>
      <c r="R434" s="87">
        <f t="shared" si="185"/>
        <v>365.7999999999999</v>
      </c>
      <c r="S434" s="88">
        <f t="shared" si="186"/>
        <v>94.989999999999981</v>
      </c>
      <c r="T434" s="89">
        <f t="shared" si="187"/>
        <v>92.039999999999978</v>
      </c>
      <c r="U434" s="89">
        <f t="shared" si="166"/>
        <v>143.36999999999998</v>
      </c>
      <c r="V434" s="86">
        <v>196</v>
      </c>
      <c r="W434" s="87">
        <v>429</v>
      </c>
      <c r="X434" s="87">
        <v>932</v>
      </c>
      <c r="Y434" s="87">
        <v>541</v>
      </c>
      <c r="Z434" s="90">
        <v>405</v>
      </c>
      <c r="AA434" s="90">
        <v>373</v>
      </c>
      <c r="AB434" s="91">
        <f t="shared" si="167"/>
        <v>2.1007502679528403E-2</v>
      </c>
      <c r="AC434" s="91">
        <f t="shared" si="168"/>
        <v>4.5980707395498394E-2</v>
      </c>
      <c r="AD434" s="91">
        <f t="shared" si="169"/>
        <v>9.9892818863879962E-2</v>
      </c>
      <c r="AE434" s="91">
        <f t="shared" si="170"/>
        <v>5.7984994640943192E-2</v>
      </c>
      <c r="AF434" s="91">
        <f t="shared" si="171"/>
        <v>4.3408360128617367E-2</v>
      </c>
      <c r="AG434" s="91">
        <f t="shared" si="172"/>
        <v>3.9978563772775991E-2</v>
      </c>
      <c r="AH434" s="92">
        <v>336.64</v>
      </c>
      <c r="AI434" s="93">
        <v>559.30999999999904</v>
      </c>
      <c r="AJ434" s="93">
        <v>559.30999999999904</v>
      </c>
      <c r="AK434" s="93">
        <v>1467.2699999999991</v>
      </c>
      <c r="AL434" s="94">
        <v>832.33</v>
      </c>
      <c r="AM434" s="94">
        <v>225.74</v>
      </c>
      <c r="AN434" s="94" t="s">
        <v>780</v>
      </c>
      <c r="AO434" s="111">
        <v>9769.5</v>
      </c>
      <c r="AP434" s="112">
        <v>18539.91</v>
      </c>
      <c r="AQ434" s="112">
        <v>14590.82</v>
      </c>
      <c r="AR434" s="112">
        <v>3924.74</v>
      </c>
      <c r="AS434" s="113">
        <v>3808.26</v>
      </c>
      <c r="AT434" s="113">
        <v>5921.6900000000005</v>
      </c>
      <c r="AU434" s="111">
        <v>0</v>
      </c>
      <c r="AV434" s="112">
        <v>0</v>
      </c>
      <c r="AW434" s="112">
        <v>0</v>
      </c>
      <c r="AX434" s="112">
        <v>0</v>
      </c>
      <c r="AY434" s="113">
        <v>0</v>
      </c>
      <c r="AZ434" s="113">
        <v>0</v>
      </c>
    </row>
    <row r="435" spans="1:52" x14ac:dyDescent="0.25">
      <c r="A435" s="101" t="s">
        <v>302</v>
      </c>
      <c r="B435" s="102" t="s">
        <v>303</v>
      </c>
      <c r="C435" s="102"/>
      <c r="D435" s="102" t="s">
        <v>1048</v>
      </c>
      <c r="E435" s="103">
        <v>0.58000000000000007</v>
      </c>
      <c r="F435" s="104">
        <v>10000</v>
      </c>
      <c r="G435" s="105">
        <f t="shared" si="164"/>
        <v>5000</v>
      </c>
      <c r="H435" s="105">
        <v>34578</v>
      </c>
      <c r="I435" s="106">
        <f t="shared" si="165"/>
        <v>0.14460061310659958</v>
      </c>
      <c r="J435" s="86">
        <v>2540</v>
      </c>
      <c r="K435" s="87">
        <v>2860</v>
      </c>
      <c r="L435" s="87">
        <v>3030</v>
      </c>
      <c r="M435" s="87">
        <v>2397</v>
      </c>
      <c r="N435" s="90">
        <v>1810</v>
      </c>
      <c r="O435" s="90">
        <v>1862</v>
      </c>
      <c r="P435" s="86">
        <f t="shared" si="183"/>
        <v>1473.2000000000003</v>
      </c>
      <c r="Q435" s="87">
        <f t="shared" si="184"/>
        <v>1658.8000000000002</v>
      </c>
      <c r="R435" s="87">
        <f t="shared" si="185"/>
        <v>1757.4000000000003</v>
      </c>
      <c r="S435" s="88">
        <f t="shared" si="186"/>
        <v>1390.2600000000002</v>
      </c>
      <c r="T435" s="89">
        <f t="shared" si="187"/>
        <v>1049.8000000000002</v>
      </c>
      <c r="U435" s="89">
        <f t="shared" si="166"/>
        <v>1079.96</v>
      </c>
      <c r="V435" s="86">
        <v>1758</v>
      </c>
      <c r="W435" s="87">
        <v>2661</v>
      </c>
      <c r="X435" s="87">
        <v>3833</v>
      </c>
      <c r="Y435" s="87">
        <v>3492</v>
      </c>
      <c r="Z435" s="90">
        <v>2081</v>
      </c>
      <c r="AA435" s="90">
        <v>2553</v>
      </c>
      <c r="AB435" s="91">
        <f t="shared" si="167"/>
        <v>5.0841575568280409E-2</v>
      </c>
      <c r="AC435" s="91">
        <f t="shared" si="168"/>
        <v>7.6956446295332298E-2</v>
      </c>
      <c r="AD435" s="91">
        <f t="shared" si="169"/>
        <v>0.11085083000751923</v>
      </c>
      <c r="AE435" s="91">
        <f t="shared" si="170"/>
        <v>0.10098906819364914</v>
      </c>
      <c r="AF435" s="91">
        <f t="shared" si="171"/>
        <v>6.0182775174966743E-2</v>
      </c>
      <c r="AG435" s="91">
        <f t="shared" si="172"/>
        <v>7.3833073052229747E-2</v>
      </c>
      <c r="AH435" s="92">
        <v>1823.52</v>
      </c>
      <c r="AI435" s="93">
        <v>1665.17</v>
      </c>
      <c r="AJ435" s="93">
        <v>1665.17</v>
      </c>
      <c r="AK435" s="93">
        <v>2592.8399999999983</v>
      </c>
      <c r="AL435" s="94">
        <v>1852.77999999999</v>
      </c>
      <c r="AM435" s="94">
        <v>639.79999999999995</v>
      </c>
      <c r="AN435" s="94" t="s">
        <v>779</v>
      </c>
      <c r="AO435" s="111">
        <v>6420.2999999999993</v>
      </c>
      <c r="AP435" s="112">
        <v>7991.8</v>
      </c>
      <c r="AQ435" s="112">
        <v>7959.9</v>
      </c>
      <c r="AR435" s="112">
        <v>6161.43</v>
      </c>
      <c r="AS435" s="113">
        <v>4680.3999999999996</v>
      </c>
      <c r="AT435" s="113">
        <v>4729.4799999999996</v>
      </c>
      <c r="AU435" s="111">
        <v>5427.42</v>
      </c>
      <c r="AV435" s="112">
        <v>8587.3700000000008</v>
      </c>
      <c r="AW435" s="112">
        <v>13400.40999999998</v>
      </c>
      <c r="AX435" s="112">
        <v>11150.18</v>
      </c>
      <c r="AY435" s="113">
        <v>6357.0199999999904</v>
      </c>
      <c r="AZ435" s="113">
        <v>7591.46000000001</v>
      </c>
    </row>
    <row r="436" spans="1:52" x14ac:dyDescent="0.25">
      <c r="A436" s="101" t="s">
        <v>267</v>
      </c>
      <c r="B436" s="102" t="s">
        <v>268</v>
      </c>
      <c r="C436" s="102"/>
      <c r="D436" s="102" t="s">
        <v>1048</v>
      </c>
      <c r="E436" s="103">
        <v>0.58000000000000007</v>
      </c>
      <c r="F436" s="104">
        <v>9980.7999999999993</v>
      </c>
      <c r="G436" s="105">
        <f t="shared" si="164"/>
        <v>4990.3999999999996</v>
      </c>
      <c r="H436" s="105">
        <v>25285</v>
      </c>
      <c r="I436" s="106">
        <f t="shared" si="165"/>
        <v>0.19736602728890645</v>
      </c>
      <c r="J436" s="86">
        <v>8626</v>
      </c>
      <c r="K436" s="87">
        <v>998</v>
      </c>
      <c r="L436" s="87">
        <v>0</v>
      </c>
      <c r="M436" s="87">
        <v>3831</v>
      </c>
      <c r="N436" s="90">
        <v>4555</v>
      </c>
      <c r="O436" s="90">
        <v>4199</v>
      </c>
      <c r="P436" s="86">
        <f t="shared" si="183"/>
        <v>5003.0800000000008</v>
      </c>
      <c r="Q436" s="87">
        <f t="shared" si="184"/>
        <v>578.84</v>
      </c>
      <c r="R436" s="87">
        <f t="shared" si="185"/>
        <v>0</v>
      </c>
      <c r="S436" s="88">
        <f t="shared" si="186"/>
        <v>2221.9800000000005</v>
      </c>
      <c r="T436" s="89">
        <f t="shared" si="187"/>
        <v>2641.9000000000005</v>
      </c>
      <c r="U436" s="89">
        <f t="shared" si="166"/>
        <v>2435.42</v>
      </c>
      <c r="V436" s="86">
        <v>5362</v>
      </c>
      <c r="W436" s="87">
        <v>4250</v>
      </c>
      <c r="X436" s="87">
        <v>4712</v>
      </c>
      <c r="Y436" s="87">
        <v>5443</v>
      </c>
      <c r="Z436" s="90">
        <v>5185</v>
      </c>
      <c r="AA436" s="90">
        <v>4404</v>
      </c>
      <c r="AB436" s="91">
        <f t="shared" si="167"/>
        <v>0.2120624876408938</v>
      </c>
      <c r="AC436" s="91">
        <f t="shared" si="168"/>
        <v>0.16808384417638916</v>
      </c>
      <c r="AD436" s="91">
        <f t="shared" si="169"/>
        <v>0.18635554676685781</v>
      </c>
      <c r="AE436" s="91">
        <f t="shared" si="170"/>
        <v>0.21526596796519676</v>
      </c>
      <c r="AF436" s="91">
        <f t="shared" si="171"/>
        <v>0.20506228989519479</v>
      </c>
      <c r="AG436" s="91">
        <f t="shared" si="172"/>
        <v>0.17417441170654538</v>
      </c>
      <c r="AH436" s="92">
        <v>5348.9899999999616</v>
      </c>
      <c r="AI436" s="93">
        <v>3204.4099999999939</v>
      </c>
      <c r="AJ436" s="93">
        <v>3204.4099999999935</v>
      </c>
      <c r="AK436" s="93">
        <v>2947.5499999999897</v>
      </c>
      <c r="AL436" s="94">
        <v>3367.7999999999402</v>
      </c>
      <c r="AM436" s="94">
        <v>1940.04000000002</v>
      </c>
      <c r="AN436" s="94" t="s">
        <v>779</v>
      </c>
      <c r="AO436" s="111">
        <v>17538.539999999997</v>
      </c>
      <c r="AP436" s="112">
        <v>2045.9</v>
      </c>
      <c r="AQ436" s="112">
        <v>0</v>
      </c>
      <c r="AR436" s="112">
        <v>9666.369999999999</v>
      </c>
      <c r="AS436" s="113">
        <v>10217.549999999999</v>
      </c>
      <c r="AT436" s="113">
        <v>8632.44</v>
      </c>
      <c r="AU436" s="111">
        <v>16372.01999999995</v>
      </c>
      <c r="AV436" s="112">
        <v>11916.849999999973</v>
      </c>
      <c r="AW436" s="112">
        <v>12607.149999999952</v>
      </c>
      <c r="AX436" s="112">
        <v>14913.65</v>
      </c>
      <c r="AY436" s="113">
        <v>14287.2699999997</v>
      </c>
      <c r="AZ436" s="113">
        <v>11732.5699999999</v>
      </c>
    </row>
    <row r="437" spans="1:52" x14ac:dyDescent="0.25">
      <c r="A437" s="101" t="s">
        <v>1028</v>
      </c>
      <c r="B437" s="102" t="s">
        <v>259</v>
      </c>
      <c r="C437" s="102"/>
      <c r="D437" s="102" t="s">
        <v>1048</v>
      </c>
      <c r="E437" s="103">
        <v>0.56000000000000005</v>
      </c>
      <c r="F437" s="104">
        <v>5000</v>
      </c>
      <c r="G437" s="105">
        <f t="shared" si="164"/>
        <v>2500</v>
      </c>
      <c r="H437" s="105">
        <v>9385</v>
      </c>
      <c r="I437" s="106">
        <f t="shared" si="165"/>
        <v>0.26638252530633988</v>
      </c>
      <c r="J437" s="86">
        <v>44</v>
      </c>
      <c r="K437" s="87">
        <v>0</v>
      </c>
      <c r="L437" s="87">
        <v>0</v>
      </c>
      <c r="M437" s="87">
        <v>0</v>
      </c>
      <c r="N437" s="90"/>
      <c r="O437" s="90">
        <v>0</v>
      </c>
      <c r="P437" s="86">
        <f t="shared" si="183"/>
        <v>24.64</v>
      </c>
      <c r="Q437" s="87">
        <f t="shared" si="184"/>
        <v>0</v>
      </c>
      <c r="R437" s="87">
        <f t="shared" si="185"/>
        <v>0</v>
      </c>
      <c r="S437" s="88">
        <f t="shared" si="186"/>
        <v>0</v>
      </c>
      <c r="T437" s="89">
        <f t="shared" si="187"/>
        <v>0</v>
      </c>
      <c r="U437" s="89">
        <f t="shared" si="166"/>
        <v>0</v>
      </c>
      <c r="V437" s="86">
        <v>0</v>
      </c>
      <c r="W437" s="87">
        <v>0</v>
      </c>
      <c r="X437" s="87">
        <v>0</v>
      </c>
      <c r="Y437" s="87">
        <v>0</v>
      </c>
      <c r="Z437" s="90">
        <v>0</v>
      </c>
      <c r="AA437" s="90">
        <v>0</v>
      </c>
      <c r="AB437" s="91">
        <f t="shared" si="167"/>
        <v>0</v>
      </c>
      <c r="AC437" s="91">
        <f t="shared" si="168"/>
        <v>0</v>
      </c>
      <c r="AD437" s="91">
        <f t="shared" si="169"/>
        <v>0</v>
      </c>
      <c r="AE437" s="91">
        <f t="shared" si="170"/>
        <v>0</v>
      </c>
      <c r="AF437" s="91">
        <f t="shared" si="171"/>
        <v>0</v>
      </c>
      <c r="AG437" s="91">
        <f t="shared" si="172"/>
        <v>0</v>
      </c>
      <c r="AH437" s="92">
        <v>0</v>
      </c>
      <c r="AI437" s="93">
        <v>0</v>
      </c>
      <c r="AJ437" s="93">
        <v>0</v>
      </c>
      <c r="AK437" s="93">
        <v>0</v>
      </c>
      <c r="AL437" s="94">
        <v>0</v>
      </c>
      <c r="AM437" s="94">
        <v>0</v>
      </c>
      <c r="AN437" s="94" t="s">
        <v>779</v>
      </c>
      <c r="AO437" s="111">
        <v>68.64</v>
      </c>
      <c r="AP437" s="112">
        <v>0</v>
      </c>
      <c r="AQ437" s="112">
        <v>0</v>
      </c>
      <c r="AR437" s="112">
        <v>0</v>
      </c>
      <c r="AS437" s="113">
        <v>0</v>
      </c>
      <c r="AT437" s="113">
        <v>0</v>
      </c>
      <c r="AU437" s="111">
        <v>0</v>
      </c>
      <c r="AV437" s="112">
        <v>0</v>
      </c>
      <c r="AW437" s="112">
        <v>0</v>
      </c>
      <c r="AX437" s="112">
        <v>0</v>
      </c>
      <c r="AY437" s="113">
        <v>0</v>
      </c>
      <c r="AZ437" s="113">
        <v>0</v>
      </c>
    </row>
    <row r="438" spans="1:52" x14ac:dyDescent="0.25">
      <c r="A438" s="101" t="s">
        <v>627</v>
      </c>
      <c r="B438" s="102" t="s">
        <v>628</v>
      </c>
      <c r="C438" s="102"/>
      <c r="D438" s="102" t="s">
        <v>1048</v>
      </c>
      <c r="E438" s="103">
        <v>0.55000000000000071</v>
      </c>
      <c r="F438" s="104">
        <v>2000</v>
      </c>
      <c r="G438" s="105">
        <f t="shared" si="164"/>
        <v>1000</v>
      </c>
      <c r="H438" s="105">
        <v>7389</v>
      </c>
      <c r="I438" s="106">
        <f t="shared" si="165"/>
        <v>0.13533631073216945</v>
      </c>
      <c r="J438" s="86">
        <v>0</v>
      </c>
      <c r="K438" s="87">
        <v>399</v>
      </c>
      <c r="L438" s="87">
        <v>196</v>
      </c>
      <c r="M438" s="87">
        <v>144</v>
      </c>
      <c r="N438" s="90">
        <v>45</v>
      </c>
      <c r="O438" s="90">
        <v>30</v>
      </c>
      <c r="P438" s="86">
        <f t="shared" si="183"/>
        <v>0</v>
      </c>
      <c r="Q438" s="87">
        <f t="shared" si="184"/>
        <v>219.45000000000027</v>
      </c>
      <c r="R438" s="87">
        <f t="shared" si="185"/>
        <v>107.80000000000014</v>
      </c>
      <c r="S438" s="88">
        <f t="shared" si="186"/>
        <v>79.200000000000102</v>
      </c>
      <c r="T438" s="89">
        <f t="shared" si="187"/>
        <v>24.750000000000032</v>
      </c>
      <c r="U438" s="89">
        <f t="shared" si="166"/>
        <v>16.500000000000021</v>
      </c>
      <c r="V438" s="86">
        <v>242</v>
      </c>
      <c r="W438" s="87">
        <v>290</v>
      </c>
      <c r="X438" s="87">
        <v>71</v>
      </c>
      <c r="Y438" s="87">
        <v>254</v>
      </c>
      <c r="Z438" s="90">
        <v>235</v>
      </c>
      <c r="AA438" s="90">
        <v>44</v>
      </c>
      <c r="AB438" s="91">
        <f t="shared" si="167"/>
        <v>3.2751387197185004E-2</v>
      </c>
      <c r="AC438" s="91">
        <f t="shared" si="168"/>
        <v>3.9247530112329135E-2</v>
      </c>
      <c r="AD438" s="91">
        <f t="shared" si="169"/>
        <v>9.6088780619840303E-3</v>
      </c>
      <c r="AE438" s="91">
        <f t="shared" si="170"/>
        <v>3.4375422925971039E-2</v>
      </c>
      <c r="AF438" s="91">
        <f t="shared" si="171"/>
        <v>3.1804033022059822E-2</v>
      </c>
      <c r="AG438" s="91">
        <f t="shared" si="172"/>
        <v>5.9547976722154556E-3</v>
      </c>
      <c r="AH438" s="92">
        <v>241.48</v>
      </c>
      <c r="AI438" s="93">
        <v>331.04999999999995</v>
      </c>
      <c r="AJ438" s="93">
        <v>331.04999999999995</v>
      </c>
      <c r="AK438" s="93">
        <v>70.790000000000006</v>
      </c>
      <c r="AL438" s="94">
        <v>246.409999999999</v>
      </c>
      <c r="AM438" s="94">
        <v>54.089999999999897</v>
      </c>
      <c r="AN438" s="94" t="s">
        <v>780</v>
      </c>
      <c r="AO438" s="111">
        <v>0</v>
      </c>
      <c r="AP438" s="112">
        <v>5167.37</v>
      </c>
      <c r="AQ438" s="112">
        <v>2617</v>
      </c>
      <c r="AR438" s="112">
        <v>1975.68</v>
      </c>
      <c r="AS438" s="113">
        <v>575.1</v>
      </c>
      <c r="AT438" s="113">
        <v>381.6</v>
      </c>
      <c r="AU438" s="111">
        <v>3276.16</v>
      </c>
      <c r="AV438" s="112">
        <v>4100.99999999999</v>
      </c>
      <c r="AW438" s="112">
        <v>992.37</v>
      </c>
      <c r="AX438" s="112">
        <v>3589.0499999999902</v>
      </c>
      <c r="AY438" s="113">
        <v>3228.1499999999901</v>
      </c>
      <c r="AZ438" s="113">
        <v>618.61</v>
      </c>
    </row>
    <row r="439" spans="1:52" x14ac:dyDescent="0.25">
      <c r="A439" s="101" t="s">
        <v>298</v>
      </c>
      <c r="B439" s="102" t="s">
        <v>299</v>
      </c>
      <c r="C439" s="102"/>
      <c r="D439" s="102" t="s">
        <v>1049</v>
      </c>
      <c r="E439" s="103">
        <v>0.53000000000000025</v>
      </c>
      <c r="F439" s="104">
        <v>1000</v>
      </c>
      <c r="G439" s="105">
        <f t="shared" si="164"/>
        <v>500</v>
      </c>
      <c r="H439" s="105">
        <v>2963</v>
      </c>
      <c r="I439" s="106">
        <f t="shared" si="165"/>
        <v>0.16874789065136686</v>
      </c>
      <c r="J439" s="86">
        <v>325</v>
      </c>
      <c r="K439" s="87">
        <v>100</v>
      </c>
      <c r="L439" s="87">
        <v>470</v>
      </c>
      <c r="M439" s="87">
        <v>1263</v>
      </c>
      <c r="N439" s="90">
        <v>2110</v>
      </c>
      <c r="O439" s="90">
        <v>250</v>
      </c>
      <c r="P439" s="86">
        <f t="shared" si="183"/>
        <v>172.25000000000009</v>
      </c>
      <c r="Q439" s="87">
        <f t="shared" si="184"/>
        <v>53.000000000000028</v>
      </c>
      <c r="R439" s="87">
        <f t="shared" si="185"/>
        <v>249.10000000000011</v>
      </c>
      <c r="S439" s="88">
        <f t="shared" si="186"/>
        <v>669.39000000000033</v>
      </c>
      <c r="T439" s="89">
        <f t="shared" si="187"/>
        <v>1118.3000000000006</v>
      </c>
      <c r="U439" s="89">
        <f t="shared" si="166"/>
        <v>132.50000000000006</v>
      </c>
      <c r="V439" s="86">
        <v>-2</v>
      </c>
      <c r="W439" s="87">
        <v>323</v>
      </c>
      <c r="X439" s="87">
        <v>113</v>
      </c>
      <c r="Y439" s="87">
        <v>451</v>
      </c>
      <c r="Z439" s="90">
        <v>602</v>
      </c>
      <c r="AA439" s="90">
        <v>1157</v>
      </c>
      <c r="AB439" s="91">
        <f t="shared" si="167"/>
        <v>-6.7499156260546742E-4</v>
      </c>
      <c r="AC439" s="91">
        <f t="shared" si="168"/>
        <v>0.10901113736078299</v>
      </c>
      <c r="AD439" s="91">
        <f t="shared" si="169"/>
        <v>3.8137023287208908E-2</v>
      </c>
      <c r="AE439" s="91">
        <f t="shared" si="170"/>
        <v>0.1522105973675329</v>
      </c>
      <c r="AF439" s="91">
        <f t="shared" si="171"/>
        <v>0.20317246034424569</v>
      </c>
      <c r="AG439" s="91">
        <f t="shared" si="172"/>
        <v>0.39048261896726288</v>
      </c>
      <c r="AH439" s="92">
        <v>0</v>
      </c>
      <c r="AI439" s="93">
        <v>564.45999999999901</v>
      </c>
      <c r="AJ439" s="93">
        <v>564.45999999999901</v>
      </c>
      <c r="AK439" s="93">
        <v>164.1</v>
      </c>
      <c r="AL439" s="94">
        <v>343.849999999999</v>
      </c>
      <c r="AM439" s="94">
        <v>718.06999999999903</v>
      </c>
      <c r="AN439" s="94" t="s">
        <v>779</v>
      </c>
      <c r="AO439" s="111">
        <v>718.25</v>
      </c>
      <c r="AP439" s="112">
        <v>230</v>
      </c>
      <c r="AQ439" s="112">
        <v>1073.2</v>
      </c>
      <c r="AR439" s="112">
        <v>2853.95</v>
      </c>
      <c r="AS439" s="113">
        <v>4812.7</v>
      </c>
      <c r="AT439" s="113">
        <v>589</v>
      </c>
      <c r="AU439" s="111">
        <v>-6.66</v>
      </c>
      <c r="AV439" s="112">
        <v>1284.749999999998</v>
      </c>
      <c r="AW439" s="112">
        <v>418.97999999999786</v>
      </c>
      <c r="AX439" s="112">
        <v>1377.8499999999899</v>
      </c>
      <c r="AY439" s="113">
        <v>1691.25999999999</v>
      </c>
      <c r="AZ439" s="113">
        <v>3296.6499999999801</v>
      </c>
    </row>
    <row r="440" spans="1:52" x14ac:dyDescent="0.25">
      <c r="A440" s="101" t="s">
        <v>248</v>
      </c>
      <c r="B440" s="102" t="s">
        <v>249</v>
      </c>
      <c r="C440" s="102"/>
      <c r="D440" s="102" t="s">
        <v>1048</v>
      </c>
      <c r="E440" s="103">
        <v>0.53</v>
      </c>
      <c r="F440" s="104">
        <v>2361.1999999999998</v>
      </c>
      <c r="G440" s="105">
        <f t="shared" si="164"/>
        <v>1180.5999999999999</v>
      </c>
      <c r="H440" s="105">
        <v>8803</v>
      </c>
      <c r="I440" s="106">
        <f t="shared" si="165"/>
        <v>0.13411337044189481</v>
      </c>
      <c r="J440" s="86">
        <v>842.42424242424238</v>
      </c>
      <c r="K440" s="87">
        <v>0</v>
      </c>
      <c r="L440" s="87">
        <v>0</v>
      </c>
      <c r="M440" s="87">
        <v>0</v>
      </c>
      <c r="N440" s="90"/>
      <c r="O440" s="90">
        <v>0</v>
      </c>
      <c r="P440" s="86">
        <f t="shared" si="183"/>
        <v>446.4848484848485</v>
      </c>
      <c r="Q440" s="87">
        <f t="shared" si="184"/>
        <v>0</v>
      </c>
      <c r="R440" s="87">
        <f t="shared" si="185"/>
        <v>0</v>
      </c>
      <c r="S440" s="88">
        <f t="shared" si="186"/>
        <v>0</v>
      </c>
      <c r="T440" s="89">
        <f t="shared" si="187"/>
        <v>0</v>
      </c>
      <c r="U440" s="89">
        <f t="shared" si="166"/>
        <v>0</v>
      </c>
      <c r="V440" s="86">
        <v>1002</v>
      </c>
      <c r="W440" s="87">
        <v>155</v>
      </c>
      <c r="X440" s="87">
        <v>0</v>
      </c>
      <c r="Y440" s="87">
        <v>993</v>
      </c>
      <c r="Z440" s="90">
        <v>3753</v>
      </c>
      <c r="AA440" s="90">
        <v>5053</v>
      </c>
      <c r="AB440" s="91">
        <f t="shared" si="167"/>
        <v>0.11382483244348518</v>
      </c>
      <c r="AC440" s="91">
        <f t="shared" si="168"/>
        <v>1.7607633761217767E-2</v>
      </c>
      <c r="AD440" s="91">
        <f t="shared" si="169"/>
        <v>0</v>
      </c>
      <c r="AE440" s="91">
        <f t="shared" si="170"/>
        <v>0.11280245370896286</v>
      </c>
      <c r="AF440" s="91">
        <f t="shared" si="171"/>
        <v>0.42633193229580824</v>
      </c>
      <c r="AG440" s="91">
        <f t="shared" si="172"/>
        <v>0.57400886061569922</v>
      </c>
      <c r="AH440" s="92">
        <v>1807.870000000001</v>
      </c>
      <c r="AI440" s="93">
        <v>205.10999999999987</v>
      </c>
      <c r="AJ440" s="93">
        <v>205.1099999999999</v>
      </c>
      <c r="AK440" s="93">
        <v>526.29000000000008</v>
      </c>
      <c r="AL440" s="94">
        <v>938.88999999999896</v>
      </c>
      <c r="AM440" s="94">
        <v>2691.6000000000199</v>
      </c>
      <c r="AN440" s="94" t="s">
        <v>779</v>
      </c>
      <c r="AO440" s="111">
        <v>0</v>
      </c>
      <c r="AP440" s="112">
        <v>0</v>
      </c>
      <c r="AQ440" s="112">
        <v>0</v>
      </c>
      <c r="AR440" s="112">
        <v>0</v>
      </c>
      <c r="AS440" s="113">
        <v>0</v>
      </c>
      <c r="AT440" s="113">
        <v>0</v>
      </c>
      <c r="AU440" s="111">
        <v>3411.069999999997</v>
      </c>
      <c r="AV440" s="112">
        <v>442.68</v>
      </c>
      <c r="AW440" s="112">
        <v>0</v>
      </c>
      <c r="AX440" s="112">
        <v>2500.0099999999902</v>
      </c>
      <c r="AY440" s="113">
        <v>8238.27</v>
      </c>
      <c r="AZ440" s="113">
        <v>10725.869999999901</v>
      </c>
    </row>
    <row r="441" spans="1:52" x14ac:dyDescent="0.25">
      <c r="A441" s="101" t="s">
        <v>677</v>
      </c>
      <c r="B441" s="102" t="s">
        <v>678</v>
      </c>
      <c r="C441" s="102"/>
      <c r="D441" s="102" t="s">
        <v>1048</v>
      </c>
      <c r="E441" s="103">
        <v>0.51999999999999957</v>
      </c>
      <c r="F441" s="104">
        <v>200</v>
      </c>
      <c r="G441" s="105">
        <f t="shared" si="164"/>
        <v>100</v>
      </c>
      <c r="H441" s="105">
        <v>762</v>
      </c>
      <c r="I441" s="106">
        <f t="shared" si="165"/>
        <v>0.13123359580052493</v>
      </c>
      <c r="J441" s="86">
        <v>0</v>
      </c>
      <c r="K441" s="87">
        <v>0</v>
      </c>
      <c r="L441" s="87">
        <v>0</v>
      </c>
      <c r="M441" s="87">
        <v>157</v>
      </c>
      <c r="N441" s="90"/>
      <c r="O441" s="90">
        <v>50</v>
      </c>
      <c r="P441" s="86">
        <f t="shared" si="183"/>
        <v>0</v>
      </c>
      <c r="Q441" s="87">
        <f t="shared" si="184"/>
        <v>0</v>
      </c>
      <c r="R441" s="87">
        <f t="shared" si="185"/>
        <v>0</v>
      </c>
      <c r="S441" s="88">
        <f t="shared" si="186"/>
        <v>81.63999999999993</v>
      </c>
      <c r="T441" s="89">
        <f t="shared" si="187"/>
        <v>0</v>
      </c>
      <c r="U441" s="89">
        <f t="shared" si="166"/>
        <v>25.999999999999979</v>
      </c>
      <c r="V441" s="86">
        <v>178</v>
      </c>
      <c r="W441" s="87">
        <v>1</v>
      </c>
      <c r="X441" s="87">
        <v>364</v>
      </c>
      <c r="Y441" s="87">
        <v>173</v>
      </c>
      <c r="Z441" s="90">
        <v>51</v>
      </c>
      <c r="AA441" s="90">
        <v>251</v>
      </c>
      <c r="AB441" s="91">
        <f t="shared" si="167"/>
        <v>0.23359580052493439</v>
      </c>
      <c r="AC441" s="91">
        <f t="shared" si="168"/>
        <v>1.3123359580052493E-3</v>
      </c>
      <c r="AD441" s="91">
        <f t="shared" si="169"/>
        <v>0.47769028871391078</v>
      </c>
      <c r="AE441" s="91">
        <f t="shared" si="170"/>
        <v>0.22703412073490814</v>
      </c>
      <c r="AF441" s="91">
        <f t="shared" si="171"/>
        <v>6.6929133858267723E-2</v>
      </c>
      <c r="AG441" s="91">
        <f t="shared" si="172"/>
        <v>0.32939632545931757</v>
      </c>
      <c r="AH441" s="92">
        <v>48.899999999999949</v>
      </c>
      <c r="AI441" s="93">
        <v>0.51999999999999957</v>
      </c>
      <c r="AJ441" s="93">
        <v>189.27999999999986</v>
      </c>
      <c r="AK441" s="93">
        <v>37.459999999999972</v>
      </c>
      <c r="AL441" s="94">
        <v>363.5</v>
      </c>
      <c r="AM441" s="94">
        <v>158.63999999999899</v>
      </c>
      <c r="AN441" s="94" t="s">
        <v>780</v>
      </c>
      <c r="AO441" s="111">
        <v>0</v>
      </c>
      <c r="AP441" s="112">
        <v>0</v>
      </c>
      <c r="AQ441" s="112">
        <v>0</v>
      </c>
      <c r="AR441" s="112">
        <v>3800.1400000000003</v>
      </c>
      <c r="AS441" s="113">
        <v>0</v>
      </c>
      <c r="AT441" s="113">
        <v>1206</v>
      </c>
      <c r="AU441" s="111">
        <v>4525.600000000004</v>
      </c>
      <c r="AV441" s="112">
        <v>-40.210000000000676</v>
      </c>
      <c r="AW441" s="112">
        <v>9061.0199999999859</v>
      </c>
      <c r="AX441" s="112">
        <v>4220.4899999999898</v>
      </c>
      <c r="AY441" s="113">
        <v>1085.52</v>
      </c>
      <c r="AZ441" s="113">
        <v>5829.3099999999804</v>
      </c>
    </row>
    <row r="442" spans="1:52" x14ac:dyDescent="0.25">
      <c r="A442" s="101" t="s">
        <v>1029</v>
      </c>
      <c r="B442" s="102" t="s">
        <v>729</v>
      </c>
      <c r="C442" s="102"/>
      <c r="D442" s="102" t="s">
        <v>1048</v>
      </c>
      <c r="E442" s="103">
        <v>0.51</v>
      </c>
      <c r="F442" s="104">
        <v>40</v>
      </c>
      <c r="G442" s="105">
        <f t="shared" si="164"/>
        <v>20</v>
      </c>
      <c r="H442" s="105">
        <v>34</v>
      </c>
      <c r="I442" s="106">
        <f t="shared" si="165"/>
        <v>0.58823529411764708</v>
      </c>
      <c r="J442" s="86">
        <v>100</v>
      </c>
      <c r="K442" s="87">
        <v>100</v>
      </c>
      <c r="L442" s="87">
        <v>0</v>
      </c>
      <c r="M442" s="87">
        <v>0</v>
      </c>
      <c r="N442" s="90"/>
      <c r="O442" s="90">
        <v>0</v>
      </c>
      <c r="P442" s="86">
        <f t="shared" si="183"/>
        <v>51</v>
      </c>
      <c r="Q442" s="87">
        <f t="shared" si="184"/>
        <v>51</v>
      </c>
      <c r="R442" s="87">
        <f t="shared" si="185"/>
        <v>0</v>
      </c>
      <c r="S442" s="88">
        <f t="shared" si="186"/>
        <v>0</v>
      </c>
      <c r="T442" s="89">
        <f t="shared" si="187"/>
        <v>0</v>
      </c>
      <c r="U442" s="89">
        <f t="shared" si="166"/>
        <v>0</v>
      </c>
      <c r="V442" s="86">
        <v>39</v>
      </c>
      <c r="W442" s="87">
        <v>14</v>
      </c>
      <c r="X442" s="87">
        <v>4</v>
      </c>
      <c r="Y442" s="87">
        <v>6</v>
      </c>
      <c r="Z442" s="90">
        <v>9</v>
      </c>
      <c r="AA442" s="90">
        <v>17</v>
      </c>
      <c r="AB442" s="91">
        <f t="shared" si="167"/>
        <v>1.1470588235294117</v>
      </c>
      <c r="AC442" s="91">
        <f t="shared" si="168"/>
        <v>0.41176470588235292</v>
      </c>
      <c r="AD442" s="91">
        <f t="shared" si="169"/>
        <v>0.11764705882352941</v>
      </c>
      <c r="AE442" s="91">
        <f t="shared" si="170"/>
        <v>0.17647058823529413</v>
      </c>
      <c r="AF442" s="91">
        <f t="shared" si="171"/>
        <v>0.26470588235294118</v>
      </c>
      <c r="AG442" s="91">
        <f t="shared" si="172"/>
        <v>0.5</v>
      </c>
      <c r="AH442" s="92">
        <v>20.12</v>
      </c>
      <c r="AI442" s="93">
        <v>30.449999999999996</v>
      </c>
      <c r="AJ442" s="93">
        <v>30.449999999999996</v>
      </c>
      <c r="AK442" s="93">
        <v>12.4</v>
      </c>
      <c r="AL442" s="94">
        <v>9.9299999999999908</v>
      </c>
      <c r="AM442" s="94">
        <v>-12.239999999999901</v>
      </c>
      <c r="AN442" s="94" t="s">
        <v>780</v>
      </c>
      <c r="AO442" s="111">
        <v>955</v>
      </c>
      <c r="AP442" s="112">
        <v>957</v>
      </c>
      <c r="AQ442" s="112">
        <v>0</v>
      </c>
      <c r="AR442" s="112">
        <v>0</v>
      </c>
      <c r="AS442" s="113">
        <v>0</v>
      </c>
      <c r="AT442" s="113">
        <v>0</v>
      </c>
      <c r="AU442" s="111">
        <v>0</v>
      </c>
      <c r="AV442" s="112">
        <v>0</v>
      </c>
      <c r="AW442" s="112">
        <v>0</v>
      </c>
      <c r="AX442" s="112">
        <v>0</v>
      </c>
      <c r="AY442" s="113">
        <v>0</v>
      </c>
      <c r="AZ442" s="113">
        <v>0</v>
      </c>
    </row>
    <row r="443" spans="1:52" x14ac:dyDescent="0.25">
      <c r="A443" s="101" t="s">
        <v>625</v>
      </c>
      <c r="B443" s="102" t="s">
        <v>626</v>
      </c>
      <c r="C443" s="102"/>
      <c r="D443" s="102" t="s">
        <v>1048</v>
      </c>
      <c r="E443" s="103">
        <v>0.50999999999999979</v>
      </c>
      <c r="F443" s="104">
        <v>2500</v>
      </c>
      <c r="G443" s="105">
        <f t="shared" si="164"/>
        <v>1250</v>
      </c>
      <c r="H443" s="105">
        <v>1884</v>
      </c>
      <c r="I443" s="106">
        <f t="shared" si="165"/>
        <v>0.66348195329087045</v>
      </c>
      <c r="J443" s="86">
        <v>1824</v>
      </c>
      <c r="K443" s="87">
        <v>3190</v>
      </c>
      <c r="L443" s="87">
        <v>0</v>
      </c>
      <c r="M443" s="87">
        <v>210</v>
      </c>
      <c r="N443" s="90"/>
      <c r="O443" s="90">
        <v>0</v>
      </c>
      <c r="P443" s="86">
        <f t="shared" si="183"/>
        <v>930.23999999999955</v>
      </c>
      <c r="Q443" s="87">
        <f t="shared" si="184"/>
        <v>1626.8999999999994</v>
      </c>
      <c r="R443" s="87">
        <f t="shared" si="185"/>
        <v>0</v>
      </c>
      <c r="S443" s="88">
        <f t="shared" si="186"/>
        <v>107.09999999999995</v>
      </c>
      <c r="T443" s="89">
        <f t="shared" si="187"/>
        <v>0</v>
      </c>
      <c r="U443" s="89">
        <f t="shared" si="166"/>
        <v>0</v>
      </c>
      <c r="V443" s="86">
        <v>2340</v>
      </c>
      <c r="W443" s="87">
        <v>1201</v>
      </c>
      <c r="X443" s="87">
        <v>1958</v>
      </c>
      <c r="Y443" s="87">
        <v>1731</v>
      </c>
      <c r="Z443" s="90">
        <v>1335</v>
      </c>
      <c r="AA443" s="90">
        <v>2188</v>
      </c>
      <c r="AB443" s="91">
        <f t="shared" si="167"/>
        <v>1.2420382165605095</v>
      </c>
      <c r="AC443" s="91">
        <f t="shared" si="168"/>
        <v>0.63747346072186839</v>
      </c>
      <c r="AD443" s="91">
        <f t="shared" si="169"/>
        <v>1.0392781316348196</v>
      </c>
      <c r="AE443" s="91">
        <f t="shared" si="170"/>
        <v>0.91878980891719741</v>
      </c>
      <c r="AF443" s="91">
        <f t="shared" si="171"/>
        <v>0.70859872611464969</v>
      </c>
      <c r="AG443" s="91">
        <f t="shared" si="172"/>
        <v>1.1613588110403397</v>
      </c>
      <c r="AH443" s="92">
        <v>4565.5900000000101</v>
      </c>
      <c r="AI443" s="93">
        <v>2272.3099999999949</v>
      </c>
      <c r="AJ443" s="93">
        <v>2272.3099999999954</v>
      </c>
      <c r="AK443" s="93">
        <v>3281.899999999991</v>
      </c>
      <c r="AL443" s="94">
        <v>1588.9399999999901</v>
      </c>
      <c r="AM443" s="94">
        <v>1199.76999999999</v>
      </c>
      <c r="AN443" s="94" t="s">
        <v>780</v>
      </c>
      <c r="AO443" s="111">
        <v>22521.33</v>
      </c>
      <c r="AP443" s="112">
        <v>39521.82</v>
      </c>
      <c r="AQ443" s="112">
        <v>0</v>
      </c>
      <c r="AR443" s="112">
        <v>2709</v>
      </c>
      <c r="AS443" s="113">
        <v>0</v>
      </c>
      <c r="AT443" s="113">
        <v>0</v>
      </c>
      <c r="AU443" s="111">
        <v>33957.199999999881</v>
      </c>
      <c r="AV443" s="112">
        <v>17312.979999999981</v>
      </c>
      <c r="AW443" s="112">
        <v>27726.519999999979</v>
      </c>
      <c r="AX443" s="112">
        <v>23191.820000000102</v>
      </c>
      <c r="AY443" s="113">
        <v>17769.96</v>
      </c>
      <c r="AZ443" s="113">
        <v>28527.889999999799</v>
      </c>
    </row>
    <row r="444" spans="1:52" x14ac:dyDescent="0.25">
      <c r="A444" s="101" t="s">
        <v>635</v>
      </c>
      <c r="B444" s="102" t="s">
        <v>636</v>
      </c>
      <c r="C444" s="102"/>
      <c r="D444" s="102" t="s">
        <v>1048</v>
      </c>
      <c r="E444" s="103">
        <v>0.5</v>
      </c>
      <c r="F444" s="104">
        <v>400</v>
      </c>
      <c r="G444" s="105">
        <f t="shared" si="164"/>
        <v>200</v>
      </c>
      <c r="H444" s="105">
        <v>248</v>
      </c>
      <c r="I444" s="106">
        <f t="shared" si="165"/>
        <v>0.80645161290322576</v>
      </c>
      <c r="J444" s="86">
        <v>0</v>
      </c>
      <c r="K444" s="87">
        <v>0</v>
      </c>
      <c r="L444" s="87">
        <v>405</v>
      </c>
      <c r="M444" s="87">
        <v>0</v>
      </c>
      <c r="N444" s="90"/>
      <c r="O444" s="90">
        <v>0</v>
      </c>
      <c r="P444" s="86">
        <f t="shared" si="183"/>
        <v>0</v>
      </c>
      <c r="Q444" s="87">
        <f t="shared" si="184"/>
        <v>0</v>
      </c>
      <c r="R444" s="87">
        <f t="shared" si="185"/>
        <v>202.5</v>
      </c>
      <c r="S444" s="88">
        <f t="shared" si="186"/>
        <v>0</v>
      </c>
      <c r="T444" s="89">
        <f t="shared" si="187"/>
        <v>0</v>
      </c>
      <c r="U444" s="89">
        <f t="shared" si="166"/>
        <v>0</v>
      </c>
      <c r="V444" s="86">
        <v>314</v>
      </c>
      <c r="W444" s="87">
        <v>0</v>
      </c>
      <c r="X444" s="87">
        <v>19</v>
      </c>
      <c r="Y444" s="87">
        <v>88</v>
      </c>
      <c r="Z444" s="90">
        <v>34</v>
      </c>
      <c r="AA444" s="90">
        <v>64</v>
      </c>
      <c r="AB444" s="91">
        <f t="shared" si="167"/>
        <v>1.2661290322580645</v>
      </c>
      <c r="AC444" s="91">
        <f t="shared" si="168"/>
        <v>0</v>
      </c>
      <c r="AD444" s="91">
        <f t="shared" si="169"/>
        <v>7.6612903225806453E-2</v>
      </c>
      <c r="AE444" s="91">
        <f t="shared" si="170"/>
        <v>0.35483870967741937</v>
      </c>
      <c r="AF444" s="91">
        <f t="shared" si="171"/>
        <v>0.13709677419354838</v>
      </c>
      <c r="AG444" s="91">
        <f t="shared" si="172"/>
        <v>0.25806451612903225</v>
      </c>
      <c r="AH444" s="92">
        <v>221.82</v>
      </c>
      <c r="AI444" s="93">
        <v>0</v>
      </c>
      <c r="AJ444" s="93">
        <v>9.5</v>
      </c>
      <c r="AK444" s="93">
        <v>11.97</v>
      </c>
      <c r="AL444" s="94">
        <v>52.199999999999903</v>
      </c>
      <c r="AM444" s="94">
        <v>32.72</v>
      </c>
      <c r="AN444" s="94" t="s">
        <v>780</v>
      </c>
      <c r="AO444" s="111">
        <v>0</v>
      </c>
      <c r="AP444" s="112">
        <v>0</v>
      </c>
      <c r="AQ444" s="112">
        <v>5017.95</v>
      </c>
      <c r="AR444" s="112">
        <v>0</v>
      </c>
      <c r="AS444" s="113">
        <v>0</v>
      </c>
      <c r="AT444" s="113">
        <v>0</v>
      </c>
      <c r="AU444" s="111">
        <v>4146.8199999999988</v>
      </c>
      <c r="AV444" s="112">
        <v>0</v>
      </c>
      <c r="AW444" s="112">
        <v>250.42</v>
      </c>
      <c r="AX444" s="112">
        <v>1156.5999999999999</v>
      </c>
      <c r="AY444" s="113">
        <v>449.62</v>
      </c>
      <c r="AZ444" s="113">
        <v>827.96</v>
      </c>
    </row>
    <row r="445" spans="1:52" x14ac:dyDescent="0.25">
      <c r="A445" s="101" t="s">
        <v>494</v>
      </c>
      <c r="B445" s="102" t="s">
        <v>495</v>
      </c>
      <c r="C445" s="102"/>
      <c r="D445" s="102" t="s">
        <v>1048</v>
      </c>
      <c r="E445" s="103">
        <v>0.5</v>
      </c>
      <c r="F445" s="104">
        <v>2000</v>
      </c>
      <c r="G445" s="105">
        <f t="shared" si="164"/>
        <v>1000</v>
      </c>
      <c r="H445" s="105">
        <v>24858</v>
      </c>
      <c r="I445" s="106">
        <f t="shared" si="165"/>
        <v>4.0228497867889616E-2</v>
      </c>
      <c r="J445" s="86">
        <v>1940</v>
      </c>
      <c r="K445" s="87">
        <v>1235</v>
      </c>
      <c r="L445" s="87">
        <v>873</v>
      </c>
      <c r="M445" s="87">
        <v>665</v>
      </c>
      <c r="N445" s="90">
        <v>1139</v>
      </c>
      <c r="O445" s="90">
        <v>1233</v>
      </c>
      <c r="P445" s="86">
        <f t="shared" si="183"/>
        <v>970</v>
      </c>
      <c r="Q445" s="87">
        <f t="shared" si="184"/>
        <v>617.5</v>
      </c>
      <c r="R445" s="87">
        <f t="shared" si="185"/>
        <v>436.5</v>
      </c>
      <c r="S445" s="88">
        <f t="shared" si="186"/>
        <v>332.5</v>
      </c>
      <c r="T445" s="89">
        <f t="shared" si="187"/>
        <v>569.5</v>
      </c>
      <c r="U445" s="89">
        <f t="shared" si="166"/>
        <v>616.5</v>
      </c>
      <c r="V445" s="86">
        <v>1932</v>
      </c>
      <c r="W445" s="87">
        <v>2343</v>
      </c>
      <c r="X445" s="87">
        <v>1503</v>
      </c>
      <c r="Y445" s="87">
        <v>1589</v>
      </c>
      <c r="Z445" s="90">
        <v>468</v>
      </c>
      <c r="AA445" s="90">
        <v>1434</v>
      </c>
      <c r="AB445" s="91">
        <f t="shared" si="167"/>
        <v>7.7721457880762734E-2</v>
      </c>
      <c r="AC445" s="91">
        <f t="shared" si="168"/>
        <v>9.4255370504465363E-2</v>
      </c>
      <c r="AD445" s="91">
        <f t="shared" si="169"/>
        <v>6.0463432295438088E-2</v>
      </c>
      <c r="AE445" s="91">
        <f t="shared" si="170"/>
        <v>6.392308311207659E-2</v>
      </c>
      <c r="AF445" s="91">
        <f t="shared" si="171"/>
        <v>1.8826937002172341E-2</v>
      </c>
      <c r="AG445" s="91">
        <f t="shared" si="172"/>
        <v>5.7687665942553708E-2</v>
      </c>
      <c r="AH445" s="92">
        <v>641.63999999999919</v>
      </c>
      <c r="AI445" s="93">
        <v>1027.3599999999988</v>
      </c>
      <c r="AJ445" s="93">
        <v>1027.359999999999</v>
      </c>
      <c r="AK445" s="93">
        <v>794.5</v>
      </c>
      <c r="AL445" s="94">
        <v>294.07999999999902</v>
      </c>
      <c r="AM445" s="94">
        <v>1387.97999999999</v>
      </c>
      <c r="AN445" s="94" t="s">
        <v>780</v>
      </c>
      <c r="AO445" s="111">
        <v>11870.150000000001</v>
      </c>
      <c r="AP445" s="112">
        <v>7344.35</v>
      </c>
      <c r="AQ445" s="112">
        <v>5324.47</v>
      </c>
      <c r="AR445" s="112">
        <v>3834.58</v>
      </c>
      <c r="AS445" s="113">
        <v>6515.67</v>
      </c>
      <c r="AT445" s="113">
        <v>7047.3000000000011</v>
      </c>
      <c r="AU445" s="111">
        <v>12397.179999999989</v>
      </c>
      <c r="AV445" s="112">
        <v>15351.919999999987</v>
      </c>
      <c r="AW445" s="112">
        <v>9003.5000000000073</v>
      </c>
      <c r="AX445" s="112">
        <v>9870.9999999999909</v>
      </c>
      <c r="AY445" s="113">
        <v>2838.8199999999902</v>
      </c>
      <c r="AZ445" s="113">
        <v>9605.6500000000106</v>
      </c>
    </row>
    <row r="446" spans="1:52" x14ac:dyDescent="0.25">
      <c r="A446" s="101" t="s">
        <v>593</v>
      </c>
      <c r="B446" s="102" t="s">
        <v>594</v>
      </c>
      <c r="C446" s="102"/>
      <c r="D446" s="102" t="s">
        <v>1048</v>
      </c>
      <c r="E446" s="103">
        <v>0.46999999999999886</v>
      </c>
      <c r="F446" s="104">
        <v>200</v>
      </c>
      <c r="G446" s="105">
        <f t="shared" si="164"/>
        <v>100</v>
      </c>
      <c r="H446" s="105">
        <v>446</v>
      </c>
      <c r="I446" s="106">
        <f t="shared" si="165"/>
        <v>0.22421524663677131</v>
      </c>
      <c r="J446" s="86">
        <v>0</v>
      </c>
      <c r="K446" s="87">
        <v>0</v>
      </c>
      <c r="L446" s="87">
        <v>0</v>
      </c>
      <c r="M446" s="87">
        <v>0</v>
      </c>
      <c r="N446" s="90">
        <v>140</v>
      </c>
      <c r="O446" s="90">
        <v>193</v>
      </c>
      <c r="P446" s="86">
        <f t="shared" si="183"/>
        <v>0</v>
      </c>
      <c r="Q446" s="87">
        <f t="shared" si="184"/>
        <v>0</v>
      </c>
      <c r="R446" s="87">
        <f t="shared" si="185"/>
        <v>0</v>
      </c>
      <c r="S446" s="88">
        <f t="shared" si="186"/>
        <v>0</v>
      </c>
      <c r="T446" s="89">
        <f t="shared" si="187"/>
        <v>65.799999999999841</v>
      </c>
      <c r="U446" s="89">
        <f t="shared" si="166"/>
        <v>90.709999999999781</v>
      </c>
      <c r="V446" s="86">
        <v>36</v>
      </c>
      <c r="W446" s="87">
        <v>89</v>
      </c>
      <c r="X446" s="87">
        <v>94</v>
      </c>
      <c r="Y446" s="87">
        <v>84</v>
      </c>
      <c r="Z446" s="90">
        <v>41</v>
      </c>
      <c r="AA446" s="90">
        <v>37</v>
      </c>
      <c r="AB446" s="91">
        <f t="shared" si="167"/>
        <v>8.0717488789237665E-2</v>
      </c>
      <c r="AC446" s="91">
        <f t="shared" si="168"/>
        <v>0.19955156950672645</v>
      </c>
      <c r="AD446" s="91">
        <f t="shared" si="169"/>
        <v>0.21076233183856502</v>
      </c>
      <c r="AE446" s="91">
        <f t="shared" si="170"/>
        <v>0.18834080717488788</v>
      </c>
      <c r="AF446" s="91">
        <f t="shared" si="171"/>
        <v>9.1928251121076235E-2</v>
      </c>
      <c r="AG446" s="91">
        <f t="shared" si="172"/>
        <v>8.2959641255605385E-2</v>
      </c>
      <c r="AH446" s="92">
        <v>0</v>
      </c>
      <c r="AI446" s="93">
        <v>33.039999999999978</v>
      </c>
      <c r="AJ446" s="93">
        <v>33.039999999999978</v>
      </c>
      <c r="AK446" s="93">
        <v>30.509999999999991</v>
      </c>
      <c r="AL446" s="94">
        <v>64.89</v>
      </c>
      <c r="AM446" s="94">
        <v>31.73</v>
      </c>
      <c r="AN446" s="94" t="s">
        <v>780</v>
      </c>
      <c r="AO446" s="111">
        <v>0</v>
      </c>
      <c r="AP446" s="112">
        <v>0</v>
      </c>
      <c r="AQ446" s="112">
        <v>0</v>
      </c>
      <c r="AR446" s="112">
        <v>0</v>
      </c>
      <c r="AS446" s="113">
        <v>918.6</v>
      </c>
      <c r="AT446" s="113">
        <v>1256.6399999999999</v>
      </c>
      <c r="AU446" s="111">
        <v>304.51</v>
      </c>
      <c r="AV446" s="112">
        <v>825.13999999999965</v>
      </c>
      <c r="AW446" s="112">
        <v>867.10999999999979</v>
      </c>
      <c r="AX446" s="112">
        <v>812.49000000000103</v>
      </c>
      <c r="AY446" s="113">
        <v>399.599999999999</v>
      </c>
      <c r="AZ446" s="113">
        <v>363.95</v>
      </c>
    </row>
    <row r="447" spans="1:52" x14ac:dyDescent="0.25">
      <c r="A447" s="101" t="s">
        <v>711</v>
      </c>
      <c r="B447" s="102" t="s">
        <v>712</v>
      </c>
      <c r="C447" s="102"/>
      <c r="D447" s="102" t="s">
        <v>1048</v>
      </c>
      <c r="E447" s="103">
        <v>0.46000000000000796</v>
      </c>
      <c r="F447" s="104">
        <v>140</v>
      </c>
      <c r="G447" s="105">
        <f t="shared" si="164"/>
        <v>70</v>
      </c>
      <c r="H447" s="105">
        <v>636</v>
      </c>
      <c r="I447" s="106">
        <f t="shared" si="165"/>
        <v>0.11006289308176101</v>
      </c>
      <c r="J447" s="86">
        <v>566</v>
      </c>
      <c r="K447" s="87">
        <v>268</v>
      </c>
      <c r="L447" s="87">
        <v>0</v>
      </c>
      <c r="M447" s="87">
        <v>0</v>
      </c>
      <c r="N447" s="90"/>
      <c r="O447" s="90">
        <v>0</v>
      </c>
      <c r="P447" s="86">
        <f t="shared" si="183"/>
        <v>260.3600000000045</v>
      </c>
      <c r="Q447" s="87">
        <f t="shared" si="184"/>
        <v>123.28000000000213</v>
      </c>
      <c r="R447" s="87">
        <f t="shared" si="185"/>
        <v>0</v>
      </c>
      <c r="S447" s="88">
        <f t="shared" si="186"/>
        <v>0</v>
      </c>
      <c r="T447" s="89">
        <f t="shared" si="187"/>
        <v>0</v>
      </c>
      <c r="U447" s="89">
        <f t="shared" si="166"/>
        <v>0</v>
      </c>
      <c r="V447" s="86">
        <v>83</v>
      </c>
      <c r="W447" s="87">
        <v>109</v>
      </c>
      <c r="X447" s="87">
        <v>119</v>
      </c>
      <c r="Y447" s="87">
        <v>102</v>
      </c>
      <c r="Z447" s="90">
        <v>120</v>
      </c>
      <c r="AA447" s="90">
        <v>147</v>
      </c>
      <c r="AB447" s="91">
        <f t="shared" si="167"/>
        <v>0.13050314465408805</v>
      </c>
      <c r="AC447" s="91">
        <f t="shared" si="168"/>
        <v>0.17138364779874213</v>
      </c>
      <c r="AD447" s="91">
        <f t="shared" si="169"/>
        <v>0.1871069182389937</v>
      </c>
      <c r="AE447" s="91">
        <f t="shared" si="170"/>
        <v>0.16037735849056603</v>
      </c>
      <c r="AF447" s="91">
        <f t="shared" si="171"/>
        <v>0.18867924528301888</v>
      </c>
      <c r="AG447" s="91">
        <f t="shared" si="172"/>
        <v>0.23113207547169812</v>
      </c>
      <c r="AH447" s="92">
        <v>32.539999999999992</v>
      </c>
      <c r="AI447" s="93">
        <v>87.539999999999978</v>
      </c>
      <c r="AJ447" s="93">
        <v>87.539999999999978</v>
      </c>
      <c r="AK447" s="93">
        <v>172.13000000000002</v>
      </c>
      <c r="AL447" s="94">
        <v>350.91</v>
      </c>
      <c r="AM447" s="94">
        <v>-27.0899999999999</v>
      </c>
      <c r="AN447" s="94" t="s">
        <v>780</v>
      </c>
      <c r="AO447" s="111">
        <v>43434.34</v>
      </c>
      <c r="AP447" s="112">
        <v>20608.28</v>
      </c>
      <c r="AQ447" s="112">
        <v>0</v>
      </c>
      <c r="AR447" s="112">
        <v>0</v>
      </c>
      <c r="AS447" s="113">
        <v>0</v>
      </c>
      <c r="AT447" s="113">
        <v>0</v>
      </c>
      <c r="AU447" s="111">
        <v>6488.0299999999988</v>
      </c>
      <c r="AV447" s="112">
        <v>8488.1899999999987</v>
      </c>
      <c r="AW447" s="112">
        <v>9305.1899999999969</v>
      </c>
      <c r="AX447" s="112">
        <v>8173.28999999999</v>
      </c>
      <c r="AY447" s="113">
        <v>9804.9499999999898</v>
      </c>
      <c r="AZ447" s="113">
        <v>11246.3399999999</v>
      </c>
    </row>
    <row r="448" spans="1:52" x14ac:dyDescent="0.25">
      <c r="A448" s="101" t="s">
        <v>415</v>
      </c>
      <c r="B448" s="102" t="s">
        <v>416</v>
      </c>
      <c r="C448" s="102"/>
      <c r="D448" s="102" t="s">
        <v>1049</v>
      </c>
      <c r="E448" s="103">
        <v>0.45000000000000018</v>
      </c>
      <c r="F448" s="104">
        <v>6000</v>
      </c>
      <c r="G448" s="105">
        <f t="shared" si="164"/>
        <v>3000</v>
      </c>
      <c r="H448" s="105">
        <v>15832</v>
      </c>
      <c r="I448" s="106">
        <f t="shared" si="165"/>
        <v>0.18948964123294593</v>
      </c>
      <c r="J448" s="86">
        <v>0</v>
      </c>
      <c r="K448" s="87">
        <v>1230</v>
      </c>
      <c r="L448" s="87">
        <v>500</v>
      </c>
      <c r="M448" s="87">
        <v>630</v>
      </c>
      <c r="N448" s="90"/>
      <c r="O448" s="90">
        <v>992</v>
      </c>
      <c r="P448" s="86">
        <f t="shared" si="183"/>
        <v>0</v>
      </c>
      <c r="Q448" s="87">
        <f t="shared" si="184"/>
        <v>553.50000000000023</v>
      </c>
      <c r="R448" s="87">
        <f t="shared" si="185"/>
        <v>225.00000000000009</v>
      </c>
      <c r="S448" s="88">
        <f t="shared" si="186"/>
        <v>283.50000000000011</v>
      </c>
      <c r="T448" s="89">
        <f t="shared" si="187"/>
        <v>0</v>
      </c>
      <c r="U448" s="89">
        <f t="shared" si="166"/>
        <v>446.4000000000002</v>
      </c>
      <c r="V448" s="86">
        <v>3</v>
      </c>
      <c r="W448" s="87">
        <v>453</v>
      </c>
      <c r="X448" s="87">
        <v>1968</v>
      </c>
      <c r="Y448" s="87">
        <v>792</v>
      </c>
      <c r="Z448" s="90">
        <v>3066</v>
      </c>
      <c r="AA448" s="90">
        <v>795</v>
      </c>
      <c r="AB448" s="91">
        <f t="shared" si="167"/>
        <v>1.8948964123294593E-4</v>
      </c>
      <c r="AC448" s="91">
        <f t="shared" si="168"/>
        <v>2.8612935826174836E-2</v>
      </c>
      <c r="AD448" s="91">
        <f t="shared" si="169"/>
        <v>0.12430520464881253</v>
      </c>
      <c r="AE448" s="91">
        <f t="shared" si="170"/>
        <v>5.0025265285497729E-2</v>
      </c>
      <c r="AF448" s="91">
        <f t="shared" si="171"/>
        <v>0.19365841334007075</v>
      </c>
      <c r="AG448" s="91">
        <f t="shared" si="172"/>
        <v>5.0214754926730672E-2</v>
      </c>
      <c r="AH448" s="92">
        <v>6.2</v>
      </c>
      <c r="AI448" s="93">
        <v>186.05999999999989</v>
      </c>
      <c r="AJ448" s="93">
        <v>186.05999999999989</v>
      </c>
      <c r="AK448" s="93">
        <v>2312.9399999999946</v>
      </c>
      <c r="AL448" s="94">
        <v>521.91999999999905</v>
      </c>
      <c r="AM448" s="94">
        <v>1286.22999999999</v>
      </c>
      <c r="AN448" s="94" t="s">
        <v>779</v>
      </c>
      <c r="AO448" s="111">
        <v>0</v>
      </c>
      <c r="AP448" s="112">
        <v>2794.5</v>
      </c>
      <c r="AQ448" s="112">
        <v>2045</v>
      </c>
      <c r="AR448" s="112">
        <v>2329.2199999999998</v>
      </c>
      <c r="AS448" s="113">
        <v>0</v>
      </c>
      <c r="AT448" s="113">
        <v>2305.8199999999997</v>
      </c>
      <c r="AU448" s="111">
        <v>12.26</v>
      </c>
      <c r="AV448" s="112">
        <v>1860.8099999999981</v>
      </c>
      <c r="AW448" s="112">
        <v>7709.2499999999782</v>
      </c>
      <c r="AX448" s="112">
        <v>3057.0599999999899</v>
      </c>
      <c r="AY448" s="113">
        <v>11796.879999999899</v>
      </c>
      <c r="AZ448" s="113">
        <v>2966.71</v>
      </c>
    </row>
    <row r="449" spans="1:52" x14ac:dyDescent="0.25">
      <c r="A449" s="101" t="s">
        <v>623</v>
      </c>
      <c r="B449" s="102" t="s">
        <v>624</v>
      </c>
      <c r="C449" s="102"/>
      <c r="D449" s="102" t="s">
        <v>1048</v>
      </c>
      <c r="E449" s="103">
        <v>0.41000000000000014</v>
      </c>
      <c r="F449" s="104">
        <v>4000</v>
      </c>
      <c r="G449" s="105">
        <f t="shared" si="164"/>
        <v>2000</v>
      </c>
      <c r="H449" s="105">
        <v>6685</v>
      </c>
      <c r="I449" s="106">
        <f t="shared" si="165"/>
        <v>0.29917726252804788</v>
      </c>
      <c r="J449" s="86">
        <v>0</v>
      </c>
      <c r="K449" s="87">
        <v>0</v>
      </c>
      <c r="L449" s="87">
        <v>0</v>
      </c>
      <c r="M449" s="87">
        <v>835</v>
      </c>
      <c r="N449" s="90">
        <v>826</v>
      </c>
      <c r="O449" s="90">
        <v>2202</v>
      </c>
      <c r="P449" s="86">
        <f t="shared" si="183"/>
        <v>0</v>
      </c>
      <c r="Q449" s="87">
        <f t="shared" si="184"/>
        <v>0</v>
      </c>
      <c r="R449" s="87">
        <f t="shared" si="185"/>
        <v>0</v>
      </c>
      <c r="S449" s="88">
        <f t="shared" si="186"/>
        <v>342.35000000000014</v>
      </c>
      <c r="T449" s="89">
        <f t="shared" si="187"/>
        <v>338.66000000000014</v>
      </c>
      <c r="U449" s="89">
        <f t="shared" si="166"/>
        <v>902.82000000000028</v>
      </c>
      <c r="V449" s="86">
        <v>1319</v>
      </c>
      <c r="W449" s="87">
        <v>599</v>
      </c>
      <c r="X449" s="87">
        <v>2</v>
      </c>
      <c r="Y449" s="87">
        <v>1126</v>
      </c>
      <c r="Z449" s="90">
        <v>645</v>
      </c>
      <c r="AA449" s="90">
        <v>2492</v>
      </c>
      <c r="AB449" s="91">
        <f t="shared" si="167"/>
        <v>0.19730740463724758</v>
      </c>
      <c r="AC449" s="91">
        <f t="shared" si="168"/>
        <v>8.9603590127150343E-2</v>
      </c>
      <c r="AD449" s="91">
        <f t="shared" si="169"/>
        <v>2.9917726252804788E-4</v>
      </c>
      <c r="AE449" s="91">
        <f t="shared" si="170"/>
        <v>0.16843679880329096</v>
      </c>
      <c r="AF449" s="91">
        <f t="shared" si="171"/>
        <v>9.648466716529544E-2</v>
      </c>
      <c r="AG449" s="91">
        <f t="shared" si="172"/>
        <v>0.37277486910994767</v>
      </c>
      <c r="AH449" s="92">
        <v>0</v>
      </c>
      <c r="AI449" s="93">
        <v>245.59000000000009</v>
      </c>
      <c r="AJ449" s="93">
        <v>0.82000000000000028</v>
      </c>
      <c r="AK449" s="93">
        <v>17.309999999999999</v>
      </c>
      <c r="AL449" s="94">
        <v>561.65</v>
      </c>
      <c r="AM449" s="94">
        <v>832.58</v>
      </c>
      <c r="AN449" s="94" t="s">
        <v>780</v>
      </c>
      <c r="AO449" s="111">
        <v>0</v>
      </c>
      <c r="AP449" s="112">
        <v>0</v>
      </c>
      <c r="AQ449" s="112">
        <v>0</v>
      </c>
      <c r="AR449" s="112">
        <v>7641.95</v>
      </c>
      <c r="AS449" s="113">
        <v>7726.44</v>
      </c>
      <c r="AT449" s="113">
        <v>20373.04</v>
      </c>
      <c r="AU449" s="111">
        <v>13761.15999999998</v>
      </c>
      <c r="AV449" s="112">
        <v>6422.0299999999806</v>
      </c>
      <c r="AW449" s="112">
        <v>31.25</v>
      </c>
      <c r="AX449" s="112">
        <v>11456.22</v>
      </c>
      <c r="AY449" s="113">
        <v>6542.1400000000203</v>
      </c>
      <c r="AZ449" s="113">
        <v>23981.390000000101</v>
      </c>
    </row>
    <row r="450" spans="1:52" x14ac:dyDescent="0.25">
      <c r="A450" s="101" t="s">
        <v>701</v>
      </c>
      <c r="B450" s="102" t="s">
        <v>702</v>
      </c>
      <c r="C450" s="102"/>
      <c r="D450" s="102" t="s">
        <v>1048</v>
      </c>
      <c r="E450" s="103">
        <v>0.41000000000000014</v>
      </c>
      <c r="F450" s="104">
        <v>1200</v>
      </c>
      <c r="G450" s="105">
        <f t="shared" ref="G450:G498" si="188">F450/2</f>
        <v>600</v>
      </c>
      <c r="H450" s="105">
        <v>796</v>
      </c>
      <c r="I450" s="106">
        <f t="shared" ref="I450:I498" si="189">+G450/H450</f>
        <v>0.75376884422110557</v>
      </c>
      <c r="J450" s="86">
        <v>254</v>
      </c>
      <c r="K450" s="87">
        <v>0</v>
      </c>
      <c r="L450" s="87">
        <v>0</v>
      </c>
      <c r="M450" s="87">
        <v>0</v>
      </c>
      <c r="N450" s="90"/>
      <c r="O450" s="90">
        <v>0</v>
      </c>
      <c r="P450" s="86">
        <f t="shared" si="183"/>
        <v>104.14000000000004</v>
      </c>
      <c r="Q450" s="87">
        <f t="shared" si="184"/>
        <v>0</v>
      </c>
      <c r="R450" s="87">
        <f t="shared" si="185"/>
        <v>0</v>
      </c>
      <c r="S450" s="88">
        <f t="shared" si="186"/>
        <v>0</v>
      </c>
      <c r="T450" s="89">
        <f t="shared" si="187"/>
        <v>0</v>
      </c>
      <c r="U450" s="89">
        <f t="shared" ref="U450:U498" si="190">+O450*E450</f>
        <v>0</v>
      </c>
      <c r="V450" s="86">
        <v>247</v>
      </c>
      <c r="W450" s="87">
        <v>263</v>
      </c>
      <c r="X450" s="87">
        <v>386</v>
      </c>
      <c r="Y450" s="87">
        <v>299</v>
      </c>
      <c r="Z450" s="90">
        <v>415</v>
      </c>
      <c r="AA450" s="90">
        <v>435</v>
      </c>
      <c r="AB450" s="91">
        <f t="shared" ref="AB450:AB498" si="191">+IFERROR(V450/H450,"")</f>
        <v>0.31030150753768843</v>
      </c>
      <c r="AC450" s="91">
        <f t="shared" ref="AC450:AC498" si="192">+IFERROR(W450/H450,"")</f>
        <v>0.33040201005025127</v>
      </c>
      <c r="AD450" s="91">
        <f t="shared" ref="AD450:AD498" si="193">+IFERROR(X450/H450,"")</f>
        <v>0.48492462311557788</v>
      </c>
      <c r="AE450" s="91">
        <f t="shared" ref="AE450:AE498" si="194">+IFERROR(Y450/H450,"")</f>
        <v>0.37562814070351758</v>
      </c>
      <c r="AF450" s="91">
        <f t="shared" ref="AF450:AF498" si="195">+IFERROR(Z450/H450,"")</f>
        <v>0.52135678391959794</v>
      </c>
      <c r="AG450" s="91">
        <f t="shared" ref="AG450:AG498" si="196">+IFERROR(AA450/H450,"")</f>
        <v>0.54648241206030146</v>
      </c>
      <c r="AH450" s="92">
        <v>263.79000000000008</v>
      </c>
      <c r="AI450" s="93">
        <v>544.9799999999999</v>
      </c>
      <c r="AJ450" s="93">
        <v>544.97999999999979</v>
      </c>
      <c r="AK450" s="93">
        <v>832.7199999999998</v>
      </c>
      <c r="AL450" s="94">
        <v>225.7</v>
      </c>
      <c r="AM450" s="94">
        <v>239.689999999999</v>
      </c>
      <c r="AN450" s="94" t="s">
        <v>780</v>
      </c>
      <c r="AO450" s="111">
        <v>7607.6</v>
      </c>
      <c r="AP450" s="112">
        <v>0</v>
      </c>
      <c r="AQ450" s="112">
        <v>0</v>
      </c>
      <c r="AR450" s="112">
        <v>0</v>
      </c>
      <c r="AS450" s="113">
        <v>0</v>
      </c>
      <c r="AT450" s="113">
        <v>0</v>
      </c>
      <c r="AU450" s="111">
        <v>7583.4400000000023</v>
      </c>
      <c r="AV450" s="112">
        <v>8339.7900000000009</v>
      </c>
      <c r="AW450" s="112">
        <v>12273.759999999998</v>
      </c>
      <c r="AX450" s="112">
        <v>9088.06</v>
      </c>
      <c r="AY450" s="113">
        <v>12413.029999999901</v>
      </c>
      <c r="AZ450" s="113">
        <v>13133.0899999999</v>
      </c>
    </row>
    <row r="451" spans="1:52" x14ac:dyDescent="0.25">
      <c r="A451" s="101" t="s">
        <v>1030</v>
      </c>
      <c r="B451" s="102" t="s">
        <v>403</v>
      </c>
      <c r="C451" s="102"/>
      <c r="D451" s="102" t="s">
        <v>1048</v>
      </c>
      <c r="E451" s="103">
        <v>0.40000000000000036</v>
      </c>
      <c r="F451" s="104">
        <v>6000</v>
      </c>
      <c r="G451" s="105">
        <f t="shared" si="188"/>
        <v>3000</v>
      </c>
      <c r="H451" s="105">
        <v>15769</v>
      </c>
      <c r="I451" s="106">
        <f t="shared" si="189"/>
        <v>0.19024668653687615</v>
      </c>
      <c r="J451" s="86">
        <v>0</v>
      </c>
      <c r="K451" s="87">
        <v>0</v>
      </c>
      <c r="L451" s="87">
        <v>0</v>
      </c>
      <c r="M451" s="87">
        <v>0</v>
      </c>
      <c r="N451" s="90"/>
      <c r="O451" s="90">
        <v>0</v>
      </c>
      <c r="P451" s="86">
        <f t="shared" si="183"/>
        <v>0</v>
      </c>
      <c r="Q451" s="87">
        <f t="shared" si="184"/>
        <v>0</v>
      </c>
      <c r="R451" s="87">
        <f t="shared" si="185"/>
        <v>0</v>
      </c>
      <c r="S451" s="88">
        <f t="shared" si="186"/>
        <v>0</v>
      </c>
      <c r="T451" s="89">
        <f t="shared" si="187"/>
        <v>0</v>
      </c>
      <c r="U451" s="89">
        <f t="shared" si="190"/>
        <v>0</v>
      </c>
      <c r="V451" s="86">
        <v>1462</v>
      </c>
      <c r="W451" s="87">
        <v>2492</v>
      </c>
      <c r="X451" s="87">
        <v>23</v>
      </c>
      <c r="Y451" s="87">
        <v>0</v>
      </c>
      <c r="Z451" s="90">
        <v>954</v>
      </c>
      <c r="AA451" s="90">
        <v>-87</v>
      </c>
      <c r="AB451" s="91">
        <f t="shared" si="191"/>
        <v>9.2713551905637639E-2</v>
      </c>
      <c r="AC451" s="91">
        <f t="shared" si="192"/>
        <v>0.15803158094996511</v>
      </c>
      <c r="AD451" s="91">
        <f t="shared" si="193"/>
        <v>1.4585579301160505E-3</v>
      </c>
      <c r="AE451" s="91">
        <f t="shared" si="194"/>
        <v>0</v>
      </c>
      <c r="AF451" s="91">
        <f t="shared" si="195"/>
        <v>6.0498446318726619E-2</v>
      </c>
      <c r="AG451" s="91">
        <f t="shared" si="196"/>
        <v>-5.517153909569408E-3</v>
      </c>
      <c r="AH451" s="92">
        <v>3777.809999999994</v>
      </c>
      <c r="AI451" s="93">
        <v>6010.7299999999823</v>
      </c>
      <c r="AJ451" s="93">
        <v>6010.7299999999832</v>
      </c>
      <c r="AK451" s="93">
        <v>46.939999999999905</v>
      </c>
      <c r="AL451" s="94">
        <v>381.60000000000036</v>
      </c>
      <c r="AM451" s="94">
        <v>0</v>
      </c>
      <c r="AN451" s="94" t="s">
        <v>779</v>
      </c>
      <c r="AO451" s="111">
        <v>0</v>
      </c>
      <c r="AP451" s="112">
        <v>0</v>
      </c>
      <c r="AQ451" s="112">
        <v>0</v>
      </c>
      <c r="AR451" s="112">
        <v>0</v>
      </c>
      <c r="AS451" s="113">
        <v>0</v>
      </c>
      <c r="AT451" s="113">
        <v>0</v>
      </c>
      <c r="AU451" s="111">
        <v>0</v>
      </c>
      <c r="AV451" s="112">
        <v>0</v>
      </c>
      <c r="AW451" s="112">
        <v>0</v>
      </c>
      <c r="AX451" s="112">
        <v>0</v>
      </c>
      <c r="AY451" s="113">
        <v>0</v>
      </c>
      <c r="AZ451" s="113">
        <v>0</v>
      </c>
    </row>
    <row r="452" spans="1:52" x14ac:dyDescent="0.25">
      <c r="A452" s="101" t="s">
        <v>1031</v>
      </c>
      <c r="B452" s="102" t="s">
        <v>696</v>
      </c>
      <c r="C452" s="102"/>
      <c r="D452" s="102" t="s">
        <v>1048</v>
      </c>
      <c r="E452" s="103">
        <v>0.38999999999999702</v>
      </c>
      <c r="F452" s="104">
        <v>200</v>
      </c>
      <c r="G452" s="105">
        <f t="shared" si="188"/>
        <v>100</v>
      </c>
      <c r="H452" s="105">
        <v>2593</v>
      </c>
      <c r="I452" s="106">
        <f t="shared" si="189"/>
        <v>3.8565368299267259E-2</v>
      </c>
      <c r="J452" s="86">
        <v>922</v>
      </c>
      <c r="K452" s="87">
        <v>440</v>
      </c>
      <c r="L452" s="87">
        <v>100</v>
      </c>
      <c r="M452" s="87">
        <v>198</v>
      </c>
      <c r="N452" s="90">
        <v>88</v>
      </c>
      <c r="O452" s="90">
        <v>251</v>
      </c>
      <c r="P452" s="86">
        <f t="shared" si="183"/>
        <v>359.57999999999726</v>
      </c>
      <c r="Q452" s="87">
        <f t="shared" si="184"/>
        <v>171.59999999999869</v>
      </c>
      <c r="R452" s="87">
        <f t="shared" si="185"/>
        <v>38.999999999999702</v>
      </c>
      <c r="S452" s="88">
        <f t="shared" si="186"/>
        <v>77.219999999999402</v>
      </c>
      <c r="T452" s="89">
        <f t="shared" si="187"/>
        <v>34.319999999999737</v>
      </c>
      <c r="U452" s="89">
        <f t="shared" si="190"/>
        <v>97.889999999999247</v>
      </c>
      <c r="V452" s="86">
        <v>200</v>
      </c>
      <c r="W452" s="87">
        <v>242</v>
      </c>
      <c r="X452" s="87">
        <v>477</v>
      </c>
      <c r="Y452" s="87">
        <v>512</v>
      </c>
      <c r="Z452" s="90">
        <v>273</v>
      </c>
      <c r="AA452" s="90">
        <v>234</v>
      </c>
      <c r="AB452" s="91">
        <f t="shared" si="191"/>
        <v>7.7130736598534519E-2</v>
      </c>
      <c r="AC452" s="91">
        <f t="shared" si="192"/>
        <v>9.3328191284226758E-2</v>
      </c>
      <c r="AD452" s="91">
        <f t="shared" si="193"/>
        <v>0.18395680678750481</v>
      </c>
      <c r="AE452" s="91">
        <f t="shared" si="194"/>
        <v>0.19745468569224836</v>
      </c>
      <c r="AF452" s="91">
        <f t="shared" si="195"/>
        <v>0.10528345545699962</v>
      </c>
      <c r="AG452" s="91">
        <f t="shared" si="196"/>
        <v>9.0242961820285378E-2</v>
      </c>
      <c r="AH452" s="92">
        <v>1275.6300000000001</v>
      </c>
      <c r="AI452" s="93">
        <v>910.94999999999982</v>
      </c>
      <c r="AJ452" s="93">
        <v>910.9499999999997</v>
      </c>
      <c r="AK452" s="93">
        <v>1237.1799999999964</v>
      </c>
      <c r="AL452" s="94">
        <v>706.60999999999797</v>
      </c>
      <c r="AM452" s="94">
        <v>78.479999999999905</v>
      </c>
      <c r="AN452" s="94" t="s">
        <v>780</v>
      </c>
      <c r="AO452" s="111">
        <v>22038.879999999997</v>
      </c>
      <c r="AP452" s="112">
        <v>10613.4</v>
      </c>
      <c r="AQ452" s="112">
        <v>2389</v>
      </c>
      <c r="AR452" s="112">
        <v>4730.22</v>
      </c>
      <c r="AS452" s="113">
        <v>2093.52</v>
      </c>
      <c r="AT452" s="113">
        <v>5954.68</v>
      </c>
      <c r="AU452" s="111">
        <v>0</v>
      </c>
      <c r="AV452" s="112">
        <v>0</v>
      </c>
      <c r="AW452" s="112">
        <v>0</v>
      </c>
      <c r="AX452" s="112">
        <v>0</v>
      </c>
      <c r="AY452" s="113">
        <v>0</v>
      </c>
      <c r="AZ452" s="113">
        <v>0</v>
      </c>
    </row>
    <row r="453" spans="1:52" x14ac:dyDescent="0.25">
      <c r="A453" s="101" t="s">
        <v>1032</v>
      </c>
      <c r="B453" s="102" t="s">
        <v>487</v>
      </c>
      <c r="C453" s="102"/>
      <c r="D453" s="102" t="s">
        <v>1048</v>
      </c>
      <c r="E453" s="103">
        <v>0.37999999999999989</v>
      </c>
      <c r="F453" s="104">
        <v>5000</v>
      </c>
      <c r="G453" s="105">
        <f t="shared" si="188"/>
        <v>2500</v>
      </c>
      <c r="H453" s="105">
        <v>6836</v>
      </c>
      <c r="I453" s="106">
        <f t="shared" si="189"/>
        <v>0.36571094207138677</v>
      </c>
      <c r="J453" s="86">
        <v>1490</v>
      </c>
      <c r="K453" s="87">
        <v>1999</v>
      </c>
      <c r="L453" s="87">
        <v>1940</v>
      </c>
      <c r="M453" s="87">
        <v>3198</v>
      </c>
      <c r="N453" s="90">
        <v>1550</v>
      </c>
      <c r="O453" s="90">
        <v>762</v>
      </c>
      <c r="P453" s="86">
        <f t="shared" si="183"/>
        <v>566.19999999999982</v>
      </c>
      <c r="Q453" s="87">
        <f t="shared" si="184"/>
        <v>759.61999999999978</v>
      </c>
      <c r="R453" s="87">
        <f t="shared" si="185"/>
        <v>737.19999999999982</v>
      </c>
      <c r="S453" s="88">
        <f t="shared" si="186"/>
        <v>1215.2399999999996</v>
      </c>
      <c r="T453" s="89">
        <f t="shared" si="187"/>
        <v>588.99999999999989</v>
      </c>
      <c r="U453" s="89">
        <f t="shared" si="190"/>
        <v>289.55999999999995</v>
      </c>
      <c r="V453" s="86">
        <v>1908</v>
      </c>
      <c r="W453" s="87">
        <v>962</v>
      </c>
      <c r="X453" s="87">
        <v>2347</v>
      </c>
      <c r="Y453" s="87">
        <v>853</v>
      </c>
      <c r="Z453" s="90">
        <v>1970</v>
      </c>
      <c r="AA453" s="90">
        <v>2994</v>
      </c>
      <c r="AB453" s="91">
        <f t="shared" si="191"/>
        <v>0.27911059098888241</v>
      </c>
      <c r="AC453" s="91">
        <f t="shared" si="192"/>
        <v>0.14072557050906964</v>
      </c>
      <c r="AD453" s="91">
        <f t="shared" si="193"/>
        <v>0.3433294324166179</v>
      </c>
      <c r="AE453" s="91">
        <f t="shared" si="194"/>
        <v>0.12478057343475717</v>
      </c>
      <c r="AF453" s="91">
        <f t="shared" si="195"/>
        <v>0.28818022235225277</v>
      </c>
      <c r="AG453" s="91">
        <f t="shared" si="196"/>
        <v>0.43797542422469282</v>
      </c>
      <c r="AH453" s="92">
        <v>799.7000000000013</v>
      </c>
      <c r="AI453" s="93">
        <v>690.42999999999961</v>
      </c>
      <c r="AJ453" s="93">
        <v>690.42999999999927</v>
      </c>
      <c r="AK453" s="93">
        <v>1380.6799999999987</v>
      </c>
      <c r="AL453" s="94">
        <v>477.9</v>
      </c>
      <c r="AM453" s="94">
        <v>1150.3399999999899</v>
      </c>
      <c r="AN453" s="94" t="s">
        <v>780</v>
      </c>
      <c r="AO453" s="111">
        <v>6433.1</v>
      </c>
      <c r="AP453" s="112">
        <v>8524.6099999999988</v>
      </c>
      <c r="AQ453" s="112">
        <v>8368.2999999999993</v>
      </c>
      <c r="AR453" s="112">
        <v>13634.98</v>
      </c>
      <c r="AS453" s="113">
        <v>6563.5</v>
      </c>
      <c r="AT453" s="113">
        <v>3205.9399999999996</v>
      </c>
      <c r="AU453" s="111">
        <v>0</v>
      </c>
      <c r="AV453" s="112">
        <v>0</v>
      </c>
      <c r="AW453" s="112">
        <v>0</v>
      </c>
      <c r="AX453" s="112">
        <v>0</v>
      </c>
      <c r="AY453" s="113">
        <v>0</v>
      </c>
      <c r="AZ453" s="113">
        <v>0</v>
      </c>
    </row>
    <row r="454" spans="1:52" x14ac:dyDescent="0.25">
      <c r="A454" s="101" t="s">
        <v>1033</v>
      </c>
      <c r="B454" s="102" t="s">
        <v>515</v>
      </c>
      <c r="C454" s="102"/>
      <c r="D454" s="102" t="s">
        <v>1048</v>
      </c>
      <c r="E454" s="103">
        <v>0.37999999999999989</v>
      </c>
      <c r="F454" s="104">
        <v>15000</v>
      </c>
      <c r="G454" s="105">
        <f t="shared" si="188"/>
        <v>7500</v>
      </c>
      <c r="H454" s="105">
        <v>27341</v>
      </c>
      <c r="I454" s="106">
        <f t="shared" si="189"/>
        <v>0.27431330236640944</v>
      </c>
      <c r="J454" s="86">
        <v>4289</v>
      </c>
      <c r="K454" s="87">
        <v>5765</v>
      </c>
      <c r="L454" s="87">
        <v>5408</v>
      </c>
      <c r="M454" s="87">
        <v>6115</v>
      </c>
      <c r="N454" s="90">
        <v>3894</v>
      </c>
      <c r="O454" s="90">
        <v>5844</v>
      </c>
      <c r="P454" s="86">
        <f t="shared" si="183"/>
        <v>1629.8199999999995</v>
      </c>
      <c r="Q454" s="87">
        <f t="shared" si="184"/>
        <v>2190.6999999999994</v>
      </c>
      <c r="R454" s="87">
        <f t="shared" si="185"/>
        <v>2055.0399999999995</v>
      </c>
      <c r="S454" s="88">
        <f t="shared" si="186"/>
        <v>2323.6999999999994</v>
      </c>
      <c r="T454" s="89">
        <f t="shared" si="187"/>
        <v>1479.7199999999996</v>
      </c>
      <c r="U454" s="89">
        <f t="shared" si="190"/>
        <v>2220.7199999999993</v>
      </c>
      <c r="V454" s="86">
        <v>4214</v>
      </c>
      <c r="W454" s="87">
        <v>5631</v>
      </c>
      <c r="X454" s="87">
        <v>5897</v>
      </c>
      <c r="Y454" s="87">
        <v>8291</v>
      </c>
      <c r="Z454" s="90">
        <v>7164</v>
      </c>
      <c r="AA454" s="90">
        <v>3569</v>
      </c>
      <c r="AB454" s="91">
        <f t="shared" si="191"/>
        <v>0.15412750082293991</v>
      </c>
      <c r="AC454" s="91">
        <f t="shared" si="192"/>
        <v>0.2059544274167002</v>
      </c>
      <c r="AD454" s="91">
        <f t="shared" si="193"/>
        <v>0.21568340587396218</v>
      </c>
      <c r="AE454" s="91">
        <f t="shared" si="194"/>
        <v>0.30324421198932006</v>
      </c>
      <c r="AF454" s="91">
        <f t="shared" si="195"/>
        <v>0.26202406642039427</v>
      </c>
      <c r="AG454" s="91">
        <f t="shared" si="196"/>
        <v>0.13053655681942869</v>
      </c>
      <c r="AH454" s="92">
        <v>2339.959999999995</v>
      </c>
      <c r="AI454" s="93">
        <v>3127.7699999999891</v>
      </c>
      <c r="AJ454" s="93">
        <v>3127.7699999999891</v>
      </c>
      <c r="AK454" s="93">
        <v>2575.3799999999928</v>
      </c>
      <c r="AL454" s="94">
        <v>3049.0700000000702</v>
      </c>
      <c r="AM454" s="94">
        <v>747.71999999999002</v>
      </c>
      <c r="AN454" s="94" t="s">
        <v>780</v>
      </c>
      <c r="AO454" s="111">
        <v>20451.14</v>
      </c>
      <c r="AP454" s="112">
        <v>27538.99</v>
      </c>
      <c r="AQ454" s="112">
        <v>25737.559999999998</v>
      </c>
      <c r="AR454" s="112">
        <v>29093.469999999994</v>
      </c>
      <c r="AS454" s="113">
        <v>18420.11</v>
      </c>
      <c r="AT454" s="113">
        <v>27689.529999999995</v>
      </c>
      <c r="AU454" s="111">
        <v>0</v>
      </c>
      <c r="AV454" s="112">
        <v>0</v>
      </c>
      <c r="AW454" s="112">
        <v>0</v>
      </c>
      <c r="AX454" s="112">
        <v>0</v>
      </c>
      <c r="AY454" s="113">
        <v>0</v>
      </c>
      <c r="AZ454" s="113">
        <v>0</v>
      </c>
    </row>
    <row r="455" spans="1:52" x14ac:dyDescent="0.25">
      <c r="A455" s="101" t="s">
        <v>505</v>
      </c>
      <c r="B455" s="102" t="s">
        <v>506</v>
      </c>
      <c r="C455" s="102"/>
      <c r="D455" s="102" t="s">
        <v>1048</v>
      </c>
      <c r="E455" s="103">
        <v>0.36000000000000032</v>
      </c>
      <c r="F455" s="104">
        <v>2000</v>
      </c>
      <c r="G455" s="105">
        <f t="shared" si="188"/>
        <v>1000</v>
      </c>
      <c r="H455" s="105">
        <v>5089</v>
      </c>
      <c r="I455" s="106">
        <f t="shared" si="189"/>
        <v>0.19650225977598743</v>
      </c>
      <c r="J455" s="86">
        <v>988</v>
      </c>
      <c r="K455" s="87">
        <v>0</v>
      </c>
      <c r="L455" s="87">
        <v>0</v>
      </c>
      <c r="M455" s="87">
        <v>200</v>
      </c>
      <c r="N455" s="90">
        <v>1300</v>
      </c>
      <c r="O455" s="90">
        <v>2220</v>
      </c>
      <c r="P455" s="86">
        <f t="shared" si="183"/>
        <v>355.68000000000029</v>
      </c>
      <c r="Q455" s="87">
        <f t="shared" si="184"/>
        <v>0</v>
      </c>
      <c r="R455" s="87">
        <f t="shared" si="185"/>
        <v>0</v>
      </c>
      <c r="S455" s="88">
        <f t="shared" si="186"/>
        <v>72.000000000000057</v>
      </c>
      <c r="T455" s="89">
        <f t="shared" si="187"/>
        <v>468.0000000000004</v>
      </c>
      <c r="U455" s="89">
        <f t="shared" si="190"/>
        <v>799.20000000000073</v>
      </c>
      <c r="V455" s="86">
        <v>1295</v>
      </c>
      <c r="W455" s="87">
        <v>2061</v>
      </c>
      <c r="X455" s="87">
        <v>1182</v>
      </c>
      <c r="Y455" s="87">
        <v>189</v>
      </c>
      <c r="Z455" s="90">
        <v>510</v>
      </c>
      <c r="AA455" s="90">
        <v>1218</v>
      </c>
      <c r="AB455" s="91">
        <f t="shared" si="191"/>
        <v>0.25447042640990369</v>
      </c>
      <c r="AC455" s="91">
        <f t="shared" si="192"/>
        <v>0.4049911573983101</v>
      </c>
      <c r="AD455" s="91">
        <f t="shared" si="193"/>
        <v>0.23226567105521714</v>
      </c>
      <c r="AE455" s="91">
        <f t="shared" si="194"/>
        <v>3.7138927097661624E-2</v>
      </c>
      <c r="AF455" s="91">
        <f t="shared" si="195"/>
        <v>0.10021615248575359</v>
      </c>
      <c r="AG455" s="91">
        <f t="shared" si="196"/>
        <v>0.23933975240715269</v>
      </c>
      <c r="AH455" s="92">
        <v>721.88000000000125</v>
      </c>
      <c r="AI455" s="93">
        <v>1366.6399999999987</v>
      </c>
      <c r="AJ455" s="93">
        <v>1366.6399999999987</v>
      </c>
      <c r="AK455" s="93">
        <v>584.05999999999995</v>
      </c>
      <c r="AL455" s="94">
        <v>268.86999999999898</v>
      </c>
      <c r="AM455" s="94">
        <v>452.70000000000101</v>
      </c>
      <c r="AN455" s="94" t="s">
        <v>780</v>
      </c>
      <c r="AO455" s="111">
        <v>4248.2</v>
      </c>
      <c r="AP455" s="112">
        <v>0</v>
      </c>
      <c r="AQ455" s="112">
        <v>0</v>
      </c>
      <c r="AR455" s="112">
        <v>876</v>
      </c>
      <c r="AS455" s="113">
        <v>5668</v>
      </c>
      <c r="AT455" s="113">
        <v>9694.119999999999</v>
      </c>
      <c r="AU455" s="111">
        <v>6315.7300000000032</v>
      </c>
      <c r="AV455" s="112">
        <v>10352.599999999984</v>
      </c>
      <c r="AW455" s="112">
        <v>5737.5799999999954</v>
      </c>
      <c r="AX455" s="112">
        <v>1119.22999999999</v>
      </c>
      <c r="AY455" s="113">
        <v>2581.8399999999901</v>
      </c>
      <c r="AZ455" s="113">
        <v>5754.5999999999904</v>
      </c>
    </row>
    <row r="456" spans="1:52" x14ac:dyDescent="0.25">
      <c r="A456" s="101" t="s">
        <v>1034</v>
      </c>
      <c r="B456" s="102" t="s">
        <v>488</v>
      </c>
      <c r="C456" s="102"/>
      <c r="D456" s="102" t="s">
        <v>1048</v>
      </c>
      <c r="E456" s="103">
        <v>0.34999999999999964</v>
      </c>
      <c r="F456" s="104">
        <v>600</v>
      </c>
      <c r="G456" s="105">
        <f t="shared" si="188"/>
        <v>300</v>
      </c>
      <c r="H456" s="105">
        <v>886</v>
      </c>
      <c r="I456" s="106">
        <f t="shared" si="189"/>
        <v>0.33860045146726864</v>
      </c>
      <c r="J456" s="86">
        <v>0</v>
      </c>
      <c r="K456" s="87">
        <v>0</v>
      </c>
      <c r="L456" s="87">
        <v>250</v>
      </c>
      <c r="M456" s="87">
        <v>1060</v>
      </c>
      <c r="N456" s="90">
        <v>698</v>
      </c>
      <c r="O456" s="90">
        <v>271</v>
      </c>
      <c r="P456" s="86">
        <f t="shared" si="183"/>
        <v>0</v>
      </c>
      <c r="Q456" s="87">
        <f t="shared" si="184"/>
        <v>0</v>
      </c>
      <c r="R456" s="87">
        <f t="shared" si="185"/>
        <v>87.499999999999915</v>
      </c>
      <c r="S456" s="88">
        <f t="shared" si="186"/>
        <v>370.9999999999996</v>
      </c>
      <c r="T456" s="89">
        <f t="shared" si="187"/>
        <v>244.29999999999976</v>
      </c>
      <c r="U456" s="89">
        <f t="shared" si="190"/>
        <v>94.849999999999909</v>
      </c>
      <c r="V456" s="86">
        <v>412</v>
      </c>
      <c r="W456" s="87">
        <v>1</v>
      </c>
      <c r="X456" s="87">
        <v>0</v>
      </c>
      <c r="Y456" s="87">
        <v>0</v>
      </c>
      <c r="Z456" s="90">
        <v>32</v>
      </c>
      <c r="AA456" s="90">
        <v>98</v>
      </c>
      <c r="AB456" s="91">
        <f t="shared" si="191"/>
        <v>0.4650112866817156</v>
      </c>
      <c r="AC456" s="91">
        <f t="shared" si="192"/>
        <v>1.128668171557562E-3</v>
      </c>
      <c r="AD456" s="91">
        <f t="shared" si="193"/>
        <v>0</v>
      </c>
      <c r="AE456" s="91">
        <f t="shared" si="194"/>
        <v>0</v>
      </c>
      <c r="AF456" s="91">
        <f t="shared" si="195"/>
        <v>3.6117381489841983E-2</v>
      </c>
      <c r="AG456" s="91">
        <f t="shared" si="196"/>
        <v>0.11060948081264109</v>
      </c>
      <c r="AH456" s="92">
        <v>301.95999999999992</v>
      </c>
      <c r="AI456" s="93">
        <v>1.49</v>
      </c>
      <c r="AJ456" s="93">
        <v>1.49</v>
      </c>
      <c r="AK456" s="93">
        <v>0</v>
      </c>
      <c r="AL456" s="94">
        <v>11.199999999999989</v>
      </c>
      <c r="AM456" s="94">
        <v>37.549999999999898</v>
      </c>
      <c r="AN456" s="94" t="s">
        <v>780</v>
      </c>
      <c r="AO456" s="111">
        <v>0</v>
      </c>
      <c r="AP456" s="112">
        <v>0</v>
      </c>
      <c r="AQ456" s="112">
        <v>972.5</v>
      </c>
      <c r="AR456" s="112">
        <v>4169.2999999999993</v>
      </c>
      <c r="AS456" s="113">
        <v>2732.04</v>
      </c>
      <c r="AT456" s="113">
        <v>1054.19</v>
      </c>
      <c r="AU456" s="111">
        <v>0</v>
      </c>
      <c r="AV456" s="112">
        <v>0</v>
      </c>
      <c r="AW456" s="112">
        <v>0</v>
      </c>
      <c r="AX456" s="112">
        <v>0</v>
      </c>
      <c r="AY456" s="113">
        <v>0</v>
      </c>
      <c r="AZ456" s="113">
        <v>0</v>
      </c>
    </row>
    <row r="457" spans="1:52" x14ac:dyDescent="0.25">
      <c r="A457" s="101" t="s">
        <v>683</v>
      </c>
      <c r="B457" s="102" t="s">
        <v>684</v>
      </c>
      <c r="C457" s="102"/>
      <c r="D457" s="102" t="s">
        <v>1048</v>
      </c>
      <c r="E457" s="103">
        <v>0.33999999999999986</v>
      </c>
      <c r="F457" s="104">
        <v>401.6</v>
      </c>
      <c r="G457" s="105">
        <f t="shared" si="188"/>
        <v>200.8</v>
      </c>
      <c r="H457" s="105">
        <v>670</v>
      </c>
      <c r="I457" s="106">
        <f t="shared" si="189"/>
        <v>0.29970149253731343</v>
      </c>
      <c r="J457" s="86">
        <v>112</v>
      </c>
      <c r="K457" s="87">
        <v>160</v>
      </c>
      <c r="L457" s="87">
        <v>0</v>
      </c>
      <c r="M457" s="87">
        <v>0</v>
      </c>
      <c r="N457" s="90">
        <v>29</v>
      </c>
      <c r="O457" s="90">
        <v>0</v>
      </c>
      <c r="P457" s="86">
        <f t="shared" si="183"/>
        <v>38.079999999999984</v>
      </c>
      <c r="Q457" s="87">
        <f t="shared" si="184"/>
        <v>54.399999999999977</v>
      </c>
      <c r="R457" s="87">
        <f t="shared" si="185"/>
        <v>0</v>
      </c>
      <c r="S457" s="88">
        <f t="shared" si="186"/>
        <v>0</v>
      </c>
      <c r="T457" s="89">
        <f t="shared" si="187"/>
        <v>9.8599999999999959</v>
      </c>
      <c r="U457" s="89">
        <f t="shared" si="190"/>
        <v>0</v>
      </c>
      <c r="V457" s="86">
        <v>268</v>
      </c>
      <c r="W457" s="87">
        <v>94</v>
      </c>
      <c r="X457" s="87">
        <v>84</v>
      </c>
      <c r="Y457" s="87">
        <v>248</v>
      </c>
      <c r="Z457" s="90">
        <v>310</v>
      </c>
      <c r="AA457" s="90">
        <v>306</v>
      </c>
      <c r="AB457" s="91">
        <f t="shared" si="191"/>
        <v>0.4</v>
      </c>
      <c r="AC457" s="91">
        <f t="shared" si="192"/>
        <v>0.14029850746268657</v>
      </c>
      <c r="AD457" s="91">
        <f t="shared" si="193"/>
        <v>0.1253731343283582</v>
      </c>
      <c r="AE457" s="91">
        <f t="shared" si="194"/>
        <v>0.37014925373134328</v>
      </c>
      <c r="AF457" s="91">
        <f t="shared" si="195"/>
        <v>0.46268656716417911</v>
      </c>
      <c r="AG457" s="91">
        <f t="shared" si="196"/>
        <v>0.45671641791044776</v>
      </c>
      <c r="AH457" s="92">
        <v>69.919999999999973</v>
      </c>
      <c r="AI457" s="93">
        <v>37.559999999999938</v>
      </c>
      <c r="AJ457" s="93">
        <v>37.559999999999938</v>
      </c>
      <c r="AK457" s="93">
        <v>20.060000000000002</v>
      </c>
      <c r="AL457" s="94">
        <v>16.459999999999901</v>
      </c>
      <c r="AM457" s="94">
        <v>117.19999999999899</v>
      </c>
      <c r="AN457" s="94" t="s">
        <v>780</v>
      </c>
      <c r="AO457" s="111">
        <v>596.78</v>
      </c>
      <c r="AP457" s="112">
        <v>855.6</v>
      </c>
      <c r="AQ457" s="112">
        <v>0</v>
      </c>
      <c r="AR457" s="112">
        <v>0</v>
      </c>
      <c r="AS457" s="113">
        <v>153.99</v>
      </c>
      <c r="AT457" s="113">
        <v>0</v>
      </c>
      <c r="AU457" s="111">
        <v>4076.5199999999991</v>
      </c>
      <c r="AV457" s="112">
        <v>1442.8599999999988</v>
      </c>
      <c r="AW457" s="112">
        <v>1275.8599999999997</v>
      </c>
      <c r="AX457" s="112">
        <v>3724.06</v>
      </c>
      <c r="AY457" s="113">
        <v>4723.41</v>
      </c>
      <c r="AZ457" s="113">
        <v>4691.8999999999896</v>
      </c>
    </row>
    <row r="458" spans="1:52" x14ac:dyDescent="0.25">
      <c r="A458" s="101" t="s">
        <v>1035</v>
      </c>
      <c r="B458" s="102" t="s">
        <v>663</v>
      </c>
      <c r="C458" s="102"/>
      <c r="D458" s="102" t="s">
        <v>1048</v>
      </c>
      <c r="E458" s="103">
        <v>0.32000000000000028</v>
      </c>
      <c r="F458" s="104">
        <v>2000</v>
      </c>
      <c r="G458" s="105">
        <f t="shared" si="188"/>
        <v>1000</v>
      </c>
      <c r="H458" s="105">
        <v>44009</v>
      </c>
      <c r="I458" s="106">
        <f t="shared" si="189"/>
        <v>2.2722624917630486E-2</v>
      </c>
      <c r="J458" s="86">
        <v>320</v>
      </c>
      <c r="K458" s="87">
        <v>2909</v>
      </c>
      <c r="L458" s="87">
        <v>5031</v>
      </c>
      <c r="M458" s="87">
        <v>13048</v>
      </c>
      <c r="N458" s="90">
        <v>2570</v>
      </c>
      <c r="O458" s="90">
        <v>2612</v>
      </c>
      <c r="P458" s="86">
        <f t="shared" si="183"/>
        <v>102.40000000000009</v>
      </c>
      <c r="Q458" s="87">
        <f t="shared" si="184"/>
        <v>930.88000000000079</v>
      </c>
      <c r="R458" s="87">
        <f t="shared" si="185"/>
        <v>1609.9200000000014</v>
      </c>
      <c r="S458" s="88">
        <f t="shared" si="186"/>
        <v>4175.3600000000033</v>
      </c>
      <c r="T458" s="89">
        <f t="shared" si="187"/>
        <v>822.40000000000077</v>
      </c>
      <c r="U458" s="89">
        <f t="shared" si="190"/>
        <v>835.84000000000071</v>
      </c>
      <c r="V458" s="86">
        <v>49</v>
      </c>
      <c r="W458" s="87">
        <v>1311</v>
      </c>
      <c r="X458" s="87">
        <v>2997</v>
      </c>
      <c r="Y458" s="87">
        <v>5590</v>
      </c>
      <c r="Z458" s="90">
        <v>4073</v>
      </c>
      <c r="AA458" s="90">
        <v>9149</v>
      </c>
      <c r="AB458" s="91">
        <f t="shared" si="191"/>
        <v>1.1134086209638938E-3</v>
      </c>
      <c r="AC458" s="91">
        <f t="shared" si="192"/>
        <v>2.9789361267013564E-2</v>
      </c>
      <c r="AD458" s="91">
        <f t="shared" si="193"/>
        <v>6.8099706878138558E-2</v>
      </c>
      <c r="AE458" s="91">
        <f t="shared" si="194"/>
        <v>0.1270194732895544</v>
      </c>
      <c r="AF458" s="91">
        <f t="shared" si="195"/>
        <v>9.2549251289508958E-2</v>
      </c>
      <c r="AG458" s="91">
        <f t="shared" si="196"/>
        <v>0.2078892953714013</v>
      </c>
      <c r="AH458" s="92">
        <v>83.79000000000002</v>
      </c>
      <c r="AI458" s="93">
        <v>1083.429999999998</v>
      </c>
      <c r="AJ458" s="93">
        <v>1083.429999999998</v>
      </c>
      <c r="AK458" s="93">
        <v>2352.189999999991</v>
      </c>
      <c r="AL458" s="94">
        <v>3215.26999999998</v>
      </c>
      <c r="AM458" s="94">
        <v>3437.4700000000598</v>
      </c>
      <c r="AN458" s="94" t="s">
        <v>780</v>
      </c>
      <c r="AO458" s="111">
        <v>3392</v>
      </c>
      <c r="AP458" s="112">
        <v>33109.910000000003</v>
      </c>
      <c r="AQ458" s="112">
        <v>56621.46</v>
      </c>
      <c r="AR458" s="112">
        <v>149078.86000000002</v>
      </c>
      <c r="AS458" s="113">
        <v>30566.1</v>
      </c>
      <c r="AT458" s="113">
        <v>29307.460000000003</v>
      </c>
      <c r="AU458" s="111">
        <v>0</v>
      </c>
      <c r="AV458" s="112">
        <v>0</v>
      </c>
      <c r="AW458" s="112">
        <v>0</v>
      </c>
      <c r="AX458" s="112">
        <v>0</v>
      </c>
      <c r="AY458" s="113">
        <v>0</v>
      </c>
      <c r="AZ458" s="113">
        <v>0</v>
      </c>
    </row>
    <row r="459" spans="1:52" x14ac:dyDescent="0.25">
      <c r="A459" s="101" t="s">
        <v>1036</v>
      </c>
      <c r="B459" s="102" t="s">
        <v>419</v>
      </c>
      <c r="C459" s="102"/>
      <c r="D459" s="102" t="s">
        <v>1048</v>
      </c>
      <c r="E459" s="103">
        <v>0.31000000000000005</v>
      </c>
      <c r="F459" s="104">
        <v>3000</v>
      </c>
      <c r="G459" s="105">
        <f t="shared" si="188"/>
        <v>1500</v>
      </c>
      <c r="H459" s="105">
        <v>34220</v>
      </c>
      <c r="I459" s="106">
        <f t="shared" si="189"/>
        <v>4.3834015195791935E-2</v>
      </c>
      <c r="J459" s="86">
        <v>90</v>
      </c>
      <c r="K459" s="87">
        <v>0</v>
      </c>
      <c r="L459" s="87">
        <v>0</v>
      </c>
      <c r="M459" s="87">
        <v>596</v>
      </c>
      <c r="N459" s="90">
        <v>700</v>
      </c>
      <c r="O459" s="90">
        <v>96</v>
      </c>
      <c r="P459" s="86">
        <f t="shared" si="183"/>
        <v>27.900000000000006</v>
      </c>
      <c r="Q459" s="87">
        <f t="shared" si="184"/>
        <v>0</v>
      </c>
      <c r="R459" s="87">
        <f t="shared" si="185"/>
        <v>0</v>
      </c>
      <c r="S459" s="88">
        <f t="shared" si="186"/>
        <v>184.76000000000002</v>
      </c>
      <c r="T459" s="89">
        <f t="shared" si="187"/>
        <v>217.00000000000003</v>
      </c>
      <c r="U459" s="89">
        <f t="shared" si="190"/>
        <v>29.760000000000005</v>
      </c>
      <c r="V459" s="86">
        <v>0</v>
      </c>
      <c r="W459" s="87">
        <v>88</v>
      </c>
      <c r="X459" s="87">
        <v>0</v>
      </c>
      <c r="Y459" s="87">
        <v>0</v>
      </c>
      <c r="Z459" s="90">
        <v>99</v>
      </c>
      <c r="AA459" s="90">
        <v>0</v>
      </c>
      <c r="AB459" s="91">
        <f t="shared" si="191"/>
        <v>0</v>
      </c>
      <c r="AC459" s="91">
        <f t="shared" si="192"/>
        <v>2.5715955581531269E-3</v>
      </c>
      <c r="AD459" s="91">
        <f t="shared" si="193"/>
        <v>0</v>
      </c>
      <c r="AE459" s="91">
        <f t="shared" si="194"/>
        <v>0</v>
      </c>
      <c r="AF459" s="91">
        <f t="shared" si="195"/>
        <v>2.8930450029222678E-3</v>
      </c>
      <c r="AG459" s="91">
        <f t="shared" si="196"/>
        <v>0</v>
      </c>
      <c r="AH459" s="92">
        <v>0</v>
      </c>
      <c r="AI459" s="93">
        <v>44.11</v>
      </c>
      <c r="AJ459" s="93">
        <v>44.11</v>
      </c>
      <c r="AK459" s="93">
        <v>0</v>
      </c>
      <c r="AL459" s="94">
        <v>30.690000000000005</v>
      </c>
      <c r="AM459" s="94">
        <v>0</v>
      </c>
      <c r="AN459" s="94" t="s">
        <v>779</v>
      </c>
      <c r="AO459" s="111">
        <v>200.7</v>
      </c>
      <c r="AP459" s="112">
        <v>0</v>
      </c>
      <c r="AQ459" s="112">
        <v>0</v>
      </c>
      <c r="AR459" s="112">
        <v>1421.8</v>
      </c>
      <c r="AS459" s="113">
        <v>1660</v>
      </c>
      <c r="AT459" s="113">
        <v>218.88</v>
      </c>
      <c r="AU459" s="111">
        <v>0</v>
      </c>
      <c r="AV459" s="112">
        <v>0</v>
      </c>
      <c r="AW459" s="112">
        <v>0</v>
      </c>
      <c r="AX459" s="112">
        <v>0</v>
      </c>
      <c r="AY459" s="113">
        <v>0</v>
      </c>
      <c r="AZ459" s="113">
        <v>0</v>
      </c>
    </row>
    <row r="460" spans="1:52" x14ac:dyDescent="0.25">
      <c r="A460" s="101" t="s">
        <v>1037</v>
      </c>
      <c r="B460" s="102" t="s">
        <v>517</v>
      </c>
      <c r="C460" s="102"/>
      <c r="D460" s="102" t="s">
        <v>1048</v>
      </c>
      <c r="E460" s="103">
        <v>0.2799999999999998</v>
      </c>
      <c r="F460" s="104">
        <v>542.4</v>
      </c>
      <c r="G460" s="105">
        <f t="shared" si="188"/>
        <v>271.2</v>
      </c>
      <c r="H460" s="105">
        <v>2032</v>
      </c>
      <c r="I460" s="106">
        <f t="shared" si="189"/>
        <v>0.13346456692913386</v>
      </c>
      <c r="J460" s="86">
        <v>895</v>
      </c>
      <c r="K460" s="87">
        <v>0</v>
      </c>
      <c r="L460" s="87">
        <v>535</v>
      </c>
      <c r="M460" s="87">
        <v>0</v>
      </c>
      <c r="N460" s="90"/>
      <c r="O460" s="90">
        <v>0</v>
      </c>
      <c r="P460" s="86">
        <f t="shared" si="183"/>
        <v>250.59999999999982</v>
      </c>
      <c r="Q460" s="87">
        <f t="shared" si="184"/>
        <v>0</v>
      </c>
      <c r="R460" s="87">
        <f t="shared" si="185"/>
        <v>149.7999999999999</v>
      </c>
      <c r="S460" s="88">
        <f t="shared" si="186"/>
        <v>0</v>
      </c>
      <c r="T460" s="89">
        <f t="shared" si="187"/>
        <v>0</v>
      </c>
      <c r="U460" s="89">
        <f t="shared" si="190"/>
        <v>0</v>
      </c>
      <c r="V460" s="86">
        <v>394</v>
      </c>
      <c r="W460" s="87">
        <v>375</v>
      </c>
      <c r="X460" s="87">
        <v>239</v>
      </c>
      <c r="Y460" s="87">
        <v>104</v>
      </c>
      <c r="Z460" s="90">
        <v>244</v>
      </c>
      <c r="AA460" s="90">
        <v>562</v>
      </c>
      <c r="AB460" s="91">
        <f t="shared" si="191"/>
        <v>0.19389763779527558</v>
      </c>
      <c r="AC460" s="91">
        <f t="shared" si="192"/>
        <v>0.18454724409448819</v>
      </c>
      <c r="AD460" s="91">
        <f t="shared" si="193"/>
        <v>0.11761811023622047</v>
      </c>
      <c r="AE460" s="91">
        <f t="shared" si="194"/>
        <v>5.1181102362204724E-2</v>
      </c>
      <c r="AF460" s="91">
        <f t="shared" si="195"/>
        <v>0.12007874015748031</v>
      </c>
      <c r="AG460" s="91">
        <f t="shared" si="196"/>
        <v>0.27657480314960631</v>
      </c>
      <c r="AH460" s="92">
        <v>162.88999999999999</v>
      </c>
      <c r="AI460" s="93">
        <v>185.68999999999997</v>
      </c>
      <c r="AJ460" s="93">
        <v>185.69</v>
      </c>
      <c r="AK460" s="93">
        <v>113.09</v>
      </c>
      <c r="AL460" s="94">
        <v>64.569999999999993</v>
      </c>
      <c r="AM460" s="94">
        <v>153.6</v>
      </c>
      <c r="AN460" s="94" t="s">
        <v>780</v>
      </c>
      <c r="AO460" s="111">
        <v>3100.25</v>
      </c>
      <c r="AP460" s="112">
        <v>0</v>
      </c>
      <c r="AQ460" s="112">
        <v>1845.75</v>
      </c>
      <c r="AR460" s="112">
        <v>0</v>
      </c>
      <c r="AS460" s="113">
        <v>0</v>
      </c>
      <c r="AT460" s="113">
        <v>0</v>
      </c>
      <c r="AU460" s="111">
        <v>0</v>
      </c>
      <c r="AV460" s="112">
        <v>0</v>
      </c>
      <c r="AW460" s="112">
        <v>0</v>
      </c>
      <c r="AX460" s="112">
        <v>0</v>
      </c>
      <c r="AY460" s="113">
        <v>0</v>
      </c>
      <c r="AZ460" s="113">
        <v>0</v>
      </c>
    </row>
    <row r="461" spans="1:52" x14ac:dyDescent="0.25">
      <c r="A461" s="101" t="s">
        <v>385</v>
      </c>
      <c r="B461" s="102" t="s">
        <v>386</v>
      </c>
      <c r="C461" s="102"/>
      <c r="D461" s="102" t="s">
        <v>1048</v>
      </c>
      <c r="E461" s="103">
        <v>0.2799999999999998</v>
      </c>
      <c r="F461" s="104">
        <v>1000</v>
      </c>
      <c r="G461" s="105">
        <f t="shared" si="188"/>
        <v>500</v>
      </c>
      <c r="H461" s="105">
        <v>3000</v>
      </c>
      <c r="I461" s="106">
        <f t="shared" si="189"/>
        <v>0.16666666666666666</v>
      </c>
      <c r="J461" s="86">
        <v>0</v>
      </c>
      <c r="K461" s="87">
        <v>400</v>
      </c>
      <c r="L461" s="87">
        <v>470</v>
      </c>
      <c r="M461" s="87">
        <v>0</v>
      </c>
      <c r="N461" s="90"/>
      <c r="O461" s="90">
        <v>100</v>
      </c>
      <c r="P461" s="86">
        <f t="shared" si="183"/>
        <v>0</v>
      </c>
      <c r="Q461" s="87">
        <f t="shared" si="184"/>
        <v>111.99999999999991</v>
      </c>
      <c r="R461" s="87">
        <f t="shared" si="185"/>
        <v>131.59999999999991</v>
      </c>
      <c r="S461" s="88">
        <f t="shared" si="186"/>
        <v>0</v>
      </c>
      <c r="T461" s="89">
        <f t="shared" si="187"/>
        <v>0</v>
      </c>
      <c r="U461" s="89">
        <f t="shared" si="190"/>
        <v>27.999999999999979</v>
      </c>
      <c r="V461" s="86">
        <v>99</v>
      </c>
      <c r="W461" s="87">
        <v>0</v>
      </c>
      <c r="X461" s="87">
        <v>41</v>
      </c>
      <c r="Y461" s="87">
        <v>653</v>
      </c>
      <c r="Z461" s="90">
        <v>166</v>
      </c>
      <c r="AA461" s="90">
        <v>0</v>
      </c>
      <c r="AB461" s="91">
        <f t="shared" si="191"/>
        <v>3.3000000000000002E-2</v>
      </c>
      <c r="AC461" s="91">
        <f t="shared" si="192"/>
        <v>0</v>
      </c>
      <c r="AD461" s="91">
        <f t="shared" si="193"/>
        <v>1.3666666666666667E-2</v>
      </c>
      <c r="AE461" s="91">
        <f t="shared" si="194"/>
        <v>0.21766666666666667</v>
      </c>
      <c r="AF461" s="91">
        <f t="shared" si="195"/>
        <v>5.5333333333333332E-2</v>
      </c>
      <c r="AG461" s="91">
        <f t="shared" si="196"/>
        <v>0</v>
      </c>
      <c r="AH461" s="92">
        <v>40.590000000000003</v>
      </c>
      <c r="AI461" s="93">
        <v>0</v>
      </c>
      <c r="AJ461" s="93">
        <v>11.479999999999992</v>
      </c>
      <c r="AK461" s="93">
        <v>41.5</v>
      </c>
      <c r="AL461" s="94">
        <v>234.04</v>
      </c>
      <c r="AM461" s="94">
        <v>0</v>
      </c>
      <c r="AN461" s="94" t="s">
        <v>779</v>
      </c>
      <c r="AO461" s="111">
        <v>0</v>
      </c>
      <c r="AP461" s="112">
        <v>729</v>
      </c>
      <c r="AQ461" s="112">
        <v>867.9</v>
      </c>
      <c r="AR461" s="112">
        <v>0</v>
      </c>
      <c r="AS461" s="113">
        <v>0</v>
      </c>
      <c r="AT461" s="113">
        <v>179.5</v>
      </c>
      <c r="AU461" s="111">
        <v>216.80999999999989</v>
      </c>
      <c r="AV461" s="112">
        <v>0</v>
      </c>
      <c r="AW461" s="112">
        <v>116.94000000000003</v>
      </c>
      <c r="AX461" s="112">
        <v>1431.05</v>
      </c>
      <c r="AY461" s="113">
        <v>352.74</v>
      </c>
      <c r="AZ461" s="113">
        <v>0</v>
      </c>
    </row>
    <row r="462" spans="1:52" x14ac:dyDescent="0.25">
      <c r="A462" s="101" t="s">
        <v>656</v>
      </c>
      <c r="B462" s="102" t="s">
        <v>657</v>
      </c>
      <c r="C462" s="102"/>
      <c r="D462" s="102" t="s">
        <v>1048</v>
      </c>
      <c r="E462" s="103">
        <v>0.26999999999999957</v>
      </c>
      <c r="F462" s="104">
        <v>300</v>
      </c>
      <c r="G462" s="105">
        <f t="shared" si="188"/>
        <v>150</v>
      </c>
      <c r="H462" s="105">
        <v>1047</v>
      </c>
      <c r="I462" s="106">
        <f t="shared" si="189"/>
        <v>0.14326647564469913</v>
      </c>
      <c r="J462" s="86">
        <v>100</v>
      </c>
      <c r="K462" s="87">
        <v>0</v>
      </c>
      <c r="L462" s="87">
        <v>0</v>
      </c>
      <c r="M462" s="87">
        <v>0</v>
      </c>
      <c r="N462" s="90"/>
      <c r="O462" s="90">
        <v>0</v>
      </c>
      <c r="P462" s="86">
        <f t="shared" si="183"/>
        <v>26.999999999999957</v>
      </c>
      <c r="Q462" s="87">
        <f t="shared" si="184"/>
        <v>0</v>
      </c>
      <c r="R462" s="87">
        <f t="shared" si="185"/>
        <v>0</v>
      </c>
      <c r="S462" s="88">
        <f t="shared" si="186"/>
        <v>0</v>
      </c>
      <c r="T462" s="89">
        <f t="shared" si="187"/>
        <v>0</v>
      </c>
      <c r="U462" s="89">
        <f t="shared" si="190"/>
        <v>0</v>
      </c>
      <c r="V462" s="86">
        <v>5</v>
      </c>
      <c r="W462" s="87">
        <v>0</v>
      </c>
      <c r="X462" s="87">
        <v>2</v>
      </c>
      <c r="Y462" s="87">
        <v>0</v>
      </c>
      <c r="Z462" s="90">
        <v>0</v>
      </c>
      <c r="AA462" s="90">
        <v>0</v>
      </c>
      <c r="AB462" s="91">
        <f t="shared" si="191"/>
        <v>4.7755491881566383E-3</v>
      </c>
      <c r="AC462" s="91">
        <f t="shared" si="192"/>
        <v>0</v>
      </c>
      <c r="AD462" s="91">
        <f t="shared" si="193"/>
        <v>1.9102196752626551E-3</v>
      </c>
      <c r="AE462" s="91">
        <f t="shared" si="194"/>
        <v>0</v>
      </c>
      <c r="AF462" s="91">
        <f t="shared" si="195"/>
        <v>0</v>
      </c>
      <c r="AG462" s="91">
        <f t="shared" si="196"/>
        <v>0</v>
      </c>
      <c r="AH462" s="92">
        <v>6.8000000000000007</v>
      </c>
      <c r="AI462" s="93">
        <v>0</v>
      </c>
      <c r="AJ462" s="93">
        <v>0.53999999999999915</v>
      </c>
      <c r="AK462" s="93">
        <v>1.6</v>
      </c>
      <c r="AL462" s="94">
        <v>0</v>
      </c>
      <c r="AM462" s="94">
        <v>0</v>
      </c>
      <c r="AN462" s="94" t="s">
        <v>780</v>
      </c>
      <c r="AO462" s="111">
        <v>0</v>
      </c>
      <c r="AP462" s="112">
        <v>0</v>
      </c>
      <c r="AQ462" s="112">
        <v>0</v>
      </c>
      <c r="AR462" s="112">
        <v>0</v>
      </c>
      <c r="AS462" s="113">
        <v>0</v>
      </c>
      <c r="AT462" s="113">
        <v>0</v>
      </c>
      <c r="AU462" s="111">
        <v>49</v>
      </c>
      <c r="AV462" s="112">
        <v>0</v>
      </c>
      <c r="AW462" s="112">
        <v>18.54</v>
      </c>
      <c r="AX462" s="112">
        <v>0</v>
      </c>
      <c r="AY462" s="113">
        <v>0</v>
      </c>
      <c r="AZ462" s="113">
        <v>0</v>
      </c>
    </row>
    <row r="463" spans="1:52" x14ac:dyDescent="0.25">
      <c r="A463" s="101" t="s">
        <v>697</v>
      </c>
      <c r="B463" s="102" t="s">
        <v>698</v>
      </c>
      <c r="C463" s="102"/>
      <c r="D463" s="102" t="s">
        <v>1048</v>
      </c>
      <c r="E463" s="103">
        <v>0.25999999999999979</v>
      </c>
      <c r="F463" s="104">
        <v>10000</v>
      </c>
      <c r="G463" s="105">
        <f t="shared" si="188"/>
        <v>5000</v>
      </c>
      <c r="H463" s="105">
        <v>21099</v>
      </c>
      <c r="I463" s="106">
        <f t="shared" si="189"/>
        <v>0.23697805583202997</v>
      </c>
      <c r="J463" s="86">
        <v>4471</v>
      </c>
      <c r="K463" s="87">
        <v>5948</v>
      </c>
      <c r="L463" s="87">
        <v>4179</v>
      </c>
      <c r="M463" s="87">
        <v>2911</v>
      </c>
      <c r="N463" s="90"/>
      <c r="O463" s="90">
        <v>0</v>
      </c>
      <c r="P463" s="86">
        <f t="shared" si="183"/>
        <v>1162.4599999999991</v>
      </c>
      <c r="Q463" s="87">
        <f t="shared" si="184"/>
        <v>1546.4799999999987</v>
      </c>
      <c r="R463" s="87">
        <f t="shared" si="185"/>
        <v>1086.5399999999991</v>
      </c>
      <c r="S463" s="88">
        <f t="shared" si="186"/>
        <v>756.85999999999933</v>
      </c>
      <c r="T463" s="89">
        <f t="shared" si="187"/>
        <v>0</v>
      </c>
      <c r="U463" s="89">
        <f t="shared" si="190"/>
        <v>0</v>
      </c>
      <c r="V463" s="86">
        <v>2842</v>
      </c>
      <c r="W463" s="87">
        <v>3045</v>
      </c>
      <c r="X463" s="87">
        <v>4328</v>
      </c>
      <c r="Y463" s="87">
        <v>5326</v>
      </c>
      <c r="Z463" s="90">
        <v>4364</v>
      </c>
      <c r="AA463" s="90">
        <v>1377</v>
      </c>
      <c r="AB463" s="91">
        <f t="shared" si="191"/>
        <v>0.13469832693492584</v>
      </c>
      <c r="AC463" s="91">
        <f t="shared" si="192"/>
        <v>0.14431963600170625</v>
      </c>
      <c r="AD463" s="91">
        <f t="shared" si="193"/>
        <v>0.20512820512820512</v>
      </c>
      <c r="AE463" s="91">
        <f t="shared" si="194"/>
        <v>0.25242902507227832</v>
      </c>
      <c r="AF463" s="91">
        <f t="shared" si="195"/>
        <v>0.20683444713019575</v>
      </c>
      <c r="AG463" s="91">
        <f t="shared" si="196"/>
        <v>6.5263756576141044E-2</v>
      </c>
      <c r="AH463" s="92">
        <v>2141.5900000000088</v>
      </c>
      <c r="AI463" s="93">
        <v>3286.179999999993</v>
      </c>
      <c r="AJ463" s="93">
        <v>3286.179999999993</v>
      </c>
      <c r="AK463" s="93">
        <v>4026.5499999999952</v>
      </c>
      <c r="AL463" s="94">
        <v>2597.6300000000701</v>
      </c>
      <c r="AM463" s="94">
        <v>451.60000000000201</v>
      </c>
      <c r="AN463" s="94" t="s">
        <v>780</v>
      </c>
      <c r="AO463" s="111">
        <v>71074.679999999993</v>
      </c>
      <c r="AP463" s="112">
        <v>92958.23</v>
      </c>
      <c r="AQ463" s="112">
        <v>66305.649999999994</v>
      </c>
      <c r="AR463" s="112">
        <v>46004.189999999995</v>
      </c>
      <c r="AS463" s="113">
        <v>0</v>
      </c>
      <c r="AT463" s="113">
        <v>0</v>
      </c>
      <c r="AU463" s="111">
        <v>47489.20999999989</v>
      </c>
      <c r="AV463" s="112">
        <v>51981.049999999916</v>
      </c>
      <c r="AW463" s="112">
        <v>73049.979999999894</v>
      </c>
      <c r="AX463" s="112">
        <v>87221.99</v>
      </c>
      <c r="AY463" s="113">
        <v>69888.249999997905</v>
      </c>
      <c r="AZ463" s="113">
        <v>22197.7599999999</v>
      </c>
    </row>
    <row r="464" spans="1:52" x14ac:dyDescent="0.25">
      <c r="A464" s="101" t="s">
        <v>1038</v>
      </c>
      <c r="B464" s="102" t="s">
        <v>332</v>
      </c>
      <c r="C464" s="102"/>
      <c r="D464" s="102" t="s">
        <v>1048</v>
      </c>
      <c r="E464" s="103">
        <v>0.25</v>
      </c>
      <c r="F464" s="104">
        <v>6000</v>
      </c>
      <c r="G464" s="105">
        <f t="shared" si="188"/>
        <v>3000</v>
      </c>
      <c r="H464" s="105">
        <v>4138</v>
      </c>
      <c r="I464" s="106">
        <f t="shared" si="189"/>
        <v>0.7249879168680522</v>
      </c>
      <c r="J464" s="86">
        <v>2709</v>
      </c>
      <c r="K464" s="87">
        <v>0</v>
      </c>
      <c r="L464" s="87">
        <v>0</v>
      </c>
      <c r="M464" s="87">
        <v>5137</v>
      </c>
      <c r="N464" s="90">
        <v>15827</v>
      </c>
      <c r="O464" s="90">
        <v>10956</v>
      </c>
      <c r="P464" s="86">
        <f t="shared" si="183"/>
        <v>677.25</v>
      </c>
      <c r="Q464" s="87">
        <f t="shared" si="184"/>
        <v>0</v>
      </c>
      <c r="R464" s="87">
        <f t="shared" si="185"/>
        <v>0</v>
      </c>
      <c r="S464" s="88">
        <f t="shared" si="186"/>
        <v>1284.25</v>
      </c>
      <c r="T464" s="89">
        <f t="shared" si="187"/>
        <v>3956.75</v>
      </c>
      <c r="U464" s="89">
        <f t="shared" si="190"/>
        <v>2739</v>
      </c>
      <c r="V464" s="86">
        <v>4637</v>
      </c>
      <c r="W464" s="87">
        <v>4048</v>
      </c>
      <c r="X464" s="87">
        <v>6967</v>
      </c>
      <c r="Y464" s="87">
        <v>7591</v>
      </c>
      <c r="Z464" s="90">
        <v>2324</v>
      </c>
      <c r="AA464" s="90">
        <v>11415</v>
      </c>
      <c r="AB464" s="91">
        <f t="shared" si="191"/>
        <v>1.1205896568390528</v>
      </c>
      <c r="AC464" s="91">
        <f t="shared" si="192"/>
        <v>0.97825036249395847</v>
      </c>
      <c r="AD464" s="91">
        <f t="shared" si="193"/>
        <v>1.6836636056065732</v>
      </c>
      <c r="AE464" s="91">
        <f t="shared" si="194"/>
        <v>1.8344610923151281</v>
      </c>
      <c r="AF464" s="91">
        <f t="shared" si="195"/>
        <v>0.56162397293378441</v>
      </c>
      <c r="AG464" s="91">
        <f t="shared" si="196"/>
        <v>2.7585790236829388</v>
      </c>
      <c r="AH464" s="92">
        <v>1444.56</v>
      </c>
      <c r="AI464" s="93">
        <v>1189.579999999999</v>
      </c>
      <c r="AJ464" s="93">
        <v>1189.5799999999992</v>
      </c>
      <c r="AK464" s="93">
        <v>2089.7799999999961</v>
      </c>
      <c r="AL464" s="94">
        <v>1822.8099999999899</v>
      </c>
      <c r="AM464" s="94">
        <v>3112.13</v>
      </c>
      <c r="AN464" s="94" t="s">
        <v>779</v>
      </c>
      <c r="AO464" s="111">
        <v>3274.2899999999995</v>
      </c>
      <c r="AP464" s="112">
        <v>0</v>
      </c>
      <c r="AQ464" s="112">
        <v>0</v>
      </c>
      <c r="AR464" s="112">
        <v>6033.57</v>
      </c>
      <c r="AS464" s="113">
        <v>18559.649999999998</v>
      </c>
      <c r="AT464" s="113">
        <v>12822.52</v>
      </c>
      <c r="AU464" s="111">
        <v>0</v>
      </c>
      <c r="AV464" s="112">
        <v>0</v>
      </c>
      <c r="AW464" s="112">
        <v>0</v>
      </c>
      <c r="AX464" s="112">
        <v>0</v>
      </c>
      <c r="AY464" s="113">
        <v>0</v>
      </c>
      <c r="AZ464" s="113">
        <v>0</v>
      </c>
    </row>
    <row r="465" spans="1:52" x14ac:dyDescent="0.25">
      <c r="A465" s="101" t="s">
        <v>692</v>
      </c>
      <c r="B465" s="102" t="s">
        <v>693</v>
      </c>
      <c r="C465" s="102"/>
      <c r="D465" s="102" t="s">
        <v>1048</v>
      </c>
      <c r="E465" s="103">
        <v>0.24000000000000021</v>
      </c>
      <c r="F465" s="104">
        <v>1000</v>
      </c>
      <c r="G465" s="105">
        <f t="shared" si="188"/>
        <v>500</v>
      </c>
      <c r="H465" s="105">
        <v>749</v>
      </c>
      <c r="I465" s="106">
        <f t="shared" si="189"/>
        <v>0.66755674232309747</v>
      </c>
      <c r="J465" s="86">
        <v>1590</v>
      </c>
      <c r="K465" s="87">
        <v>879</v>
      </c>
      <c r="L465" s="87">
        <v>0</v>
      </c>
      <c r="M465" s="87">
        <v>200</v>
      </c>
      <c r="N465" s="90">
        <v>1095</v>
      </c>
      <c r="O465" s="90">
        <v>1204</v>
      </c>
      <c r="P465" s="86">
        <f t="shared" si="183"/>
        <v>381.60000000000036</v>
      </c>
      <c r="Q465" s="87">
        <f t="shared" si="184"/>
        <v>210.96000000000018</v>
      </c>
      <c r="R465" s="87">
        <f t="shared" si="185"/>
        <v>0</v>
      </c>
      <c r="S465" s="88">
        <f t="shared" si="186"/>
        <v>48.000000000000043</v>
      </c>
      <c r="T465" s="89">
        <f t="shared" si="187"/>
        <v>262.80000000000024</v>
      </c>
      <c r="U465" s="89">
        <f t="shared" si="190"/>
        <v>288.96000000000026</v>
      </c>
      <c r="V465" s="86">
        <v>654</v>
      </c>
      <c r="W465" s="87">
        <v>634</v>
      </c>
      <c r="X465" s="87">
        <v>784</v>
      </c>
      <c r="Y465" s="87">
        <v>577</v>
      </c>
      <c r="Z465" s="90">
        <v>840</v>
      </c>
      <c r="AA465" s="90">
        <v>760</v>
      </c>
      <c r="AB465" s="91">
        <f t="shared" si="191"/>
        <v>0.87316421895861152</v>
      </c>
      <c r="AC465" s="91">
        <f t="shared" si="192"/>
        <v>0.84646194926568763</v>
      </c>
      <c r="AD465" s="91">
        <f t="shared" si="193"/>
        <v>1.0467289719626167</v>
      </c>
      <c r="AE465" s="91">
        <f t="shared" si="194"/>
        <v>0.77036048064085449</v>
      </c>
      <c r="AF465" s="91">
        <f t="shared" si="195"/>
        <v>1.1214953271028036</v>
      </c>
      <c r="AG465" s="91">
        <f t="shared" si="196"/>
        <v>1.0146862483311081</v>
      </c>
      <c r="AH465" s="92">
        <v>935.79000000000008</v>
      </c>
      <c r="AI465" s="93">
        <v>642.4699999999998</v>
      </c>
      <c r="AJ465" s="93">
        <v>642.46999999999969</v>
      </c>
      <c r="AK465" s="93">
        <v>1018.8899999999993</v>
      </c>
      <c r="AL465" s="94">
        <v>689.88999999999896</v>
      </c>
      <c r="AM465" s="94">
        <v>216.95</v>
      </c>
      <c r="AN465" s="94" t="s">
        <v>780</v>
      </c>
      <c r="AO465" s="111">
        <v>22001.9</v>
      </c>
      <c r="AP465" s="112">
        <v>12307.26</v>
      </c>
      <c r="AQ465" s="112">
        <v>0</v>
      </c>
      <c r="AR465" s="112">
        <v>2762</v>
      </c>
      <c r="AS465" s="113">
        <v>15045.3</v>
      </c>
      <c r="AT465" s="113">
        <v>16535.739999999998</v>
      </c>
      <c r="AU465" s="111">
        <v>10042.370000000001</v>
      </c>
      <c r="AV465" s="112">
        <v>9459.7099999999846</v>
      </c>
      <c r="AW465" s="112">
        <v>11932.369999999948</v>
      </c>
      <c r="AX465" s="112">
        <v>8721.7299999999796</v>
      </c>
      <c r="AY465" s="113">
        <v>12631.4899999999</v>
      </c>
      <c r="AZ465" s="113">
        <v>10641.13</v>
      </c>
    </row>
    <row r="466" spans="1:52" x14ac:dyDescent="0.25">
      <c r="A466" s="101" t="s">
        <v>580</v>
      </c>
      <c r="B466" s="102" t="s">
        <v>581</v>
      </c>
      <c r="C466" s="102"/>
      <c r="D466" s="102" t="s">
        <v>1048</v>
      </c>
      <c r="E466" s="103">
        <v>0.2200000000000002</v>
      </c>
      <c r="F466" s="104">
        <v>3000</v>
      </c>
      <c r="G466" s="105">
        <f t="shared" si="188"/>
        <v>1500</v>
      </c>
      <c r="H466" s="105">
        <v>24858</v>
      </c>
      <c r="I466" s="106">
        <f t="shared" si="189"/>
        <v>6.0342746801834421E-2</v>
      </c>
      <c r="J466" s="86">
        <v>3820</v>
      </c>
      <c r="K466" s="87">
        <v>3941</v>
      </c>
      <c r="L466" s="87">
        <v>230</v>
      </c>
      <c r="M466" s="87">
        <v>565</v>
      </c>
      <c r="N466" s="90">
        <v>585</v>
      </c>
      <c r="O466" s="90">
        <v>5687</v>
      </c>
      <c r="P466" s="86">
        <f t="shared" si="183"/>
        <v>840.40000000000077</v>
      </c>
      <c r="Q466" s="87">
        <f t="shared" si="184"/>
        <v>867.02000000000078</v>
      </c>
      <c r="R466" s="87">
        <f t="shared" si="185"/>
        <v>50.600000000000044</v>
      </c>
      <c r="S466" s="88">
        <f t="shared" si="186"/>
        <v>124.30000000000011</v>
      </c>
      <c r="T466" s="89">
        <f t="shared" si="187"/>
        <v>128.7000000000001</v>
      </c>
      <c r="U466" s="89">
        <f t="shared" si="190"/>
        <v>1251.140000000001</v>
      </c>
      <c r="V466" s="86">
        <v>282</v>
      </c>
      <c r="W466" s="87">
        <v>928</v>
      </c>
      <c r="X466" s="87">
        <v>3183</v>
      </c>
      <c r="Y466" s="87">
        <v>2363</v>
      </c>
      <c r="Z466" s="90">
        <v>2804</v>
      </c>
      <c r="AA466" s="90">
        <v>2424</v>
      </c>
      <c r="AB466" s="91">
        <f t="shared" si="191"/>
        <v>1.1344436398744872E-2</v>
      </c>
      <c r="AC466" s="91">
        <f t="shared" si="192"/>
        <v>3.7332046021401562E-2</v>
      </c>
      <c r="AD466" s="91">
        <f t="shared" si="193"/>
        <v>0.12804730871349262</v>
      </c>
      <c r="AE466" s="91">
        <f t="shared" si="194"/>
        <v>9.5059940461823159E-2</v>
      </c>
      <c r="AF466" s="91">
        <f t="shared" si="195"/>
        <v>0.11280070802156247</v>
      </c>
      <c r="AG466" s="91">
        <f t="shared" si="196"/>
        <v>9.751387883176442E-2</v>
      </c>
      <c r="AH466" s="92">
        <v>179.57</v>
      </c>
      <c r="AI466" s="93">
        <v>596.10999999999967</v>
      </c>
      <c r="AJ466" s="93">
        <v>596.10999999999956</v>
      </c>
      <c r="AK466" s="93">
        <v>1919.9399999999969</v>
      </c>
      <c r="AL466" s="94">
        <v>690.56999999999903</v>
      </c>
      <c r="AM466" s="94">
        <v>528.14</v>
      </c>
      <c r="AN466" s="94" t="s">
        <v>780</v>
      </c>
      <c r="AO466" s="111">
        <v>14610.4</v>
      </c>
      <c r="AP466" s="112">
        <v>15556.78</v>
      </c>
      <c r="AQ466" s="112">
        <v>871.7</v>
      </c>
      <c r="AR466" s="112">
        <v>2076.0500000000002</v>
      </c>
      <c r="AS466" s="113">
        <v>2217.15</v>
      </c>
      <c r="AT466" s="113">
        <v>21436.650000000005</v>
      </c>
      <c r="AU466" s="111">
        <v>1254.18</v>
      </c>
      <c r="AV466" s="112">
        <v>4173.8199999999979</v>
      </c>
      <c r="AW466" s="112">
        <v>14215.37999999999</v>
      </c>
      <c r="AX466" s="112">
        <v>9871.4699999999903</v>
      </c>
      <c r="AY466" s="113">
        <v>11983.52</v>
      </c>
      <c r="AZ466" s="113">
        <v>9669.0199999999695</v>
      </c>
    </row>
    <row r="467" spans="1:52" x14ac:dyDescent="0.25">
      <c r="A467" s="101" t="s">
        <v>1039</v>
      </c>
      <c r="B467" s="102" t="s">
        <v>573</v>
      </c>
      <c r="C467" s="102"/>
      <c r="D467" s="102" t="s">
        <v>1048</v>
      </c>
      <c r="E467" s="103">
        <v>0.21999999999999975</v>
      </c>
      <c r="F467" s="104">
        <v>1000</v>
      </c>
      <c r="G467" s="105">
        <f t="shared" si="188"/>
        <v>500</v>
      </c>
      <c r="H467" s="105">
        <v>7279</v>
      </c>
      <c r="I467" s="106">
        <f t="shared" si="189"/>
        <v>6.8690754224481385E-2</v>
      </c>
      <c r="J467" s="86">
        <v>1345</v>
      </c>
      <c r="K467" s="87">
        <v>3852</v>
      </c>
      <c r="L467" s="87">
        <v>3821</v>
      </c>
      <c r="M467" s="87">
        <v>4346</v>
      </c>
      <c r="N467" s="90">
        <v>2216</v>
      </c>
      <c r="O467" s="90">
        <v>2968</v>
      </c>
      <c r="P467" s="86">
        <f t="shared" si="183"/>
        <v>295.89999999999969</v>
      </c>
      <c r="Q467" s="87">
        <f t="shared" si="184"/>
        <v>847.43999999999903</v>
      </c>
      <c r="R467" s="87">
        <f t="shared" si="185"/>
        <v>840.6199999999991</v>
      </c>
      <c r="S467" s="88">
        <f t="shared" si="186"/>
        <v>956.11999999999887</v>
      </c>
      <c r="T467" s="89">
        <f t="shared" si="187"/>
        <v>487.51999999999947</v>
      </c>
      <c r="U467" s="89">
        <f t="shared" si="190"/>
        <v>652.95999999999924</v>
      </c>
      <c r="V467" s="86">
        <v>26</v>
      </c>
      <c r="W467" s="87">
        <v>372</v>
      </c>
      <c r="X467" s="87">
        <v>2139</v>
      </c>
      <c r="Y467" s="87">
        <v>2000</v>
      </c>
      <c r="Z467" s="90">
        <v>488</v>
      </c>
      <c r="AA467" s="90">
        <v>455</v>
      </c>
      <c r="AB467" s="91">
        <f t="shared" si="191"/>
        <v>3.5719192196730322E-3</v>
      </c>
      <c r="AC467" s="91">
        <f t="shared" si="192"/>
        <v>5.1105921143014148E-2</v>
      </c>
      <c r="AD467" s="91">
        <f t="shared" si="193"/>
        <v>0.29385904657233136</v>
      </c>
      <c r="AE467" s="91">
        <f t="shared" si="194"/>
        <v>0.27476301689792554</v>
      </c>
      <c r="AF467" s="91">
        <f t="shared" si="195"/>
        <v>6.7042176123093836E-2</v>
      </c>
      <c r="AG467" s="91">
        <f t="shared" si="196"/>
        <v>6.2508586344278055E-2</v>
      </c>
      <c r="AH467" s="92">
        <v>5.24</v>
      </c>
      <c r="AI467" s="93">
        <v>240.76999999999973</v>
      </c>
      <c r="AJ467" s="93">
        <v>240.7699999999997</v>
      </c>
      <c r="AK467" s="93">
        <v>1059.8099999999986</v>
      </c>
      <c r="AL467" s="94">
        <v>985.48999999999899</v>
      </c>
      <c r="AM467" s="94">
        <v>53.299999999999798</v>
      </c>
      <c r="AN467" s="94" t="s">
        <v>780</v>
      </c>
      <c r="AO467" s="111">
        <v>4875.8999999999996</v>
      </c>
      <c r="AP467" s="112">
        <v>14049.490000000002</v>
      </c>
      <c r="AQ467" s="112">
        <v>13971.09</v>
      </c>
      <c r="AR467" s="112">
        <v>15875.77</v>
      </c>
      <c r="AS467" s="113">
        <v>8090.5</v>
      </c>
      <c r="AT467" s="113">
        <v>10707.3</v>
      </c>
      <c r="AU467" s="111">
        <v>0</v>
      </c>
      <c r="AV467" s="112">
        <v>0</v>
      </c>
      <c r="AW467" s="112">
        <v>0</v>
      </c>
      <c r="AX467" s="112">
        <v>0</v>
      </c>
      <c r="AY467" s="113">
        <v>0</v>
      </c>
      <c r="AZ467" s="113">
        <v>0</v>
      </c>
    </row>
    <row r="468" spans="1:52" x14ac:dyDescent="0.25">
      <c r="A468" s="101" t="s">
        <v>1040</v>
      </c>
      <c r="B468" s="102" t="s">
        <v>708</v>
      </c>
      <c r="C468" s="102"/>
      <c r="D468" s="102" t="s">
        <v>1048</v>
      </c>
      <c r="E468" s="103">
        <v>0.21999999999999886</v>
      </c>
      <c r="F468" s="104">
        <v>10000</v>
      </c>
      <c r="G468" s="105">
        <f t="shared" si="188"/>
        <v>5000</v>
      </c>
      <c r="H468" s="105">
        <v>44402</v>
      </c>
      <c r="I468" s="106">
        <f t="shared" si="189"/>
        <v>0.11260754020089185</v>
      </c>
      <c r="J468" s="86">
        <v>1385</v>
      </c>
      <c r="K468" s="87">
        <v>1161</v>
      </c>
      <c r="L468" s="87">
        <v>3082</v>
      </c>
      <c r="M468" s="87">
        <v>10142</v>
      </c>
      <c r="N468" s="90">
        <v>3945</v>
      </c>
      <c r="O468" s="90">
        <v>4781</v>
      </c>
      <c r="P468" s="86">
        <f t="shared" si="183"/>
        <v>304.69999999999845</v>
      </c>
      <c r="Q468" s="87">
        <f t="shared" si="184"/>
        <v>255.41999999999868</v>
      </c>
      <c r="R468" s="87">
        <f t="shared" si="185"/>
        <v>678.03999999999655</v>
      </c>
      <c r="S468" s="88">
        <f t="shared" si="186"/>
        <v>2231.2399999999884</v>
      </c>
      <c r="T468" s="89">
        <f t="shared" si="187"/>
        <v>867.89999999999554</v>
      </c>
      <c r="U468" s="89">
        <f t="shared" si="190"/>
        <v>1051.8199999999945</v>
      </c>
      <c r="V468" s="86">
        <v>4672</v>
      </c>
      <c r="W468" s="87">
        <v>3307</v>
      </c>
      <c r="X468" s="87">
        <v>2175</v>
      </c>
      <c r="Y468" s="87">
        <v>3142</v>
      </c>
      <c r="Z468" s="90">
        <v>5948</v>
      </c>
      <c r="AA468" s="90">
        <v>7314</v>
      </c>
      <c r="AB468" s="91">
        <f t="shared" si="191"/>
        <v>0.10522048556371334</v>
      </c>
      <c r="AC468" s="91">
        <f t="shared" si="192"/>
        <v>7.4478627088869875E-2</v>
      </c>
      <c r="AD468" s="91">
        <f t="shared" si="193"/>
        <v>4.8984279987387955E-2</v>
      </c>
      <c r="AE468" s="91">
        <f t="shared" si="194"/>
        <v>7.0762578262240444E-2</v>
      </c>
      <c r="AF468" s="91">
        <f t="shared" si="195"/>
        <v>0.13395792982298094</v>
      </c>
      <c r="AG468" s="91">
        <f t="shared" si="196"/>
        <v>0.16472230980586461</v>
      </c>
      <c r="AH468" s="92">
        <v>4485.7299999999914</v>
      </c>
      <c r="AI468" s="93">
        <v>3532.9099999999962</v>
      </c>
      <c r="AJ468" s="93">
        <v>3532.9099999999953</v>
      </c>
      <c r="AK468" s="93">
        <v>6913.7799999999697</v>
      </c>
      <c r="AL468" s="94">
        <v>5228.1099999999997</v>
      </c>
      <c r="AM468" s="94">
        <v>1072.46000000001</v>
      </c>
      <c r="AN468" s="94" t="s">
        <v>780</v>
      </c>
      <c r="AO468" s="111">
        <v>29801.47</v>
      </c>
      <c r="AP468" s="112">
        <v>24196.360000000004</v>
      </c>
      <c r="AQ468" s="112">
        <v>65545.7</v>
      </c>
      <c r="AR468" s="112">
        <v>217377.97000000003</v>
      </c>
      <c r="AS468" s="113">
        <v>82781.45</v>
      </c>
      <c r="AT468" s="113">
        <v>101477.03</v>
      </c>
      <c r="AU468" s="111">
        <v>0</v>
      </c>
      <c r="AV468" s="112">
        <v>0</v>
      </c>
      <c r="AW468" s="112">
        <v>0</v>
      </c>
      <c r="AX468" s="112">
        <v>0</v>
      </c>
      <c r="AY468" s="113">
        <v>0</v>
      </c>
      <c r="AZ468" s="113">
        <v>0</v>
      </c>
    </row>
    <row r="469" spans="1:52" x14ac:dyDescent="0.25">
      <c r="A469" s="101" t="s">
        <v>732</v>
      </c>
      <c r="B469" s="102" t="s">
        <v>733</v>
      </c>
      <c r="C469" s="102"/>
      <c r="D469" s="102" t="s">
        <v>1048</v>
      </c>
      <c r="E469" s="103">
        <v>0.21</v>
      </c>
      <c r="F469" s="104">
        <v>4074</v>
      </c>
      <c r="G469" s="105">
        <f t="shared" si="188"/>
        <v>2037</v>
      </c>
      <c r="H469" s="105">
        <v>11495</v>
      </c>
      <c r="I469" s="106">
        <f t="shared" si="189"/>
        <v>0.17720748151370161</v>
      </c>
      <c r="J469" s="86">
        <v>0</v>
      </c>
      <c r="K469" s="87">
        <v>0</v>
      </c>
      <c r="L469" s="87">
        <v>0</v>
      </c>
      <c r="M469" s="87">
        <v>4000</v>
      </c>
      <c r="N469" s="90">
        <v>547</v>
      </c>
      <c r="O469" s="90">
        <v>0</v>
      </c>
      <c r="P469" s="86">
        <f t="shared" si="183"/>
        <v>0</v>
      </c>
      <c r="Q469" s="87">
        <f t="shared" si="184"/>
        <v>0</v>
      </c>
      <c r="R469" s="87">
        <f t="shared" si="185"/>
        <v>0</v>
      </c>
      <c r="S469" s="88">
        <f t="shared" si="186"/>
        <v>840</v>
      </c>
      <c r="T469" s="89">
        <f t="shared" si="187"/>
        <v>114.86999999999999</v>
      </c>
      <c r="U469" s="89">
        <f t="shared" si="190"/>
        <v>0</v>
      </c>
      <c r="V469" s="86">
        <v>2282</v>
      </c>
      <c r="W469" s="87">
        <v>2611</v>
      </c>
      <c r="X469" s="87">
        <v>2802</v>
      </c>
      <c r="Y469" s="87">
        <v>1088</v>
      </c>
      <c r="Z469" s="90">
        <v>1402</v>
      </c>
      <c r="AA469" s="90">
        <v>1710</v>
      </c>
      <c r="AB469" s="91">
        <f t="shared" si="191"/>
        <v>0.19852109612875163</v>
      </c>
      <c r="AC469" s="91">
        <f t="shared" si="192"/>
        <v>0.22714223575467596</v>
      </c>
      <c r="AD469" s="91">
        <f t="shared" si="193"/>
        <v>0.24375815571987822</v>
      </c>
      <c r="AE469" s="91">
        <f t="shared" si="194"/>
        <v>9.46498477598956E-2</v>
      </c>
      <c r="AF469" s="91">
        <f t="shared" si="195"/>
        <v>0.12196607220530666</v>
      </c>
      <c r="AG469" s="91">
        <f t="shared" si="196"/>
        <v>0.1487603305785124</v>
      </c>
      <c r="AH469" s="92">
        <v>847.68999999999915</v>
      </c>
      <c r="AI469" s="93">
        <v>811.97999999999945</v>
      </c>
      <c r="AJ469" s="93">
        <v>811.97999999999934</v>
      </c>
      <c r="AK469" s="93">
        <v>539.64999999999918</v>
      </c>
      <c r="AL469" s="94">
        <v>236.49999999999901</v>
      </c>
      <c r="AM469" s="94">
        <v>-1413.1699999999901</v>
      </c>
      <c r="AN469" s="94" t="s">
        <v>780</v>
      </c>
      <c r="AO469" s="111">
        <v>0</v>
      </c>
      <c r="AP469" s="112">
        <v>0</v>
      </c>
      <c r="AQ469" s="112">
        <v>0</v>
      </c>
      <c r="AR469" s="112">
        <v>77880</v>
      </c>
      <c r="AS469" s="113">
        <v>10600.86</v>
      </c>
      <c r="AT469" s="113">
        <v>0</v>
      </c>
      <c r="AU469" s="111">
        <v>47728.659999999953</v>
      </c>
      <c r="AV469" s="112">
        <v>54471.639999999927</v>
      </c>
      <c r="AW469" s="112">
        <v>58145.089999999909</v>
      </c>
      <c r="AX469" s="112">
        <v>22434.26</v>
      </c>
      <c r="AY469" s="113">
        <v>28241.690000000101</v>
      </c>
      <c r="AZ469" s="113">
        <v>32482.1400000002</v>
      </c>
    </row>
    <row r="470" spans="1:52" x14ac:dyDescent="0.25">
      <c r="A470" s="101" t="s">
        <v>426</v>
      </c>
      <c r="B470" s="102" t="s">
        <v>427</v>
      </c>
      <c r="C470" s="102"/>
      <c r="D470" s="102" t="s">
        <v>1048</v>
      </c>
      <c r="E470" s="103">
        <v>0.19999999999999996</v>
      </c>
      <c r="F470" s="104">
        <v>2000</v>
      </c>
      <c r="G470" s="105">
        <f t="shared" si="188"/>
        <v>1000</v>
      </c>
      <c r="H470" s="105">
        <v>1135</v>
      </c>
      <c r="I470" s="106">
        <f t="shared" si="189"/>
        <v>0.88105726872246692</v>
      </c>
      <c r="J470" s="86">
        <v>170</v>
      </c>
      <c r="K470" s="87">
        <v>790</v>
      </c>
      <c r="L470" s="87">
        <v>160</v>
      </c>
      <c r="M470" s="87">
        <v>0</v>
      </c>
      <c r="N470" s="90">
        <v>310</v>
      </c>
      <c r="O470" s="90">
        <v>0</v>
      </c>
      <c r="P470" s="86">
        <f t="shared" si="183"/>
        <v>33.999999999999993</v>
      </c>
      <c r="Q470" s="87">
        <f t="shared" si="184"/>
        <v>157.99999999999997</v>
      </c>
      <c r="R470" s="87">
        <f t="shared" si="185"/>
        <v>31.999999999999993</v>
      </c>
      <c r="S470" s="88">
        <f t="shared" si="186"/>
        <v>0</v>
      </c>
      <c r="T470" s="89">
        <f t="shared" si="187"/>
        <v>61.999999999999986</v>
      </c>
      <c r="U470" s="89">
        <f t="shared" si="190"/>
        <v>0</v>
      </c>
      <c r="V470" s="86">
        <v>378</v>
      </c>
      <c r="W470" s="87">
        <v>573</v>
      </c>
      <c r="X470" s="87">
        <v>587</v>
      </c>
      <c r="Y470" s="87">
        <v>657</v>
      </c>
      <c r="Z470" s="90">
        <v>617</v>
      </c>
      <c r="AA470" s="90">
        <v>495</v>
      </c>
      <c r="AB470" s="91">
        <f t="shared" si="191"/>
        <v>0.33303964757709253</v>
      </c>
      <c r="AC470" s="91">
        <f t="shared" si="192"/>
        <v>0.50484581497797354</v>
      </c>
      <c r="AD470" s="91">
        <f t="shared" si="193"/>
        <v>0.51718061674008808</v>
      </c>
      <c r="AE470" s="91">
        <f t="shared" si="194"/>
        <v>0.57885462555066081</v>
      </c>
      <c r="AF470" s="91">
        <f t="shared" si="195"/>
        <v>0.54361233480176208</v>
      </c>
      <c r="AG470" s="91">
        <f t="shared" si="196"/>
        <v>0.43612334801762115</v>
      </c>
      <c r="AH470" s="92">
        <v>74.080000000000041</v>
      </c>
      <c r="AI470" s="93">
        <v>42.609999999999964</v>
      </c>
      <c r="AJ470" s="93">
        <v>42.609999999999957</v>
      </c>
      <c r="AK470" s="93">
        <v>41.589999999999947</v>
      </c>
      <c r="AL470" s="94">
        <v>122.49</v>
      </c>
      <c r="AM470" s="94">
        <v>92.509999999999906</v>
      </c>
      <c r="AN470" s="94" t="s">
        <v>779</v>
      </c>
      <c r="AO470" s="111">
        <v>304.3</v>
      </c>
      <c r="AP470" s="112">
        <v>1400.1</v>
      </c>
      <c r="AQ470" s="112">
        <v>283.2</v>
      </c>
      <c r="AR470" s="112">
        <v>0</v>
      </c>
      <c r="AS470" s="113">
        <v>547.1</v>
      </c>
      <c r="AT470" s="113">
        <v>0</v>
      </c>
      <c r="AU470" s="111">
        <v>743.1400000000001</v>
      </c>
      <c r="AV470" s="112">
        <v>1055.9699999999984</v>
      </c>
      <c r="AW470" s="112">
        <v>1074.7099999999991</v>
      </c>
      <c r="AX470" s="112">
        <v>1279.6500000000001</v>
      </c>
      <c r="AY470" s="113">
        <v>1147.69999999999</v>
      </c>
      <c r="AZ470" s="113">
        <v>888.13999999999896</v>
      </c>
    </row>
    <row r="471" spans="1:52" x14ac:dyDescent="0.25">
      <c r="A471" s="101" t="s">
        <v>709</v>
      </c>
      <c r="B471" s="102" t="s">
        <v>710</v>
      </c>
      <c r="C471" s="102"/>
      <c r="D471" s="102" t="s">
        <v>1048</v>
      </c>
      <c r="E471" s="103">
        <v>0.19999999999999929</v>
      </c>
      <c r="F471" s="104">
        <v>500</v>
      </c>
      <c r="G471" s="105">
        <f t="shared" si="188"/>
        <v>250</v>
      </c>
      <c r="H471" s="105">
        <v>5143</v>
      </c>
      <c r="I471" s="106">
        <f t="shared" si="189"/>
        <v>4.8609760839976666E-2</v>
      </c>
      <c r="J471" s="86">
        <v>36</v>
      </c>
      <c r="K471" s="87">
        <v>175</v>
      </c>
      <c r="L471" s="87">
        <v>204</v>
      </c>
      <c r="M471" s="87">
        <v>0</v>
      </c>
      <c r="N471" s="90">
        <v>401</v>
      </c>
      <c r="O471" s="90">
        <v>0</v>
      </c>
      <c r="P471" s="86">
        <f t="shared" si="183"/>
        <v>7.1999999999999744</v>
      </c>
      <c r="Q471" s="87">
        <f t="shared" si="184"/>
        <v>34.999999999999872</v>
      </c>
      <c r="R471" s="87">
        <f t="shared" si="185"/>
        <v>40.799999999999855</v>
      </c>
      <c r="S471" s="88">
        <f t="shared" si="186"/>
        <v>0</v>
      </c>
      <c r="T471" s="89">
        <f t="shared" si="187"/>
        <v>80.199999999999719</v>
      </c>
      <c r="U471" s="89">
        <f t="shared" si="190"/>
        <v>0</v>
      </c>
      <c r="V471" s="86">
        <v>683</v>
      </c>
      <c r="W471" s="87">
        <v>533</v>
      </c>
      <c r="X471" s="87">
        <v>268</v>
      </c>
      <c r="Y471" s="87">
        <v>527</v>
      </c>
      <c r="Z471" s="90">
        <v>87</v>
      </c>
      <c r="AA471" s="90">
        <v>131</v>
      </c>
      <c r="AB471" s="91">
        <f t="shared" si="191"/>
        <v>0.13280186661481624</v>
      </c>
      <c r="AC471" s="91">
        <f t="shared" si="192"/>
        <v>0.10363601011083025</v>
      </c>
      <c r="AD471" s="91">
        <f t="shared" si="193"/>
        <v>5.2109663620454987E-2</v>
      </c>
      <c r="AE471" s="91">
        <f t="shared" si="194"/>
        <v>0.10246937585067081</v>
      </c>
      <c r="AF471" s="91">
        <f t="shared" si="195"/>
        <v>1.6916196772311879E-2</v>
      </c>
      <c r="AG471" s="91">
        <f t="shared" si="196"/>
        <v>2.5471514680147772E-2</v>
      </c>
      <c r="AH471" s="92">
        <v>1449.180000000001</v>
      </c>
      <c r="AI471" s="93">
        <v>1586.9499999999955</v>
      </c>
      <c r="AJ471" s="93">
        <v>1586.9499999999957</v>
      </c>
      <c r="AK471" s="93">
        <v>2047.079999999999</v>
      </c>
      <c r="AL471" s="94">
        <v>2480.45999999999</v>
      </c>
      <c r="AM471" s="94">
        <v>50.34</v>
      </c>
      <c r="AN471" s="94" t="s">
        <v>780</v>
      </c>
      <c r="AO471" s="111">
        <v>723.24</v>
      </c>
      <c r="AP471" s="112">
        <v>3433.25</v>
      </c>
      <c r="AQ471" s="112">
        <v>3733.2</v>
      </c>
      <c r="AR471" s="112">
        <v>0</v>
      </c>
      <c r="AS471" s="113">
        <v>26001</v>
      </c>
      <c r="AT471" s="113">
        <v>0</v>
      </c>
      <c r="AU471" s="111">
        <v>17890.499999999971</v>
      </c>
      <c r="AV471" s="112">
        <v>13653.199999999966</v>
      </c>
      <c r="AW471" s="112">
        <v>6599.1199999999735</v>
      </c>
      <c r="AX471" s="112">
        <v>12149</v>
      </c>
      <c r="AY471" s="113">
        <v>2214.87</v>
      </c>
      <c r="AZ471" s="113">
        <v>3248.44</v>
      </c>
    </row>
    <row r="472" spans="1:52" x14ac:dyDescent="0.25">
      <c r="A472" s="101" t="s">
        <v>532</v>
      </c>
      <c r="B472" s="102" t="s">
        <v>533</v>
      </c>
      <c r="C472" s="102"/>
      <c r="D472" s="102" t="s">
        <v>1048</v>
      </c>
      <c r="E472" s="103">
        <v>0.18999999999999995</v>
      </c>
      <c r="F472" s="104">
        <v>500</v>
      </c>
      <c r="G472" s="105">
        <f t="shared" si="188"/>
        <v>250</v>
      </c>
      <c r="H472" s="105">
        <v>6276</v>
      </c>
      <c r="I472" s="106">
        <f t="shared" si="189"/>
        <v>3.9834289356277884E-2</v>
      </c>
      <c r="J472" s="86">
        <v>0</v>
      </c>
      <c r="K472" s="87">
        <v>0</v>
      </c>
      <c r="L472" s="87">
        <v>0</v>
      </c>
      <c r="M472" s="87">
        <v>0</v>
      </c>
      <c r="N472" s="90">
        <v>1170</v>
      </c>
      <c r="O472" s="90">
        <v>1720</v>
      </c>
      <c r="P472" s="86">
        <f t="shared" si="183"/>
        <v>0</v>
      </c>
      <c r="Q472" s="87">
        <f t="shared" si="184"/>
        <v>0</v>
      </c>
      <c r="R472" s="87">
        <f t="shared" si="185"/>
        <v>0</v>
      </c>
      <c r="S472" s="88">
        <f t="shared" si="186"/>
        <v>0</v>
      </c>
      <c r="T472" s="89">
        <f t="shared" si="187"/>
        <v>222.29999999999993</v>
      </c>
      <c r="U472" s="89">
        <f t="shared" si="190"/>
        <v>326.7999999999999</v>
      </c>
      <c r="V472" s="86">
        <v>667</v>
      </c>
      <c r="W472" s="87">
        <v>791</v>
      </c>
      <c r="X472" s="87">
        <v>564</v>
      </c>
      <c r="Y472" s="87">
        <v>680</v>
      </c>
      <c r="Z472" s="90">
        <v>627</v>
      </c>
      <c r="AA472" s="90">
        <v>974</v>
      </c>
      <c r="AB472" s="91">
        <f t="shared" si="191"/>
        <v>0.10627788400254939</v>
      </c>
      <c r="AC472" s="91">
        <f t="shared" si="192"/>
        <v>0.12603569152326322</v>
      </c>
      <c r="AD472" s="91">
        <f t="shared" si="193"/>
        <v>8.9866156787762913E-2</v>
      </c>
      <c r="AE472" s="91">
        <f t="shared" si="194"/>
        <v>0.10834926704907584</v>
      </c>
      <c r="AF472" s="91">
        <f t="shared" si="195"/>
        <v>9.9904397705544934E-2</v>
      </c>
      <c r="AG472" s="91">
        <f t="shared" si="196"/>
        <v>0.15519439133205865</v>
      </c>
      <c r="AH472" s="92">
        <v>230.98</v>
      </c>
      <c r="AI472" s="93">
        <v>261.76999999999947</v>
      </c>
      <c r="AJ472" s="93">
        <v>261.76999999999947</v>
      </c>
      <c r="AK472" s="93">
        <v>118.23999999999971</v>
      </c>
      <c r="AL472" s="94">
        <v>409.74999999999801</v>
      </c>
      <c r="AM472" s="94">
        <v>258.93999999999897</v>
      </c>
      <c r="AN472" s="94" t="s">
        <v>780</v>
      </c>
      <c r="AO472" s="111">
        <v>0</v>
      </c>
      <c r="AP472" s="112">
        <v>0</v>
      </c>
      <c r="AQ472" s="112">
        <v>0</v>
      </c>
      <c r="AR472" s="112">
        <v>0</v>
      </c>
      <c r="AS472" s="113">
        <v>3045.2</v>
      </c>
      <c r="AT472" s="113">
        <v>4451.6000000000004</v>
      </c>
      <c r="AU472" s="111">
        <v>1938.5</v>
      </c>
      <c r="AV472" s="112">
        <v>2286.729999999995</v>
      </c>
      <c r="AW472" s="112">
        <v>1562.0799999999967</v>
      </c>
      <c r="AX472" s="112">
        <v>2150.5500000000002</v>
      </c>
      <c r="AY472" s="113">
        <v>2083.9499999999998</v>
      </c>
      <c r="AZ472" s="113">
        <v>2784.9399999999901</v>
      </c>
    </row>
    <row r="473" spans="1:52" x14ac:dyDescent="0.25">
      <c r="A473" s="101" t="s">
        <v>815</v>
      </c>
      <c r="B473" s="102" t="s">
        <v>858</v>
      </c>
      <c r="C473" s="102"/>
      <c r="D473" s="102" t="s">
        <v>1048</v>
      </c>
      <c r="E473" s="103">
        <v>0.17099415204678081</v>
      </c>
      <c r="F473" s="104">
        <v>1000</v>
      </c>
      <c r="G473" s="105">
        <f t="shared" si="188"/>
        <v>500</v>
      </c>
      <c r="H473" s="105">
        <v>1578</v>
      </c>
      <c r="I473" s="106">
        <f t="shared" si="189"/>
        <v>0.31685678073510776</v>
      </c>
      <c r="J473" s="86">
        <v>0</v>
      </c>
      <c r="K473" s="86">
        <v>0</v>
      </c>
      <c r="L473" s="86">
        <v>0</v>
      </c>
      <c r="M473" s="86">
        <v>0</v>
      </c>
      <c r="N473" s="86">
        <v>0</v>
      </c>
      <c r="O473" s="90">
        <v>48</v>
      </c>
      <c r="P473" s="86"/>
      <c r="Q473" s="87"/>
      <c r="R473" s="87"/>
      <c r="S473" s="88"/>
      <c r="T473" s="89"/>
      <c r="U473" s="89">
        <f t="shared" si="190"/>
        <v>8.207719298245479</v>
      </c>
      <c r="V473" s="86"/>
      <c r="W473" s="87"/>
      <c r="X473" s="87"/>
      <c r="Y473" s="87"/>
      <c r="Z473" s="90"/>
      <c r="AA473" s="90"/>
      <c r="AB473" s="91">
        <f t="shared" si="191"/>
        <v>0</v>
      </c>
      <c r="AC473" s="91">
        <f t="shared" si="192"/>
        <v>0</v>
      </c>
      <c r="AD473" s="91">
        <f t="shared" si="193"/>
        <v>0</v>
      </c>
      <c r="AE473" s="91">
        <f t="shared" si="194"/>
        <v>0</v>
      </c>
      <c r="AF473" s="91">
        <f t="shared" si="195"/>
        <v>0</v>
      </c>
      <c r="AG473" s="91">
        <f t="shared" si="196"/>
        <v>0</v>
      </c>
      <c r="AH473" s="92"/>
      <c r="AI473" s="93"/>
      <c r="AJ473" s="93"/>
      <c r="AK473" s="93"/>
      <c r="AL473" s="94"/>
      <c r="AM473" s="94"/>
      <c r="AN473" s="94" t="s">
        <v>780</v>
      </c>
      <c r="AO473" s="111">
        <v>7799.1500000000005</v>
      </c>
      <c r="AP473" s="112">
        <v>6697.5</v>
      </c>
      <c r="AQ473" s="112">
        <v>6706.2</v>
      </c>
      <c r="AR473" s="112">
        <v>0</v>
      </c>
      <c r="AS473" s="113">
        <v>1842.5</v>
      </c>
      <c r="AT473" s="113">
        <v>1296.96</v>
      </c>
      <c r="AU473" s="111">
        <v>10613.19</v>
      </c>
      <c r="AV473" s="112">
        <v>6817.5</v>
      </c>
      <c r="AW473" s="112">
        <v>10934.25</v>
      </c>
      <c r="AX473" s="112">
        <v>4600.04</v>
      </c>
      <c r="AY473" s="113">
        <v>2693.38</v>
      </c>
      <c r="AZ473" s="113">
        <v>2224.86</v>
      </c>
    </row>
    <row r="474" spans="1:52" x14ac:dyDescent="0.25">
      <c r="A474" s="101" t="s">
        <v>511</v>
      </c>
      <c r="B474" s="102" t="s">
        <v>512</v>
      </c>
      <c r="C474" s="102"/>
      <c r="D474" s="102" t="s">
        <v>1048</v>
      </c>
      <c r="E474" s="103">
        <v>0.16000000000000014</v>
      </c>
      <c r="F474" s="104">
        <v>5000</v>
      </c>
      <c r="G474" s="105">
        <f t="shared" si="188"/>
        <v>2500</v>
      </c>
      <c r="H474" s="105">
        <v>20672</v>
      </c>
      <c r="I474" s="106">
        <f t="shared" si="189"/>
        <v>0.12093653250773993</v>
      </c>
      <c r="J474" s="86">
        <v>4375</v>
      </c>
      <c r="K474" s="87">
        <v>3783</v>
      </c>
      <c r="L474" s="87">
        <v>5544</v>
      </c>
      <c r="M474" s="87">
        <v>18882</v>
      </c>
      <c r="N474" s="90">
        <v>5965</v>
      </c>
      <c r="O474" s="90">
        <v>9666</v>
      </c>
      <c r="P474" s="86">
        <f t="shared" ref="P474:P495" si="197">+J474*E474</f>
        <v>700.00000000000057</v>
      </c>
      <c r="Q474" s="87">
        <f t="shared" ref="Q474:Q495" si="198">+K474*E474</f>
        <v>605.28000000000054</v>
      </c>
      <c r="R474" s="87">
        <f t="shared" ref="R474:R495" si="199">+L474*E474</f>
        <v>887.04000000000076</v>
      </c>
      <c r="S474" s="88">
        <f t="shared" ref="S474:S495" si="200">+M474*E474</f>
        <v>3021.1200000000026</v>
      </c>
      <c r="T474" s="89">
        <f t="shared" ref="T474:T495" si="201">+N474*E474</f>
        <v>954.40000000000089</v>
      </c>
      <c r="U474" s="89">
        <f t="shared" si="190"/>
        <v>1546.5600000000013</v>
      </c>
      <c r="V474" s="86">
        <v>6090</v>
      </c>
      <c r="W474" s="87">
        <v>8180</v>
      </c>
      <c r="X474" s="87">
        <v>7466</v>
      </c>
      <c r="Y474" s="87">
        <v>7026</v>
      </c>
      <c r="Z474" s="90">
        <v>8617</v>
      </c>
      <c r="AA474" s="90">
        <v>11982</v>
      </c>
      <c r="AB474" s="91">
        <f t="shared" si="191"/>
        <v>0.29460139318885448</v>
      </c>
      <c r="AC474" s="91">
        <f t="shared" si="192"/>
        <v>0.39570433436532509</v>
      </c>
      <c r="AD474" s="91">
        <f t="shared" si="193"/>
        <v>0.36116486068111453</v>
      </c>
      <c r="AE474" s="91">
        <f t="shared" si="194"/>
        <v>0.33988003095975233</v>
      </c>
      <c r="AF474" s="91">
        <f t="shared" si="195"/>
        <v>0.41684404024767802</v>
      </c>
      <c r="AG474" s="91">
        <f t="shared" si="196"/>
        <v>0.57962461300309598</v>
      </c>
      <c r="AH474" s="92">
        <v>1933.75</v>
      </c>
      <c r="AI474" s="93">
        <v>4175.6999999999971</v>
      </c>
      <c r="AJ474" s="93">
        <v>4175.6999999999971</v>
      </c>
      <c r="AK474" s="93">
        <v>3705.1099999999947</v>
      </c>
      <c r="AL474" s="94">
        <v>3160.95999999999</v>
      </c>
      <c r="AM474" s="94">
        <v>2028.76000000001</v>
      </c>
      <c r="AN474" s="94" t="s">
        <v>780</v>
      </c>
      <c r="AO474" s="111">
        <v>8941.9500000000007</v>
      </c>
      <c r="AP474" s="112">
        <v>7811.15</v>
      </c>
      <c r="AQ474" s="112">
        <v>10800.220000000001</v>
      </c>
      <c r="AR474" s="112">
        <v>37389.599999999999</v>
      </c>
      <c r="AS474" s="113">
        <v>11781.29</v>
      </c>
      <c r="AT474" s="113">
        <v>19108.439999999999</v>
      </c>
      <c r="AU474" s="111">
        <v>14418.250000000009</v>
      </c>
      <c r="AV474" s="112">
        <v>20957.239999999954</v>
      </c>
      <c r="AW474" s="112">
        <v>18925.479999999909</v>
      </c>
      <c r="AX474" s="112">
        <v>17055.990000000002</v>
      </c>
      <c r="AY474" s="113">
        <v>19525.8500000003</v>
      </c>
      <c r="AZ474" s="113">
        <v>25626.7500000002</v>
      </c>
    </row>
    <row r="475" spans="1:52" x14ac:dyDescent="0.25">
      <c r="A475" s="101" t="s">
        <v>664</v>
      </c>
      <c r="B475" s="102" t="s">
        <v>665</v>
      </c>
      <c r="C475" s="102"/>
      <c r="D475" s="102" t="s">
        <v>1048</v>
      </c>
      <c r="E475" s="103">
        <v>0.16000000000000014</v>
      </c>
      <c r="F475" s="104">
        <v>1000</v>
      </c>
      <c r="G475" s="105">
        <f t="shared" si="188"/>
        <v>500</v>
      </c>
      <c r="H475" s="105">
        <v>1199</v>
      </c>
      <c r="I475" s="106">
        <f t="shared" si="189"/>
        <v>0.4170141784820684</v>
      </c>
      <c r="J475" s="86">
        <v>300</v>
      </c>
      <c r="K475" s="87">
        <v>0</v>
      </c>
      <c r="L475" s="87">
        <v>210</v>
      </c>
      <c r="M475" s="87">
        <v>0</v>
      </c>
      <c r="N475" s="90">
        <v>100</v>
      </c>
      <c r="O475" s="90">
        <v>0</v>
      </c>
      <c r="P475" s="86">
        <f t="shared" si="197"/>
        <v>48.000000000000043</v>
      </c>
      <c r="Q475" s="87">
        <f t="shared" si="198"/>
        <v>0</v>
      </c>
      <c r="R475" s="87">
        <f t="shared" si="199"/>
        <v>33.60000000000003</v>
      </c>
      <c r="S475" s="88">
        <f t="shared" si="200"/>
        <v>0</v>
      </c>
      <c r="T475" s="89">
        <f t="shared" si="201"/>
        <v>16.000000000000014</v>
      </c>
      <c r="U475" s="89">
        <f t="shared" si="190"/>
        <v>0</v>
      </c>
      <c r="V475" s="86">
        <v>202</v>
      </c>
      <c r="W475" s="87">
        <v>598</v>
      </c>
      <c r="X475" s="87">
        <v>473</v>
      </c>
      <c r="Y475" s="87">
        <v>464</v>
      </c>
      <c r="Z475" s="90">
        <v>469</v>
      </c>
      <c r="AA475" s="90">
        <v>496</v>
      </c>
      <c r="AB475" s="91">
        <f t="shared" si="191"/>
        <v>0.16847372810675562</v>
      </c>
      <c r="AC475" s="91">
        <f t="shared" si="192"/>
        <v>0.49874895746455378</v>
      </c>
      <c r="AD475" s="91">
        <f t="shared" si="193"/>
        <v>0.39449541284403672</v>
      </c>
      <c r="AE475" s="91">
        <f t="shared" si="194"/>
        <v>0.38698915763135949</v>
      </c>
      <c r="AF475" s="91">
        <f t="shared" si="195"/>
        <v>0.39115929941618016</v>
      </c>
      <c r="AG475" s="91">
        <f t="shared" si="196"/>
        <v>0.41367806505421184</v>
      </c>
      <c r="AH475" s="92">
        <v>130.82</v>
      </c>
      <c r="AI475" s="93">
        <v>363.31999999999869</v>
      </c>
      <c r="AJ475" s="93">
        <v>363.31999999999874</v>
      </c>
      <c r="AK475" s="93">
        <v>230.53999999999954</v>
      </c>
      <c r="AL475" s="94">
        <v>180.33999999999901</v>
      </c>
      <c r="AM475" s="94">
        <v>108.709999999999</v>
      </c>
      <c r="AN475" s="94" t="s">
        <v>780</v>
      </c>
      <c r="AO475" s="111">
        <v>1821</v>
      </c>
      <c r="AP475" s="112">
        <v>0</v>
      </c>
      <c r="AQ475" s="112">
        <v>861</v>
      </c>
      <c r="AR475" s="112">
        <v>0</v>
      </c>
      <c r="AS475" s="113">
        <v>264.5</v>
      </c>
      <c r="AT475" s="113">
        <v>0</v>
      </c>
      <c r="AU475" s="111">
        <v>1345.06</v>
      </c>
      <c r="AV475" s="112">
        <v>3967.6999999999834</v>
      </c>
      <c r="AW475" s="112">
        <v>3076.1199999999935</v>
      </c>
      <c r="AX475" s="112">
        <v>2964.34</v>
      </c>
      <c r="AY475" s="113">
        <v>2977.5599999999899</v>
      </c>
      <c r="AZ475" s="113">
        <v>3084.71</v>
      </c>
    </row>
    <row r="476" spans="1:52" x14ac:dyDescent="0.25">
      <c r="A476" s="101" t="s">
        <v>473</v>
      </c>
      <c r="B476" s="102" t="s">
        <v>474</v>
      </c>
      <c r="C476" s="102"/>
      <c r="D476" s="102" t="s">
        <v>1048</v>
      </c>
      <c r="E476" s="103">
        <v>0.16000000000000014</v>
      </c>
      <c r="F476" s="104">
        <v>7000</v>
      </c>
      <c r="G476" s="105">
        <f t="shared" si="188"/>
        <v>3500</v>
      </c>
      <c r="H476" s="105">
        <v>10477</v>
      </c>
      <c r="I476" s="106">
        <f t="shared" si="189"/>
        <v>0.33406509496993414</v>
      </c>
      <c r="J476" s="86">
        <v>5612</v>
      </c>
      <c r="K476" s="87">
        <v>5021</v>
      </c>
      <c r="L476" s="87">
        <v>1000</v>
      </c>
      <c r="M476" s="87">
        <v>5594</v>
      </c>
      <c r="N476" s="90">
        <v>10013</v>
      </c>
      <c r="O476" s="90">
        <v>6030</v>
      </c>
      <c r="P476" s="86">
        <f t="shared" si="197"/>
        <v>897.92000000000075</v>
      </c>
      <c r="Q476" s="87">
        <f t="shared" si="198"/>
        <v>803.3600000000007</v>
      </c>
      <c r="R476" s="87">
        <f t="shared" si="199"/>
        <v>160.00000000000014</v>
      </c>
      <c r="S476" s="88">
        <f t="shared" si="200"/>
        <v>895.04000000000076</v>
      </c>
      <c r="T476" s="89">
        <f t="shared" si="201"/>
        <v>1602.0800000000015</v>
      </c>
      <c r="U476" s="89">
        <f t="shared" si="190"/>
        <v>964.80000000000086</v>
      </c>
      <c r="V476" s="86">
        <v>1994</v>
      </c>
      <c r="W476" s="87">
        <v>2424</v>
      </c>
      <c r="X476" s="87">
        <v>6205</v>
      </c>
      <c r="Y476" s="87">
        <v>1761</v>
      </c>
      <c r="Z476" s="90">
        <v>1556</v>
      </c>
      <c r="AA476" s="90">
        <v>3565</v>
      </c>
      <c r="AB476" s="91">
        <f t="shared" si="191"/>
        <v>0.19032165696287104</v>
      </c>
      <c r="AC476" s="91">
        <f t="shared" si="192"/>
        <v>0.23136394005917724</v>
      </c>
      <c r="AD476" s="91">
        <f t="shared" si="193"/>
        <v>0.59224968979669756</v>
      </c>
      <c r="AE476" s="91">
        <f t="shared" si="194"/>
        <v>0.16808246635487259</v>
      </c>
      <c r="AF476" s="91">
        <f t="shared" si="195"/>
        <v>0.14851579650663357</v>
      </c>
      <c r="AG476" s="91">
        <f t="shared" si="196"/>
        <v>0.34026916101937577</v>
      </c>
      <c r="AH476" s="92">
        <v>1174.6399999999969</v>
      </c>
      <c r="AI476" s="93">
        <v>1254.5699999999995</v>
      </c>
      <c r="AJ476" s="93">
        <v>1254.57</v>
      </c>
      <c r="AK476" s="93">
        <v>2557.3399999999956</v>
      </c>
      <c r="AL476" s="94">
        <v>455.93</v>
      </c>
      <c r="AM476" s="94">
        <v>555.41999999999098</v>
      </c>
      <c r="AN476" s="94" t="s">
        <v>780</v>
      </c>
      <c r="AO476" s="111">
        <v>9209.2000000000007</v>
      </c>
      <c r="AP476" s="112">
        <v>8379.5999999999985</v>
      </c>
      <c r="AQ476" s="112">
        <v>1330</v>
      </c>
      <c r="AR476" s="112">
        <v>9165.16</v>
      </c>
      <c r="AS476" s="113">
        <v>16400.47</v>
      </c>
      <c r="AT476" s="113">
        <v>9722.6</v>
      </c>
      <c r="AU476" s="111">
        <v>4484.68</v>
      </c>
      <c r="AV476" s="112">
        <v>5278.4099999999944</v>
      </c>
      <c r="AW476" s="112">
        <v>12857.639999999954</v>
      </c>
      <c r="AX476" s="112">
        <v>3355.1900000000101</v>
      </c>
      <c r="AY476" s="113">
        <v>2860.21</v>
      </c>
      <c r="AZ476" s="113">
        <v>6394.4799999999304</v>
      </c>
    </row>
    <row r="477" spans="1:52" x14ac:dyDescent="0.25">
      <c r="A477" s="101" t="s">
        <v>679</v>
      </c>
      <c r="B477" s="102" t="s">
        <v>680</v>
      </c>
      <c r="C477" s="102"/>
      <c r="D477" s="102" t="s">
        <v>1048</v>
      </c>
      <c r="E477" s="103">
        <v>0.15000000000000036</v>
      </c>
      <c r="F477" s="104">
        <v>485.40000000000003</v>
      </c>
      <c r="G477" s="105">
        <f t="shared" si="188"/>
        <v>242.70000000000002</v>
      </c>
      <c r="H477" s="105">
        <v>2427</v>
      </c>
      <c r="I477" s="106">
        <f t="shared" si="189"/>
        <v>0.1</v>
      </c>
      <c r="J477" s="86">
        <v>275</v>
      </c>
      <c r="K477" s="87">
        <v>0</v>
      </c>
      <c r="L477" s="87">
        <v>50</v>
      </c>
      <c r="M477" s="87">
        <v>271</v>
      </c>
      <c r="N477" s="90">
        <v>200</v>
      </c>
      <c r="O477" s="90">
        <v>877</v>
      </c>
      <c r="P477" s="86">
        <f t="shared" si="197"/>
        <v>41.250000000000099</v>
      </c>
      <c r="Q477" s="87">
        <f t="shared" si="198"/>
        <v>0</v>
      </c>
      <c r="R477" s="87">
        <f t="shared" si="199"/>
        <v>7.5000000000000178</v>
      </c>
      <c r="S477" s="88">
        <f t="shared" si="200"/>
        <v>40.650000000000098</v>
      </c>
      <c r="T477" s="89">
        <f t="shared" si="201"/>
        <v>30.000000000000071</v>
      </c>
      <c r="U477" s="89">
        <f t="shared" si="190"/>
        <v>131.55000000000032</v>
      </c>
      <c r="V477" s="86">
        <v>1</v>
      </c>
      <c r="W477" s="87">
        <v>2</v>
      </c>
      <c r="X477" s="87">
        <v>0</v>
      </c>
      <c r="Y477" s="87">
        <v>1</v>
      </c>
      <c r="Z477" s="90">
        <v>0</v>
      </c>
      <c r="AA477" s="90">
        <v>7</v>
      </c>
      <c r="AB477" s="91">
        <f t="shared" si="191"/>
        <v>4.1203131437989287E-4</v>
      </c>
      <c r="AC477" s="91">
        <f t="shared" si="192"/>
        <v>8.2406262875978574E-4</v>
      </c>
      <c r="AD477" s="91">
        <f t="shared" si="193"/>
        <v>0</v>
      </c>
      <c r="AE477" s="91">
        <f t="shared" si="194"/>
        <v>4.1203131437989287E-4</v>
      </c>
      <c r="AF477" s="91">
        <f t="shared" si="195"/>
        <v>0</v>
      </c>
      <c r="AG477" s="91">
        <f t="shared" si="196"/>
        <v>2.88421920065925E-3</v>
      </c>
      <c r="AH477" s="92">
        <v>0.89</v>
      </c>
      <c r="AI477" s="93">
        <f>+W477*E477</f>
        <v>0.30000000000000071</v>
      </c>
      <c r="AJ477" s="93">
        <v>0.22</v>
      </c>
      <c r="AK477" s="93">
        <v>0.15000000000000036</v>
      </c>
      <c r="AL477" s="94">
        <v>0.28999999999999998</v>
      </c>
      <c r="AM477" s="94">
        <v>1.1200000000000001</v>
      </c>
      <c r="AN477" s="94" t="s">
        <v>780</v>
      </c>
      <c r="AO477" s="111">
        <v>1795</v>
      </c>
      <c r="AP477" s="112">
        <v>0</v>
      </c>
      <c r="AQ477" s="112">
        <v>314</v>
      </c>
      <c r="AR477" s="112">
        <v>1774.3899999999999</v>
      </c>
      <c r="AS477" s="113">
        <v>1828.8000000000002</v>
      </c>
      <c r="AT477" s="113">
        <v>5860.2800000000007</v>
      </c>
      <c r="AU477" s="111">
        <v>6.69</v>
      </c>
      <c r="AV477" s="112">
        <v>13.38</v>
      </c>
      <c r="AW477" s="112">
        <v>0</v>
      </c>
      <c r="AX477" s="112">
        <v>6.6</v>
      </c>
      <c r="AY477" s="113">
        <v>0</v>
      </c>
      <c r="AZ477" s="113">
        <v>46.83</v>
      </c>
    </row>
    <row r="478" spans="1:52" x14ac:dyDescent="0.25">
      <c r="A478" s="101" t="s">
        <v>1041</v>
      </c>
      <c r="B478" s="102" t="s">
        <v>541</v>
      </c>
      <c r="C478" s="102"/>
      <c r="D478" s="102" t="s">
        <v>1048</v>
      </c>
      <c r="E478" s="103">
        <v>0.14999999999999991</v>
      </c>
      <c r="F478" s="104">
        <v>3000</v>
      </c>
      <c r="G478" s="105">
        <f t="shared" si="188"/>
        <v>1500</v>
      </c>
      <c r="H478" s="105">
        <v>6252</v>
      </c>
      <c r="I478" s="106">
        <f t="shared" si="189"/>
        <v>0.23992322456813819</v>
      </c>
      <c r="J478" s="86">
        <v>842</v>
      </c>
      <c r="K478" s="87">
        <v>1125</v>
      </c>
      <c r="L478" s="87">
        <v>650</v>
      </c>
      <c r="M478" s="87">
        <v>759</v>
      </c>
      <c r="N478" s="90">
        <v>874</v>
      </c>
      <c r="O478" s="90">
        <v>600</v>
      </c>
      <c r="P478" s="86">
        <f t="shared" si="197"/>
        <v>126.29999999999993</v>
      </c>
      <c r="Q478" s="87">
        <f t="shared" si="198"/>
        <v>168.74999999999989</v>
      </c>
      <c r="R478" s="87">
        <f t="shared" si="199"/>
        <v>97.499999999999943</v>
      </c>
      <c r="S478" s="88">
        <f t="shared" si="200"/>
        <v>113.84999999999994</v>
      </c>
      <c r="T478" s="89">
        <f t="shared" si="201"/>
        <v>131.09999999999991</v>
      </c>
      <c r="U478" s="89">
        <f t="shared" si="190"/>
        <v>89.999999999999943</v>
      </c>
      <c r="V478" s="86">
        <v>122</v>
      </c>
      <c r="W478" s="87">
        <v>1230</v>
      </c>
      <c r="X478" s="87">
        <v>949</v>
      </c>
      <c r="Y478" s="87">
        <v>664</v>
      </c>
      <c r="Z478" s="90">
        <v>946</v>
      </c>
      <c r="AA478" s="90">
        <v>1084</v>
      </c>
      <c r="AB478" s="91">
        <f t="shared" si="191"/>
        <v>1.9513755598208574E-2</v>
      </c>
      <c r="AC478" s="91">
        <f t="shared" si="192"/>
        <v>0.19673704414587331</v>
      </c>
      <c r="AD478" s="91">
        <f t="shared" si="193"/>
        <v>0.15179142674344209</v>
      </c>
      <c r="AE478" s="91">
        <f t="shared" si="194"/>
        <v>0.10620601407549585</v>
      </c>
      <c r="AF478" s="91">
        <f t="shared" si="195"/>
        <v>0.15131158029430583</v>
      </c>
      <c r="AG478" s="91">
        <f t="shared" si="196"/>
        <v>0.17338451695457455</v>
      </c>
      <c r="AH478" s="92">
        <v>95.16</v>
      </c>
      <c r="AI478" s="93">
        <v>654.57999999999913</v>
      </c>
      <c r="AJ478" s="93">
        <v>654.57999999999913</v>
      </c>
      <c r="AK478" s="93">
        <v>260.78999999999934</v>
      </c>
      <c r="AL478" s="94">
        <v>151.19</v>
      </c>
      <c r="AM478" s="94">
        <v>278.11999999999898</v>
      </c>
      <c r="AN478" s="94" t="s">
        <v>780</v>
      </c>
      <c r="AO478" s="111">
        <v>1757.1</v>
      </c>
      <c r="AP478" s="112">
        <v>2309</v>
      </c>
      <c r="AQ478" s="112">
        <v>1456</v>
      </c>
      <c r="AR478" s="112">
        <v>1548.45</v>
      </c>
      <c r="AS478" s="113">
        <v>1777.71</v>
      </c>
      <c r="AT478" s="113">
        <v>1282</v>
      </c>
      <c r="AU478" s="111">
        <v>0</v>
      </c>
      <c r="AV478" s="112">
        <v>0</v>
      </c>
      <c r="AW478" s="112">
        <v>0</v>
      </c>
      <c r="AX478" s="112">
        <v>0</v>
      </c>
      <c r="AY478" s="113">
        <v>0</v>
      </c>
      <c r="AZ478" s="113">
        <v>0</v>
      </c>
    </row>
    <row r="479" spans="1:52" x14ac:dyDescent="0.25">
      <c r="A479" s="101" t="s">
        <v>1042</v>
      </c>
      <c r="B479" s="102" t="s">
        <v>705</v>
      </c>
      <c r="C479" s="102"/>
      <c r="D479" s="102" t="s">
        <v>1048</v>
      </c>
      <c r="E479" s="103">
        <v>0.14000000000000057</v>
      </c>
      <c r="F479" s="104">
        <v>1000</v>
      </c>
      <c r="G479" s="105">
        <f t="shared" si="188"/>
        <v>500</v>
      </c>
      <c r="H479" s="105">
        <v>1633</v>
      </c>
      <c r="I479" s="106">
        <f t="shared" si="189"/>
        <v>0.30618493570116351</v>
      </c>
      <c r="J479" s="86">
        <v>400</v>
      </c>
      <c r="K479" s="87">
        <v>0</v>
      </c>
      <c r="L479" s="87">
        <v>0</v>
      </c>
      <c r="M479" s="87">
        <v>950</v>
      </c>
      <c r="N479" s="90">
        <v>400</v>
      </c>
      <c r="O479" s="90">
        <v>0</v>
      </c>
      <c r="P479" s="86">
        <f t="shared" si="197"/>
        <v>56.000000000000227</v>
      </c>
      <c r="Q479" s="87">
        <f t="shared" si="198"/>
        <v>0</v>
      </c>
      <c r="R479" s="87">
        <f t="shared" si="199"/>
        <v>0</v>
      </c>
      <c r="S479" s="88">
        <f t="shared" si="200"/>
        <v>133.00000000000054</v>
      </c>
      <c r="T479" s="89">
        <f t="shared" si="201"/>
        <v>56.000000000000227</v>
      </c>
      <c r="U479" s="89">
        <f t="shared" si="190"/>
        <v>0</v>
      </c>
      <c r="V479" s="86">
        <v>695</v>
      </c>
      <c r="W479" s="87">
        <v>231</v>
      </c>
      <c r="X479" s="87">
        <v>99</v>
      </c>
      <c r="Y479" s="87">
        <v>42</v>
      </c>
      <c r="Z479" s="90">
        <v>489</v>
      </c>
      <c r="AA479" s="90">
        <v>617</v>
      </c>
      <c r="AB479" s="91">
        <f t="shared" si="191"/>
        <v>0.42559706062461727</v>
      </c>
      <c r="AC479" s="91">
        <f t="shared" si="192"/>
        <v>0.14145744029393753</v>
      </c>
      <c r="AD479" s="91">
        <f t="shared" si="193"/>
        <v>6.0624617268830373E-2</v>
      </c>
      <c r="AE479" s="91">
        <f t="shared" si="194"/>
        <v>2.5719534598897736E-2</v>
      </c>
      <c r="AF479" s="91">
        <f t="shared" si="195"/>
        <v>0.29944886711573793</v>
      </c>
      <c r="AG479" s="91">
        <f t="shared" si="196"/>
        <v>0.37783221065523576</v>
      </c>
      <c r="AH479" s="92">
        <v>416.09</v>
      </c>
      <c r="AI479" s="93">
        <v>65.809999999999988</v>
      </c>
      <c r="AJ479" s="93">
        <v>65.809999999999988</v>
      </c>
      <c r="AK479" s="93">
        <v>18.399999999999999</v>
      </c>
      <c r="AL479" s="94">
        <v>18.75</v>
      </c>
      <c r="AM479" s="94">
        <v>184.67999999999799</v>
      </c>
      <c r="AN479" s="94" t="s">
        <v>780</v>
      </c>
      <c r="AO479" s="111">
        <v>4705</v>
      </c>
      <c r="AP479" s="112">
        <v>0</v>
      </c>
      <c r="AQ479" s="112">
        <v>0</v>
      </c>
      <c r="AR479" s="112">
        <v>11079</v>
      </c>
      <c r="AS479" s="113">
        <v>4720</v>
      </c>
      <c r="AT479" s="113">
        <v>0</v>
      </c>
      <c r="AU479" s="111">
        <v>0</v>
      </c>
      <c r="AV479" s="112">
        <v>0</v>
      </c>
      <c r="AW479" s="112">
        <v>0</v>
      </c>
      <c r="AX479" s="112">
        <v>0</v>
      </c>
      <c r="AY479" s="113">
        <v>0</v>
      </c>
      <c r="AZ479" s="113">
        <v>0</v>
      </c>
    </row>
    <row r="480" spans="1:52" x14ac:dyDescent="0.25">
      <c r="A480" s="101" t="s">
        <v>687</v>
      </c>
      <c r="B480" s="102" t="s">
        <v>688</v>
      </c>
      <c r="C480" s="102"/>
      <c r="D480" s="102" t="s">
        <v>1048</v>
      </c>
      <c r="E480" s="103">
        <v>0.14000000000000057</v>
      </c>
      <c r="F480" s="104">
        <v>3000</v>
      </c>
      <c r="G480" s="105">
        <f t="shared" si="188"/>
        <v>1500</v>
      </c>
      <c r="H480" s="105">
        <v>3453</v>
      </c>
      <c r="I480" s="106">
        <f t="shared" si="189"/>
        <v>0.43440486533449174</v>
      </c>
      <c r="J480" s="86">
        <v>1830</v>
      </c>
      <c r="K480" s="87">
        <v>300</v>
      </c>
      <c r="L480" s="87">
        <v>1253</v>
      </c>
      <c r="M480" s="87">
        <v>2418</v>
      </c>
      <c r="N480" s="90">
        <v>2122</v>
      </c>
      <c r="O480" s="90">
        <v>548</v>
      </c>
      <c r="P480" s="86">
        <f t="shared" si="197"/>
        <v>256.20000000000107</v>
      </c>
      <c r="Q480" s="87">
        <f t="shared" si="198"/>
        <v>42.000000000000171</v>
      </c>
      <c r="R480" s="87">
        <f t="shared" si="199"/>
        <v>175.4200000000007</v>
      </c>
      <c r="S480" s="88">
        <f t="shared" si="200"/>
        <v>338.52000000000135</v>
      </c>
      <c r="T480" s="89">
        <f t="shared" si="201"/>
        <v>297.08000000000118</v>
      </c>
      <c r="U480" s="89">
        <f t="shared" si="190"/>
        <v>76.720000000000312</v>
      </c>
      <c r="V480" s="86">
        <v>1599</v>
      </c>
      <c r="W480" s="87">
        <v>967</v>
      </c>
      <c r="X480" s="87">
        <v>1190</v>
      </c>
      <c r="Y480" s="87">
        <v>414</v>
      </c>
      <c r="Z480" s="90">
        <v>1908</v>
      </c>
      <c r="AA480" s="90">
        <v>1660</v>
      </c>
      <c r="AB480" s="91">
        <f t="shared" si="191"/>
        <v>0.46307558644656821</v>
      </c>
      <c r="AC480" s="91">
        <f t="shared" si="192"/>
        <v>0.28004633651896899</v>
      </c>
      <c r="AD480" s="91">
        <f t="shared" si="193"/>
        <v>0.34462785983203009</v>
      </c>
      <c r="AE480" s="91">
        <f t="shared" si="194"/>
        <v>0.11989574283231973</v>
      </c>
      <c r="AF480" s="91">
        <f t="shared" si="195"/>
        <v>0.55256298870547349</v>
      </c>
      <c r="AG480" s="91">
        <f t="shared" si="196"/>
        <v>0.48074138430350422</v>
      </c>
      <c r="AH480" s="92">
        <v>324.01999999999981</v>
      </c>
      <c r="AI480" s="93">
        <v>920.16999999999837</v>
      </c>
      <c r="AJ480" s="93">
        <v>920.16999999999837</v>
      </c>
      <c r="AK480" s="93">
        <v>698.69999999999948</v>
      </c>
      <c r="AL480" s="94">
        <v>324.19999999999902</v>
      </c>
      <c r="AM480" s="94">
        <v>12.6999999999999</v>
      </c>
      <c r="AN480" s="94" t="s">
        <v>780</v>
      </c>
      <c r="AO480" s="111">
        <v>13014.39</v>
      </c>
      <c r="AP480" s="112">
        <v>2142</v>
      </c>
      <c r="AQ480" s="112">
        <v>8874.6</v>
      </c>
      <c r="AR480" s="112">
        <v>17166.490000000002</v>
      </c>
      <c r="AS480" s="113">
        <v>15067.78</v>
      </c>
      <c r="AT480" s="113">
        <v>3859.8</v>
      </c>
      <c r="AU480" s="111">
        <v>11734.8</v>
      </c>
      <c r="AV480" s="112">
        <v>7803.1899999999987</v>
      </c>
      <c r="AW480" s="112">
        <v>9121.1899999999914</v>
      </c>
      <c r="AX480" s="112">
        <v>3255.56</v>
      </c>
      <c r="AY480" s="113">
        <v>14366.209999999901</v>
      </c>
      <c r="AZ480" s="113">
        <v>11775.299999999899</v>
      </c>
    </row>
    <row r="481" spans="1:52" x14ac:dyDescent="0.25">
      <c r="A481" s="101" t="s">
        <v>560</v>
      </c>
      <c r="B481" s="102" t="s">
        <v>561</v>
      </c>
      <c r="C481" s="102"/>
      <c r="D481" s="102" t="s">
        <v>1048</v>
      </c>
      <c r="E481" s="103">
        <v>0.14000000000000012</v>
      </c>
      <c r="F481" s="104">
        <v>1000</v>
      </c>
      <c r="G481" s="105">
        <f t="shared" si="188"/>
        <v>500</v>
      </c>
      <c r="H481" s="105">
        <v>3528</v>
      </c>
      <c r="I481" s="106">
        <f t="shared" si="189"/>
        <v>0.14172335600907029</v>
      </c>
      <c r="J481" s="86">
        <v>600</v>
      </c>
      <c r="K481" s="87">
        <v>300</v>
      </c>
      <c r="L481" s="87">
        <v>0</v>
      </c>
      <c r="M481" s="87">
        <v>160</v>
      </c>
      <c r="N481" s="90">
        <v>520</v>
      </c>
      <c r="O481" s="90">
        <v>637</v>
      </c>
      <c r="P481" s="86">
        <f t="shared" si="197"/>
        <v>84.000000000000071</v>
      </c>
      <c r="Q481" s="87">
        <f t="shared" si="198"/>
        <v>42.000000000000036</v>
      </c>
      <c r="R481" s="87">
        <f t="shared" si="199"/>
        <v>0</v>
      </c>
      <c r="S481" s="88">
        <f t="shared" si="200"/>
        <v>22.40000000000002</v>
      </c>
      <c r="T481" s="89">
        <f t="shared" si="201"/>
        <v>72.800000000000068</v>
      </c>
      <c r="U481" s="89">
        <f t="shared" si="190"/>
        <v>89.180000000000078</v>
      </c>
      <c r="V481" s="86">
        <v>262</v>
      </c>
      <c r="W481" s="87">
        <v>483</v>
      </c>
      <c r="X481" s="87">
        <v>401</v>
      </c>
      <c r="Y481" s="87">
        <v>400</v>
      </c>
      <c r="Z481" s="90">
        <v>384</v>
      </c>
      <c r="AA481" s="90">
        <v>410</v>
      </c>
      <c r="AB481" s="91">
        <f t="shared" si="191"/>
        <v>7.4263038548752838E-2</v>
      </c>
      <c r="AC481" s="91">
        <f t="shared" si="192"/>
        <v>0.13690476190476192</v>
      </c>
      <c r="AD481" s="91">
        <f t="shared" si="193"/>
        <v>0.11366213151927437</v>
      </c>
      <c r="AE481" s="91">
        <f t="shared" si="194"/>
        <v>0.11337868480725624</v>
      </c>
      <c r="AF481" s="91">
        <f t="shared" si="195"/>
        <v>0.10884353741496598</v>
      </c>
      <c r="AG481" s="91">
        <f t="shared" si="196"/>
        <v>0.11621315192743764</v>
      </c>
      <c r="AH481" s="92">
        <v>23.17</v>
      </c>
      <c r="AI481" s="93">
        <v>21.969999999999978</v>
      </c>
      <c r="AJ481" s="93">
        <v>21.969999999999974</v>
      </c>
      <c r="AK481" s="93">
        <v>13.479999999999999</v>
      </c>
      <c r="AL481" s="94">
        <v>5.2099999999999902</v>
      </c>
      <c r="AM481" s="94">
        <v>4.67</v>
      </c>
      <c r="AN481" s="94" t="s">
        <v>780</v>
      </c>
      <c r="AO481" s="111">
        <v>1327</v>
      </c>
      <c r="AP481" s="112">
        <v>672.5</v>
      </c>
      <c r="AQ481" s="112">
        <v>0</v>
      </c>
      <c r="AR481" s="112">
        <v>353.6</v>
      </c>
      <c r="AS481" s="113">
        <v>1439</v>
      </c>
      <c r="AT481" s="113">
        <v>1320</v>
      </c>
      <c r="AU481" s="111">
        <v>610.13000000000011</v>
      </c>
      <c r="AV481" s="112">
        <v>1103.8899999999996</v>
      </c>
      <c r="AW481" s="112">
        <v>911.71999999999969</v>
      </c>
      <c r="AX481" s="112">
        <v>898.45</v>
      </c>
      <c r="AY481" s="113">
        <v>862.49</v>
      </c>
      <c r="AZ481" s="113">
        <v>917.18000000000097</v>
      </c>
    </row>
    <row r="482" spans="1:52" x14ac:dyDescent="0.25">
      <c r="A482" s="101" t="s">
        <v>668</v>
      </c>
      <c r="B482" s="102" t="s">
        <v>669</v>
      </c>
      <c r="C482" s="102"/>
      <c r="D482" s="102" t="s">
        <v>1048</v>
      </c>
      <c r="E482" s="103">
        <v>0.12000000000000011</v>
      </c>
      <c r="F482" s="104">
        <v>500</v>
      </c>
      <c r="G482" s="105">
        <f t="shared" si="188"/>
        <v>250</v>
      </c>
      <c r="H482" s="105">
        <v>176</v>
      </c>
      <c r="I482" s="106">
        <f t="shared" si="189"/>
        <v>1.4204545454545454</v>
      </c>
      <c r="J482" s="86">
        <v>0</v>
      </c>
      <c r="K482" s="87">
        <v>0</v>
      </c>
      <c r="L482" s="87">
        <v>0</v>
      </c>
      <c r="M482" s="87">
        <v>0</v>
      </c>
      <c r="N482" s="90">
        <v>300</v>
      </c>
      <c r="O482" s="90">
        <v>116</v>
      </c>
      <c r="P482" s="86">
        <f t="shared" si="197"/>
        <v>0</v>
      </c>
      <c r="Q482" s="87">
        <f t="shared" si="198"/>
        <v>0</v>
      </c>
      <c r="R482" s="87">
        <f t="shared" si="199"/>
        <v>0</v>
      </c>
      <c r="S482" s="88">
        <f t="shared" si="200"/>
        <v>0</v>
      </c>
      <c r="T482" s="89">
        <f t="shared" si="201"/>
        <v>36.000000000000028</v>
      </c>
      <c r="U482" s="89">
        <f t="shared" si="190"/>
        <v>13.920000000000012</v>
      </c>
      <c r="V482" s="86">
        <v>247</v>
      </c>
      <c r="W482" s="87">
        <v>14</v>
      </c>
      <c r="X482" s="87">
        <v>33</v>
      </c>
      <c r="Y482" s="87">
        <v>0</v>
      </c>
      <c r="Z482" s="90">
        <v>0</v>
      </c>
      <c r="AA482" s="90">
        <v>297</v>
      </c>
      <c r="AB482" s="91">
        <f t="shared" si="191"/>
        <v>1.4034090909090908</v>
      </c>
      <c r="AC482" s="91">
        <f t="shared" si="192"/>
        <v>7.9545454545454544E-2</v>
      </c>
      <c r="AD482" s="91">
        <f t="shared" si="193"/>
        <v>0.1875</v>
      </c>
      <c r="AE482" s="91">
        <f t="shared" si="194"/>
        <v>0</v>
      </c>
      <c r="AF482" s="91">
        <f t="shared" si="195"/>
        <v>0</v>
      </c>
      <c r="AG482" s="91">
        <f t="shared" si="196"/>
        <v>1.6875</v>
      </c>
      <c r="AH482" s="92">
        <v>0</v>
      </c>
      <c r="AI482" s="93">
        <v>64.59</v>
      </c>
      <c r="AJ482" s="93">
        <v>64.59</v>
      </c>
      <c r="AK482" s="93">
        <v>0</v>
      </c>
      <c r="AL482" s="94">
        <v>0</v>
      </c>
      <c r="AM482" s="94">
        <v>36.629999999999903</v>
      </c>
      <c r="AN482" s="94" t="s">
        <v>780</v>
      </c>
      <c r="AO482" s="111">
        <v>0</v>
      </c>
      <c r="AP482" s="112">
        <v>0</v>
      </c>
      <c r="AQ482" s="112">
        <v>0</v>
      </c>
      <c r="AR482" s="112">
        <v>0</v>
      </c>
      <c r="AS482" s="113">
        <v>1376</v>
      </c>
      <c r="AT482" s="113">
        <v>531.28</v>
      </c>
      <c r="AU482" s="111">
        <v>746.06</v>
      </c>
      <c r="AV482" s="112">
        <v>130.02999999999992</v>
      </c>
      <c r="AW482" s="112">
        <v>124.7</v>
      </c>
      <c r="AX482" s="112">
        <v>0</v>
      </c>
      <c r="AY482" s="113">
        <v>0</v>
      </c>
      <c r="AZ482" s="113">
        <v>1392.93</v>
      </c>
    </row>
    <row r="483" spans="1:52" x14ac:dyDescent="0.25">
      <c r="A483" s="101" t="s">
        <v>556</v>
      </c>
      <c r="B483" s="102" t="s">
        <v>557</v>
      </c>
      <c r="C483" s="102"/>
      <c r="D483" s="102" t="s">
        <v>1048</v>
      </c>
      <c r="E483" s="103">
        <v>0.1100000000000001</v>
      </c>
      <c r="F483" s="104">
        <v>3207.2000000000003</v>
      </c>
      <c r="G483" s="105">
        <f t="shared" si="188"/>
        <v>1603.6000000000001</v>
      </c>
      <c r="H483" s="105">
        <v>16036</v>
      </c>
      <c r="I483" s="106">
        <f t="shared" si="189"/>
        <v>0.1</v>
      </c>
      <c r="J483" s="86">
        <v>0</v>
      </c>
      <c r="K483" s="87">
        <v>5408</v>
      </c>
      <c r="L483" s="87">
        <v>10778</v>
      </c>
      <c r="M483" s="87">
        <v>2359</v>
      </c>
      <c r="N483" s="90"/>
      <c r="O483" s="90">
        <v>1000</v>
      </c>
      <c r="P483" s="86">
        <f t="shared" si="197"/>
        <v>0</v>
      </c>
      <c r="Q483" s="87">
        <f t="shared" si="198"/>
        <v>594.88000000000056</v>
      </c>
      <c r="R483" s="87">
        <f t="shared" si="199"/>
        <v>1185.5800000000011</v>
      </c>
      <c r="S483" s="88">
        <f t="shared" si="200"/>
        <v>259.49000000000024</v>
      </c>
      <c r="T483" s="89">
        <f t="shared" si="201"/>
        <v>0</v>
      </c>
      <c r="U483" s="89">
        <f t="shared" si="190"/>
        <v>110.0000000000001</v>
      </c>
      <c r="V483" s="86">
        <v>11</v>
      </c>
      <c r="W483" s="87">
        <v>18</v>
      </c>
      <c r="X483" s="87">
        <v>28</v>
      </c>
      <c r="Y483" s="87">
        <v>21</v>
      </c>
      <c r="Z483" s="90">
        <v>30</v>
      </c>
      <c r="AA483" s="90">
        <v>0</v>
      </c>
      <c r="AB483" s="91">
        <f t="shared" si="191"/>
        <v>6.8595659765527568E-4</v>
      </c>
      <c r="AC483" s="91">
        <f t="shared" si="192"/>
        <v>1.1224744325268148E-3</v>
      </c>
      <c r="AD483" s="91">
        <f t="shared" si="193"/>
        <v>1.7460713394861561E-3</v>
      </c>
      <c r="AE483" s="91">
        <f t="shared" si="194"/>
        <v>1.3095535046146172E-3</v>
      </c>
      <c r="AF483" s="91">
        <f t="shared" si="195"/>
        <v>1.8707907208780244E-3</v>
      </c>
      <c r="AG483" s="91">
        <f t="shared" si="196"/>
        <v>0</v>
      </c>
      <c r="AH483" s="92">
        <v>1.4</v>
      </c>
      <c r="AI483" s="93">
        <v>1.74</v>
      </c>
      <c r="AJ483" s="93">
        <v>3.0800000000000027</v>
      </c>
      <c r="AK483" s="93">
        <v>3.2700000000000005</v>
      </c>
      <c r="AL483" s="94">
        <v>2.4</v>
      </c>
      <c r="AM483" s="94">
        <v>0</v>
      </c>
      <c r="AN483" s="94" t="s">
        <v>780</v>
      </c>
      <c r="AO483" s="111">
        <v>7447.66</v>
      </c>
      <c r="AP483" s="112">
        <v>8980.85</v>
      </c>
      <c r="AQ483" s="112">
        <v>17604.419999999998</v>
      </c>
      <c r="AR483" s="112">
        <v>3869.46</v>
      </c>
      <c r="AS483" s="113">
        <v>147.87</v>
      </c>
      <c r="AT483" s="113">
        <v>1580</v>
      </c>
      <c r="AU483" s="111">
        <v>19.600000000000001</v>
      </c>
      <c r="AV483" s="112">
        <v>31.439999999999998</v>
      </c>
      <c r="AW483" s="112">
        <v>49.35</v>
      </c>
      <c r="AX483" s="112">
        <v>36.840000000000003</v>
      </c>
      <c r="AY483" s="113">
        <v>53.08</v>
      </c>
      <c r="AZ483" s="113">
        <v>0</v>
      </c>
    </row>
    <row r="484" spans="1:52" x14ac:dyDescent="0.25">
      <c r="A484" s="101" t="s">
        <v>703</v>
      </c>
      <c r="B484" s="102" t="s">
        <v>704</v>
      </c>
      <c r="C484" s="102"/>
      <c r="D484" s="102" t="s">
        <v>1048</v>
      </c>
      <c r="E484" s="103">
        <v>0.10999999999999943</v>
      </c>
      <c r="F484" s="104">
        <v>2400</v>
      </c>
      <c r="G484" s="105">
        <f t="shared" si="188"/>
        <v>1200</v>
      </c>
      <c r="H484" s="105">
        <v>1028</v>
      </c>
      <c r="I484" s="106">
        <f t="shared" si="189"/>
        <v>1.1673151750972763</v>
      </c>
      <c r="J484" s="86">
        <v>3109</v>
      </c>
      <c r="K484" s="87">
        <v>1900</v>
      </c>
      <c r="L484" s="87">
        <v>300</v>
      </c>
      <c r="M484" s="87">
        <v>400</v>
      </c>
      <c r="N484" s="90">
        <v>1200</v>
      </c>
      <c r="O484" s="90">
        <v>0</v>
      </c>
      <c r="P484" s="86">
        <f t="shared" si="197"/>
        <v>341.98999999999825</v>
      </c>
      <c r="Q484" s="87">
        <f t="shared" si="198"/>
        <v>208.99999999999892</v>
      </c>
      <c r="R484" s="87">
        <f t="shared" si="199"/>
        <v>32.999999999999829</v>
      </c>
      <c r="S484" s="88">
        <f t="shared" si="200"/>
        <v>43.999999999999773</v>
      </c>
      <c r="T484" s="89">
        <f t="shared" si="201"/>
        <v>131.99999999999932</v>
      </c>
      <c r="U484" s="89">
        <f t="shared" si="190"/>
        <v>0</v>
      </c>
      <c r="V484" s="86">
        <v>799</v>
      </c>
      <c r="W484" s="87">
        <v>982</v>
      </c>
      <c r="X484" s="87">
        <v>1834</v>
      </c>
      <c r="Y484" s="87">
        <v>638</v>
      </c>
      <c r="Z484" s="90">
        <v>980</v>
      </c>
      <c r="AA484" s="90">
        <v>766</v>
      </c>
      <c r="AB484" s="91">
        <f t="shared" si="191"/>
        <v>0.77723735408560313</v>
      </c>
      <c r="AC484" s="91">
        <f t="shared" si="192"/>
        <v>0.95525291828793779</v>
      </c>
      <c r="AD484" s="91">
        <f t="shared" si="193"/>
        <v>1.784046692607004</v>
      </c>
      <c r="AE484" s="91">
        <f t="shared" si="194"/>
        <v>0.62062256809338523</v>
      </c>
      <c r="AF484" s="91">
        <f t="shared" si="195"/>
        <v>0.953307392996109</v>
      </c>
      <c r="AG484" s="91">
        <f t="shared" si="196"/>
        <v>0.74513618677042803</v>
      </c>
      <c r="AH484" s="92">
        <v>1293.05</v>
      </c>
      <c r="AI484" s="93">
        <v>1674.0699999999986</v>
      </c>
      <c r="AJ484" s="93">
        <v>1674.0699999999983</v>
      </c>
      <c r="AK484" s="93">
        <v>1248.6499999999985</v>
      </c>
      <c r="AL484" s="94">
        <v>667.03999999999905</v>
      </c>
      <c r="AM484" s="94">
        <v>89.959999999999795</v>
      </c>
      <c r="AN484" s="94" t="s">
        <v>780</v>
      </c>
      <c r="AO484" s="111">
        <v>27643.37</v>
      </c>
      <c r="AP484" s="112">
        <v>16893</v>
      </c>
      <c r="AQ484" s="112">
        <v>2679</v>
      </c>
      <c r="AR484" s="112">
        <v>3536</v>
      </c>
      <c r="AS484" s="113">
        <v>10464</v>
      </c>
      <c r="AT484" s="113">
        <v>0</v>
      </c>
      <c r="AU484" s="111">
        <v>8401.0700000000015</v>
      </c>
      <c r="AV484" s="112">
        <v>10425.939999999981</v>
      </c>
      <c r="AW484" s="112">
        <v>17554.849999999977</v>
      </c>
      <c r="AX484" s="112">
        <v>6337.95999999999</v>
      </c>
      <c r="AY484" s="113">
        <v>9565.26</v>
      </c>
      <c r="AZ484" s="113">
        <v>6861.3899999999803</v>
      </c>
    </row>
    <row r="485" spans="1:52" x14ac:dyDescent="0.25">
      <c r="A485" s="101" t="s">
        <v>718</v>
      </c>
      <c r="B485" s="102" t="s">
        <v>719</v>
      </c>
      <c r="C485" s="102"/>
      <c r="D485" s="102" t="s">
        <v>1048</v>
      </c>
      <c r="E485" s="103">
        <v>0.10000000000000142</v>
      </c>
      <c r="F485" s="104">
        <v>2000</v>
      </c>
      <c r="G485" s="105">
        <f t="shared" si="188"/>
        <v>1000</v>
      </c>
      <c r="H485" s="105">
        <v>8215</v>
      </c>
      <c r="I485" s="106">
        <f t="shared" si="189"/>
        <v>0.12172854534388314</v>
      </c>
      <c r="J485" s="86">
        <v>400</v>
      </c>
      <c r="K485" s="87">
        <v>0</v>
      </c>
      <c r="L485" s="87">
        <v>100</v>
      </c>
      <c r="M485" s="87">
        <v>0</v>
      </c>
      <c r="N485" s="90"/>
      <c r="O485" s="90">
        <v>0</v>
      </c>
      <c r="P485" s="86">
        <f t="shared" si="197"/>
        <v>40.000000000000568</v>
      </c>
      <c r="Q485" s="87">
        <f t="shared" si="198"/>
        <v>0</v>
      </c>
      <c r="R485" s="87">
        <f t="shared" si="199"/>
        <v>10.000000000000142</v>
      </c>
      <c r="S485" s="88">
        <f t="shared" si="200"/>
        <v>0</v>
      </c>
      <c r="T485" s="89">
        <f t="shared" si="201"/>
        <v>0</v>
      </c>
      <c r="U485" s="89">
        <f t="shared" si="190"/>
        <v>0</v>
      </c>
      <c r="V485" s="86">
        <v>34</v>
      </c>
      <c r="W485" s="87">
        <v>0</v>
      </c>
      <c r="X485" s="87">
        <v>127</v>
      </c>
      <c r="Y485" s="87">
        <v>371</v>
      </c>
      <c r="Z485" s="90">
        <v>0</v>
      </c>
      <c r="AA485" s="90">
        <v>200</v>
      </c>
      <c r="AB485" s="91">
        <f t="shared" si="191"/>
        <v>4.1387705416920271E-3</v>
      </c>
      <c r="AC485" s="91">
        <f t="shared" si="192"/>
        <v>0</v>
      </c>
      <c r="AD485" s="91">
        <f t="shared" si="193"/>
        <v>1.5459525258673159E-2</v>
      </c>
      <c r="AE485" s="91">
        <f t="shared" si="194"/>
        <v>4.5161290322580643E-2</v>
      </c>
      <c r="AF485" s="91">
        <f t="shared" si="195"/>
        <v>0</v>
      </c>
      <c r="AG485" s="91">
        <f t="shared" si="196"/>
        <v>2.4345709068776627E-2</v>
      </c>
      <c r="AH485" s="92">
        <v>81.599999999999994</v>
      </c>
      <c r="AI485" s="93">
        <v>0</v>
      </c>
      <c r="AJ485" s="93">
        <v>12.70000000000018</v>
      </c>
      <c r="AK485" s="93">
        <v>2890.2999999999902</v>
      </c>
      <c r="AL485" s="94">
        <v>8404.3799999999792</v>
      </c>
      <c r="AM485" s="94">
        <v>19.79</v>
      </c>
      <c r="AN485" s="94" t="s">
        <v>780</v>
      </c>
      <c r="AO485" s="111">
        <v>14512</v>
      </c>
      <c r="AP485" s="112">
        <v>0</v>
      </c>
      <c r="AQ485" s="112">
        <v>2655</v>
      </c>
      <c r="AR485" s="112">
        <v>0</v>
      </c>
      <c r="AS485" s="113">
        <v>0</v>
      </c>
      <c r="AT485" s="113">
        <v>0</v>
      </c>
      <c r="AU485" s="111">
        <v>1961.8</v>
      </c>
      <c r="AV485" s="112">
        <v>0</v>
      </c>
      <c r="AW485" s="112">
        <v>7288.3099999999795</v>
      </c>
      <c r="AX485" s="112">
        <v>21252.110000000099</v>
      </c>
      <c r="AY485" s="113">
        <v>0</v>
      </c>
      <c r="AZ485" s="113">
        <v>11199.789999999901</v>
      </c>
    </row>
    <row r="486" spans="1:52" x14ac:dyDescent="0.25">
      <c r="A486" s="101" t="s">
        <v>713</v>
      </c>
      <c r="B486" s="102" t="s">
        <v>714</v>
      </c>
      <c r="C486" s="102"/>
      <c r="D486" s="102" t="s">
        <v>1048</v>
      </c>
      <c r="E486" s="103">
        <v>8.9999999999999858E-2</v>
      </c>
      <c r="F486" s="104">
        <v>7500</v>
      </c>
      <c r="G486" s="105">
        <f t="shared" si="188"/>
        <v>3750</v>
      </c>
      <c r="H486" s="105">
        <v>19370</v>
      </c>
      <c r="I486" s="106">
        <f t="shared" si="189"/>
        <v>0.19359834796076406</v>
      </c>
      <c r="J486" s="86">
        <v>1870</v>
      </c>
      <c r="K486" s="87">
        <v>0</v>
      </c>
      <c r="L486" s="87">
        <v>0</v>
      </c>
      <c r="M486" s="87">
        <v>310</v>
      </c>
      <c r="N486" s="90"/>
      <c r="O486" s="90">
        <v>269</v>
      </c>
      <c r="P486" s="86">
        <f t="shared" si="197"/>
        <v>168.29999999999973</v>
      </c>
      <c r="Q486" s="87">
        <f t="shared" si="198"/>
        <v>0</v>
      </c>
      <c r="R486" s="87">
        <f t="shared" si="199"/>
        <v>0</v>
      </c>
      <c r="S486" s="88">
        <f t="shared" si="200"/>
        <v>27.899999999999956</v>
      </c>
      <c r="T486" s="89">
        <f t="shared" si="201"/>
        <v>0</v>
      </c>
      <c r="U486" s="89">
        <f t="shared" si="190"/>
        <v>24.209999999999962</v>
      </c>
      <c r="V486" s="86">
        <v>669</v>
      </c>
      <c r="W486" s="87">
        <v>2110</v>
      </c>
      <c r="X486" s="87">
        <v>6197</v>
      </c>
      <c r="Y486" s="87">
        <v>4658</v>
      </c>
      <c r="Z486" s="90">
        <v>506</v>
      </c>
      <c r="AA486" s="90">
        <v>0</v>
      </c>
      <c r="AB486" s="91">
        <f t="shared" si="191"/>
        <v>3.4537945276200313E-2</v>
      </c>
      <c r="AC486" s="91">
        <f t="shared" si="192"/>
        <v>0.10893133711925658</v>
      </c>
      <c r="AD486" s="91">
        <f t="shared" si="193"/>
        <v>0.319927723283428</v>
      </c>
      <c r="AE486" s="91">
        <f t="shared" si="194"/>
        <v>0.24047496128033041</v>
      </c>
      <c r="AF486" s="91">
        <f t="shared" si="195"/>
        <v>2.612287041817243E-2</v>
      </c>
      <c r="AG486" s="91">
        <f t="shared" si="196"/>
        <v>0</v>
      </c>
      <c r="AH486" s="92">
        <v>99.879999999999981</v>
      </c>
      <c r="AI486" s="93">
        <v>189.89999999999969</v>
      </c>
      <c r="AJ486" s="93">
        <v>557.72999999999911</v>
      </c>
      <c r="AK486" s="93">
        <v>286.22999999999888</v>
      </c>
      <c r="AL486" s="94">
        <v>376.840000000006</v>
      </c>
      <c r="AM486" s="94">
        <v>0</v>
      </c>
      <c r="AN486" s="94" t="s">
        <v>780</v>
      </c>
      <c r="AO486" s="111">
        <v>49036.81</v>
      </c>
      <c r="AP486" s="112">
        <v>0</v>
      </c>
      <c r="AQ486" s="112">
        <v>0</v>
      </c>
      <c r="AR486" s="112">
        <v>8005</v>
      </c>
      <c r="AS486" s="113">
        <v>0</v>
      </c>
      <c r="AT486" s="113">
        <v>6843</v>
      </c>
      <c r="AU486" s="111">
        <v>17951.560000000001</v>
      </c>
      <c r="AV486" s="112">
        <v>56137.169999999889</v>
      </c>
      <c r="AW486" s="112">
        <v>164780.01000000024</v>
      </c>
      <c r="AX486" s="112">
        <v>123818.099999998</v>
      </c>
      <c r="AY486" s="113">
        <v>13460.57</v>
      </c>
      <c r="AZ486" s="113">
        <v>0</v>
      </c>
    </row>
    <row r="487" spans="1:52" x14ac:dyDescent="0.25">
      <c r="A487" s="101" t="s">
        <v>720</v>
      </c>
      <c r="B487" s="102" t="s">
        <v>721</v>
      </c>
      <c r="C487" s="102"/>
      <c r="D487" s="102" t="s">
        <v>1048</v>
      </c>
      <c r="E487" s="103">
        <v>8.00000000000054E-2</v>
      </c>
      <c r="F487" s="104">
        <v>60</v>
      </c>
      <c r="G487" s="105">
        <f t="shared" si="188"/>
        <v>30</v>
      </c>
      <c r="H487" s="105">
        <v>31</v>
      </c>
      <c r="I487" s="106">
        <f t="shared" si="189"/>
        <v>0.967741935483871</v>
      </c>
      <c r="J487" s="86">
        <v>84.848484848484844</v>
      </c>
      <c r="K487" s="87">
        <v>84.848484848484844</v>
      </c>
      <c r="L487" s="87">
        <v>0</v>
      </c>
      <c r="M487" s="87">
        <v>0</v>
      </c>
      <c r="N487" s="90"/>
      <c r="O487" s="90">
        <v>0</v>
      </c>
      <c r="P487" s="86">
        <f t="shared" si="197"/>
        <v>6.7878787878792455</v>
      </c>
      <c r="Q487" s="87">
        <f t="shared" si="198"/>
        <v>6.7878787878792455</v>
      </c>
      <c r="R487" s="87">
        <f t="shared" si="199"/>
        <v>0</v>
      </c>
      <c r="S487" s="88">
        <f t="shared" si="200"/>
        <v>0</v>
      </c>
      <c r="T487" s="89">
        <f t="shared" si="201"/>
        <v>0</v>
      </c>
      <c r="U487" s="89">
        <f t="shared" si="190"/>
        <v>0</v>
      </c>
      <c r="V487" s="86">
        <v>44</v>
      </c>
      <c r="W487" s="87">
        <v>25</v>
      </c>
      <c r="X487" s="87">
        <v>9</v>
      </c>
      <c r="Y487" s="87">
        <v>8</v>
      </c>
      <c r="Z487" s="90">
        <v>26</v>
      </c>
      <c r="AA487" s="90">
        <v>4</v>
      </c>
      <c r="AB487" s="91">
        <f t="shared" si="191"/>
        <v>1.4193548387096775</v>
      </c>
      <c r="AC487" s="91">
        <f t="shared" si="192"/>
        <v>0.80645161290322576</v>
      </c>
      <c r="AD487" s="91">
        <f t="shared" si="193"/>
        <v>0.29032258064516131</v>
      </c>
      <c r="AE487" s="91">
        <f t="shared" si="194"/>
        <v>0.25806451612903225</v>
      </c>
      <c r="AF487" s="91">
        <f t="shared" si="195"/>
        <v>0.83870967741935487</v>
      </c>
      <c r="AG487" s="91">
        <f t="shared" si="196"/>
        <v>0.12903225806451613</v>
      </c>
      <c r="AH487" s="92">
        <v>45.320000000000007</v>
      </c>
      <c r="AI487" s="93">
        <v>9.8199999999999985</v>
      </c>
      <c r="AJ487" s="93">
        <v>9.82</v>
      </c>
      <c r="AK487" s="93">
        <v>2.0199999999999996</v>
      </c>
      <c r="AL487" s="94">
        <v>1.48</v>
      </c>
      <c r="AM487" s="94">
        <v>0.3</v>
      </c>
      <c r="AN487" s="94" t="s">
        <v>780</v>
      </c>
      <c r="AO487" s="111">
        <v>4124.96</v>
      </c>
      <c r="AP487" s="112">
        <v>4124.96</v>
      </c>
      <c r="AQ487" s="112">
        <v>0</v>
      </c>
      <c r="AR487" s="112">
        <v>0</v>
      </c>
      <c r="AS487" s="113">
        <v>0</v>
      </c>
      <c r="AT487" s="113">
        <v>0</v>
      </c>
      <c r="AU487" s="111">
        <v>2195.16</v>
      </c>
      <c r="AV487" s="112">
        <v>1231.899999999999</v>
      </c>
      <c r="AW487" s="112">
        <v>441.92</v>
      </c>
      <c r="AX487" s="112">
        <v>392.44</v>
      </c>
      <c r="AY487" s="113">
        <v>1271.97</v>
      </c>
      <c r="AZ487" s="113">
        <v>195.77999999999901</v>
      </c>
    </row>
    <row r="488" spans="1:52" x14ac:dyDescent="0.25">
      <c r="A488" s="101" t="s">
        <v>706</v>
      </c>
      <c r="B488" s="102" t="s">
        <v>707</v>
      </c>
      <c r="C488" s="102"/>
      <c r="D488" s="102" t="s">
        <v>1048</v>
      </c>
      <c r="E488" s="103">
        <v>6.0000000000000497E-2</v>
      </c>
      <c r="F488" s="104">
        <v>18000</v>
      </c>
      <c r="G488" s="105">
        <f t="shared" si="188"/>
        <v>9000</v>
      </c>
      <c r="H488" s="105">
        <v>76851</v>
      </c>
      <c r="I488" s="106">
        <f t="shared" si="189"/>
        <v>0.11710973181871413</v>
      </c>
      <c r="J488" s="86">
        <v>3637</v>
      </c>
      <c r="K488" s="87">
        <v>6518</v>
      </c>
      <c r="L488" s="87">
        <v>3236</v>
      </c>
      <c r="M488" s="87">
        <v>0</v>
      </c>
      <c r="N488" s="90"/>
      <c r="O488" s="90">
        <v>0</v>
      </c>
      <c r="P488" s="86">
        <f t="shared" si="197"/>
        <v>218.22000000000182</v>
      </c>
      <c r="Q488" s="87">
        <f t="shared" si="198"/>
        <v>391.08000000000322</v>
      </c>
      <c r="R488" s="87">
        <f t="shared" si="199"/>
        <v>194.16000000000162</v>
      </c>
      <c r="S488" s="88">
        <f t="shared" si="200"/>
        <v>0</v>
      </c>
      <c r="T488" s="89">
        <f t="shared" si="201"/>
        <v>0</v>
      </c>
      <c r="U488" s="89">
        <f t="shared" si="190"/>
        <v>0</v>
      </c>
      <c r="V488" s="86">
        <v>20375</v>
      </c>
      <c r="W488" s="87">
        <v>20086</v>
      </c>
      <c r="X488" s="87">
        <v>35269</v>
      </c>
      <c r="Y488" s="87">
        <v>30647</v>
      </c>
      <c r="Z488" s="90">
        <v>32339</v>
      </c>
      <c r="AA488" s="90">
        <v>43706</v>
      </c>
      <c r="AB488" s="91">
        <f t="shared" si="191"/>
        <v>0.26512342064514449</v>
      </c>
      <c r="AC488" s="91">
        <f t="shared" si="192"/>
        <v>0.26136289703452137</v>
      </c>
      <c r="AD488" s="91">
        <f t="shared" si="193"/>
        <v>0.45892701461269209</v>
      </c>
      <c r="AE488" s="91">
        <f t="shared" si="194"/>
        <v>0.39878466122757023</v>
      </c>
      <c r="AF488" s="91">
        <f t="shared" si="195"/>
        <v>0.42080129080948847</v>
      </c>
      <c r="AG488" s="91">
        <f t="shared" si="196"/>
        <v>0.56871088209652443</v>
      </c>
      <c r="AH488" s="92">
        <v>1928.659999999996</v>
      </c>
      <c r="AI488" s="93">
        <v>2505.8699999999931</v>
      </c>
      <c r="AJ488" s="93">
        <v>2505.869999999994</v>
      </c>
      <c r="AK488" s="93">
        <v>4962.6400000000021</v>
      </c>
      <c r="AL488" s="94">
        <v>2118.7800000000302</v>
      </c>
      <c r="AM488" s="94">
        <v>2874.41999999984</v>
      </c>
      <c r="AN488" s="94" t="s">
        <v>780</v>
      </c>
      <c r="AO488" s="111">
        <v>17619.82</v>
      </c>
      <c r="AP488" s="112">
        <v>32001.149999999994</v>
      </c>
      <c r="AQ488" s="112">
        <v>15694.6</v>
      </c>
      <c r="AR488" s="112">
        <v>0</v>
      </c>
      <c r="AS488" s="113">
        <v>0</v>
      </c>
      <c r="AT488" s="113">
        <v>0</v>
      </c>
      <c r="AU488" s="111">
        <v>104431.08999999979</v>
      </c>
      <c r="AV488" s="112">
        <v>103270.89999999988</v>
      </c>
      <c r="AW488" s="112">
        <v>180725.68999999965</v>
      </c>
      <c r="AX488" s="112">
        <v>156806.00999999899</v>
      </c>
      <c r="AY488" s="113">
        <v>165407.91999999899</v>
      </c>
      <c r="AZ488" s="113">
        <v>223589.719999997</v>
      </c>
    </row>
    <row r="489" spans="1:52" x14ac:dyDescent="0.25">
      <c r="A489" s="101" t="s">
        <v>699</v>
      </c>
      <c r="B489" s="102" t="s">
        <v>700</v>
      </c>
      <c r="C489" s="102"/>
      <c r="D489" s="102" t="s">
        <v>1048</v>
      </c>
      <c r="E489" s="103">
        <v>4.0000000000000036E-2</v>
      </c>
      <c r="F489" s="104">
        <v>2200</v>
      </c>
      <c r="G489" s="105">
        <f t="shared" si="188"/>
        <v>1100</v>
      </c>
      <c r="H489" s="105">
        <v>5577</v>
      </c>
      <c r="I489" s="106">
        <f t="shared" si="189"/>
        <v>0.19723865877712032</v>
      </c>
      <c r="J489" s="86">
        <v>3370</v>
      </c>
      <c r="K489" s="87">
        <v>7781</v>
      </c>
      <c r="L489" s="87">
        <v>466</v>
      </c>
      <c r="M489" s="87">
        <v>0</v>
      </c>
      <c r="N489" s="90"/>
      <c r="O489" s="90">
        <v>0</v>
      </c>
      <c r="P489" s="86">
        <f t="shared" si="197"/>
        <v>134.80000000000013</v>
      </c>
      <c r="Q489" s="87">
        <f t="shared" si="198"/>
        <v>311.24000000000029</v>
      </c>
      <c r="R489" s="87">
        <f t="shared" si="199"/>
        <v>18.640000000000015</v>
      </c>
      <c r="S489" s="88">
        <f t="shared" si="200"/>
        <v>0</v>
      </c>
      <c r="T489" s="89">
        <f t="shared" si="201"/>
        <v>0</v>
      </c>
      <c r="U489" s="89">
        <f t="shared" si="190"/>
        <v>0</v>
      </c>
      <c r="V489" s="86">
        <v>738</v>
      </c>
      <c r="W489" s="87">
        <v>2107</v>
      </c>
      <c r="X489" s="87">
        <v>2266</v>
      </c>
      <c r="Y489" s="87">
        <v>2343</v>
      </c>
      <c r="Z489" s="90">
        <v>2442</v>
      </c>
      <c r="AA489" s="90">
        <v>2649</v>
      </c>
      <c r="AB489" s="91">
        <f t="shared" si="191"/>
        <v>0.13232920925228617</v>
      </c>
      <c r="AC489" s="91">
        <f t="shared" si="192"/>
        <v>0.37780168549399318</v>
      </c>
      <c r="AD489" s="91">
        <f t="shared" si="193"/>
        <v>0.40631163708086787</v>
      </c>
      <c r="AE489" s="91">
        <f t="shared" si="194"/>
        <v>0.42011834319526625</v>
      </c>
      <c r="AF489" s="91">
        <f t="shared" si="195"/>
        <v>0.43786982248520712</v>
      </c>
      <c r="AG489" s="91">
        <f t="shared" si="196"/>
        <v>0.47498655190962885</v>
      </c>
      <c r="AH489" s="92">
        <v>557.51000000000022</v>
      </c>
      <c r="AI489" s="93">
        <v>930.39999999999918</v>
      </c>
      <c r="AJ489" s="93">
        <v>930.39999999999941</v>
      </c>
      <c r="AK489" s="93">
        <v>845.48999999999921</v>
      </c>
      <c r="AL489" s="94">
        <v>306.76000000000101</v>
      </c>
      <c r="AM489" s="94">
        <v>233.16000000000099</v>
      </c>
      <c r="AN489" s="94" t="s">
        <v>780</v>
      </c>
      <c r="AO489" s="111">
        <v>8469.2000000000007</v>
      </c>
      <c r="AP489" s="112">
        <v>19673.280000000002</v>
      </c>
      <c r="AQ489" s="112">
        <v>1197.6199999999999</v>
      </c>
      <c r="AR489" s="112">
        <v>0</v>
      </c>
      <c r="AS489" s="113">
        <v>0</v>
      </c>
      <c r="AT489" s="113">
        <v>0</v>
      </c>
      <c r="AU489" s="111">
        <v>2437.7700000000009</v>
      </c>
      <c r="AV489" s="112">
        <v>6402.0899999999938</v>
      </c>
      <c r="AW489" s="112">
        <v>6597.1799999999866</v>
      </c>
      <c r="AX489" s="112">
        <v>6215.9300000000103</v>
      </c>
      <c r="AY489" s="113">
        <v>6996.9200000000101</v>
      </c>
      <c r="AZ489" s="113">
        <v>6908.6399999999803</v>
      </c>
    </row>
    <row r="490" spans="1:52" x14ac:dyDescent="0.25">
      <c r="A490" s="101" t="s">
        <v>716</v>
      </c>
      <c r="B490" s="102" t="s">
        <v>717</v>
      </c>
      <c r="C490" s="102"/>
      <c r="D490" s="102" t="s">
        <v>1048</v>
      </c>
      <c r="E490" s="103">
        <v>3.9999999999999147E-2</v>
      </c>
      <c r="F490" s="104">
        <v>140</v>
      </c>
      <c r="G490" s="105">
        <f t="shared" si="188"/>
        <v>70</v>
      </c>
      <c r="H490" s="105">
        <v>38</v>
      </c>
      <c r="I490" s="106">
        <f t="shared" si="189"/>
        <v>1.8421052631578947</v>
      </c>
      <c r="J490" s="86">
        <v>288</v>
      </c>
      <c r="K490" s="87">
        <v>126</v>
      </c>
      <c r="L490" s="87">
        <v>44</v>
      </c>
      <c r="M490" s="87">
        <v>0</v>
      </c>
      <c r="N490" s="90"/>
      <c r="O490" s="90">
        <v>0</v>
      </c>
      <c r="P490" s="86">
        <f t="shared" si="197"/>
        <v>11.519999999999754</v>
      </c>
      <c r="Q490" s="87">
        <f t="shared" si="198"/>
        <v>5.0399999999998926</v>
      </c>
      <c r="R490" s="87">
        <f t="shared" si="199"/>
        <v>1.7599999999999625</v>
      </c>
      <c r="S490" s="88">
        <f t="shared" si="200"/>
        <v>0</v>
      </c>
      <c r="T490" s="89">
        <f t="shared" si="201"/>
        <v>0</v>
      </c>
      <c r="U490" s="89">
        <f t="shared" si="190"/>
        <v>0</v>
      </c>
      <c r="V490" s="86">
        <v>16</v>
      </c>
      <c r="W490" s="87">
        <v>11</v>
      </c>
      <c r="X490" s="87">
        <v>9</v>
      </c>
      <c r="Y490" s="87">
        <v>45</v>
      </c>
      <c r="Z490" s="90">
        <v>16</v>
      </c>
      <c r="AA490" s="90">
        <v>9</v>
      </c>
      <c r="AB490" s="91">
        <f t="shared" si="191"/>
        <v>0.42105263157894735</v>
      </c>
      <c r="AC490" s="91">
        <f t="shared" si="192"/>
        <v>0.28947368421052633</v>
      </c>
      <c r="AD490" s="91">
        <f t="shared" si="193"/>
        <v>0.23684210526315788</v>
      </c>
      <c r="AE490" s="91">
        <f t="shared" si="194"/>
        <v>1.1842105263157894</v>
      </c>
      <c r="AF490" s="91">
        <f t="shared" si="195"/>
        <v>0.42105263157894735</v>
      </c>
      <c r="AG490" s="91">
        <f t="shared" si="196"/>
        <v>0.23684210526315788</v>
      </c>
      <c r="AH490" s="92">
        <v>114.83</v>
      </c>
      <c r="AI490" s="93">
        <v>32.679999999999986</v>
      </c>
      <c r="AJ490" s="93">
        <v>32.679999999999986</v>
      </c>
      <c r="AK490" s="93">
        <v>4.7800000000000011</v>
      </c>
      <c r="AL490" s="94">
        <v>0.63999999999998636</v>
      </c>
      <c r="AM490" s="94">
        <v>1.25</v>
      </c>
      <c r="AN490" s="94" t="s">
        <v>780</v>
      </c>
      <c r="AO490" s="111">
        <v>5600.43</v>
      </c>
      <c r="AP490" s="112">
        <v>2456.33</v>
      </c>
      <c r="AQ490" s="112">
        <v>856.68</v>
      </c>
      <c r="AR490" s="112">
        <v>0</v>
      </c>
      <c r="AS490" s="113">
        <v>0</v>
      </c>
      <c r="AT490" s="113">
        <v>0</v>
      </c>
      <c r="AU490" s="111">
        <v>415.95</v>
      </c>
      <c r="AV490" s="112">
        <v>239.70000000000005</v>
      </c>
      <c r="AW490" s="112">
        <v>180.07000000000011</v>
      </c>
      <c r="AX490" s="112">
        <v>123.99</v>
      </c>
      <c r="AY490" s="113">
        <v>317.97000000000003</v>
      </c>
      <c r="AZ490" s="113">
        <v>176.39</v>
      </c>
    </row>
    <row r="491" spans="1:52" x14ac:dyDescent="0.25">
      <c r="A491" s="101" t="s">
        <v>722</v>
      </c>
      <c r="B491" s="102" t="s">
        <v>723</v>
      </c>
      <c r="C491" s="102"/>
      <c r="D491" s="102" t="s">
        <v>1048</v>
      </c>
      <c r="E491" s="103">
        <v>2.9999999999997584E-2</v>
      </c>
      <c r="F491" s="104">
        <v>326.8</v>
      </c>
      <c r="G491" s="105">
        <f t="shared" si="188"/>
        <v>163.4</v>
      </c>
      <c r="H491" s="105">
        <v>789</v>
      </c>
      <c r="I491" s="106">
        <f t="shared" si="189"/>
        <v>0.20709759188846641</v>
      </c>
      <c r="J491" s="86">
        <v>0</v>
      </c>
      <c r="K491" s="87">
        <v>707.14285714285711</v>
      </c>
      <c r="L491" s="87">
        <v>189.28571428571428</v>
      </c>
      <c r="M491" s="87">
        <v>524.99999999999989</v>
      </c>
      <c r="N491" s="90">
        <v>160.71428571428569</v>
      </c>
      <c r="O491" s="90">
        <v>105</v>
      </c>
      <c r="P491" s="86">
        <f t="shared" si="197"/>
        <v>0</v>
      </c>
      <c r="Q491" s="87">
        <f t="shared" si="198"/>
        <v>21.214285714284006</v>
      </c>
      <c r="R491" s="87">
        <f t="shared" si="199"/>
        <v>5.6785714285709714</v>
      </c>
      <c r="S491" s="88">
        <f t="shared" si="200"/>
        <v>15.749999999998728</v>
      </c>
      <c r="T491" s="89">
        <f t="shared" si="201"/>
        <v>4.8214285714281822</v>
      </c>
      <c r="U491" s="89">
        <f t="shared" si="190"/>
        <v>3.1499999999997463</v>
      </c>
      <c r="V491" s="86">
        <v>152</v>
      </c>
      <c r="W491" s="87">
        <v>203</v>
      </c>
      <c r="X491" s="87">
        <v>173</v>
      </c>
      <c r="Y491" s="87">
        <v>163</v>
      </c>
      <c r="Z491" s="90">
        <v>126</v>
      </c>
      <c r="AA491" s="90">
        <v>73</v>
      </c>
      <c r="AB491" s="91">
        <f t="shared" si="191"/>
        <v>0.1926489226869455</v>
      </c>
      <c r="AC491" s="91">
        <f t="shared" si="192"/>
        <v>0.25728770595690748</v>
      </c>
      <c r="AD491" s="91">
        <f t="shared" si="193"/>
        <v>0.21926489226869456</v>
      </c>
      <c r="AE491" s="91">
        <f t="shared" si="194"/>
        <v>0.20659062103929024</v>
      </c>
      <c r="AF491" s="91">
        <f t="shared" si="195"/>
        <v>0.1596958174904943</v>
      </c>
      <c r="AG491" s="91">
        <f t="shared" si="196"/>
        <v>9.2522179974651453E-2</v>
      </c>
      <c r="AH491" s="92">
        <v>60.38</v>
      </c>
      <c r="AI491" s="93">
        <v>53.929999999999978</v>
      </c>
      <c r="AJ491" s="93">
        <v>53.929999999999978</v>
      </c>
      <c r="AK491" s="93">
        <v>55.789999999999985</v>
      </c>
      <c r="AL491" s="94">
        <v>37.049999999999997</v>
      </c>
      <c r="AM491" s="94">
        <v>6.6499999999999897</v>
      </c>
      <c r="AN491" s="94" t="s">
        <v>780</v>
      </c>
      <c r="AO491" s="111">
        <v>36893.22</v>
      </c>
      <c r="AP491" s="112">
        <v>15124.22</v>
      </c>
      <c r="AQ491" s="112">
        <v>3895.5</v>
      </c>
      <c r="AR491" s="112">
        <v>10944.380000000001</v>
      </c>
      <c r="AS491" s="113">
        <v>3105.8</v>
      </c>
      <c r="AT491" s="113">
        <v>44108.04</v>
      </c>
      <c r="AU491" s="111">
        <v>3601.14</v>
      </c>
      <c r="AV491" s="112">
        <v>4775.7099999999973</v>
      </c>
      <c r="AW491" s="112">
        <v>4077.7799999999961</v>
      </c>
      <c r="AX491" s="112">
        <v>3823.53999999999</v>
      </c>
      <c r="AY491" s="113">
        <v>2935.01999999999</v>
      </c>
      <c r="AZ491" s="113">
        <v>1702.44</v>
      </c>
    </row>
    <row r="492" spans="1:52" x14ac:dyDescent="0.25">
      <c r="A492" s="101" t="s">
        <v>724</v>
      </c>
      <c r="B492" s="102" t="s">
        <v>725</v>
      </c>
      <c r="C492" s="102"/>
      <c r="D492" s="102" t="s">
        <v>1048</v>
      </c>
      <c r="E492" s="103">
        <v>1.9999999999996021E-2</v>
      </c>
      <c r="F492" s="104">
        <v>400</v>
      </c>
      <c r="G492" s="105">
        <f t="shared" si="188"/>
        <v>200</v>
      </c>
      <c r="H492" s="105">
        <v>158</v>
      </c>
      <c r="I492" s="106">
        <f t="shared" si="189"/>
        <v>1.2658227848101267</v>
      </c>
      <c r="J492" s="86">
        <v>444</v>
      </c>
      <c r="K492" s="87">
        <v>0</v>
      </c>
      <c r="L492" s="87">
        <v>0</v>
      </c>
      <c r="M492" s="87">
        <v>0</v>
      </c>
      <c r="N492" s="90"/>
      <c r="O492" s="90">
        <v>0</v>
      </c>
      <c r="P492" s="86">
        <f t="shared" si="197"/>
        <v>8.8799999999982333</v>
      </c>
      <c r="Q492" s="87">
        <f t="shared" si="198"/>
        <v>0</v>
      </c>
      <c r="R492" s="87">
        <f t="shared" si="199"/>
        <v>0</v>
      </c>
      <c r="S492" s="88">
        <f t="shared" si="200"/>
        <v>0</v>
      </c>
      <c r="T492" s="89">
        <f t="shared" si="201"/>
        <v>0</v>
      </c>
      <c r="U492" s="89">
        <f t="shared" si="190"/>
        <v>0</v>
      </c>
      <c r="V492" s="86">
        <v>152</v>
      </c>
      <c r="W492" s="87">
        <v>153</v>
      </c>
      <c r="X492" s="87">
        <v>142</v>
      </c>
      <c r="Y492" s="87">
        <v>101</v>
      </c>
      <c r="Z492" s="90">
        <v>122</v>
      </c>
      <c r="AA492" s="90">
        <v>119</v>
      </c>
      <c r="AB492" s="91">
        <f t="shared" si="191"/>
        <v>0.96202531645569622</v>
      </c>
      <c r="AC492" s="91">
        <f t="shared" si="192"/>
        <v>0.96835443037974689</v>
      </c>
      <c r="AD492" s="91">
        <f t="shared" si="193"/>
        <v>0.89873417721518989</v>
      </c>
      <c r="AE492" s="91">
        <f t="shared" si="194"/>
        <v>0.63924050632911389</v>
      </c>
      <c r="AF492" s="91">
        <f t="shared" si="195"/>
        <v>0.77215189873417722</v>
      </c>
      <c r="AG492" s="91">
        <f t="shared" si="196"/>
        <v>0.75316455696202533</v>
      </c>
      <c r="AH492" s="92">
        <v>633.22</v>
      </c>
      <c r="AI492" s="93">
        <v>624.40999999999985</v>
      </c>
      <c r="AJ492" s="93">
        <v>624.40999999999985</v>
      </c>
      <c r="AK492" s="93">
        <v>563.43999999999983</v>
      </c>
      <c r="AL492" s="94">
        <v>259.86</v>
      </c>
      <c r="AM492" s="94">
        <v>12.2899999999999</v>
      </c>
      <c r="AN492" s="94" t="s">
        <v>780</v>
      </c>
      <c r="AO492" s="111">
        <v>21151.14</v>
      </c>
      <c r="AP492" s="112">
        <v>0</v>
      </c>
      <c r="AQ492" s="112">
        <v>0</v>
      </c>
      <c r="AR492" s="112">
        <v>0</v>
      </c>
      <c r="AS492" s="113">
        <v>0</v>
      </c>
      <c r="AT492" s="113">
        <v>0</v>
      </c>
      <c r="AU492" s="111">
        <v>7919.8000000000029</v>
      </c>
      <c r="AV492" s="112">
        <v>7940.5599999999986</v>
      </c>
      <c r="AW492" s="112">
        <v>7347.3799999999983</v>
      </c>
      <c r="AX492" s="112">
        <v>5084.9099999999899</v>
      </c>
      <c r="AY492" s="113">
        <v>5919.6399999999903</v>
      </c>
      <c r="AZ492" s="113">
        <v>5697.4199999999901</v>
      </c>
    </row>
    <row r="493" spans="1:52" x14ac:dyDescent="0.25">
      <c r="A493" s="101" t="s">
        <v>1043</v>
      </c>
      <c r="B493" s="102" t="s">
        <v>715</v>
      </c>
      <c r="C493" s="102"/>
      <c r="D493" s="102" t="s">
        <v>1048</v>
      </c>
      <c r="E493" s="103">
        <v>1.0000000000000231E-2</v>
      </c>
      <c r="F493" s="104">
        <v>2500</v>
      </c>
      <c r="G493" s="105">
        <f t="shared" si="188"/>
        <v>1250</v>
      </c>
      <c r="H493" s="105">
        <v>19310</v>
      </c>
      <c r="I493" s="106">
        <f t="shared" si="189"/>
        <v>6.4733298808907297E-2</v>
      </c>
      <c r="J493" s="86">
        <v>0</v>
      </c>
      <c r="K493" s="87">
        <v>0</v>
      </c>
      <c r="L493" s="87">
        <v>0</v>
      </c>
      <c r="M493" s="87">
        <v>0</v>
      </c>
      <c r="N493" s="90">
        <v>59</v>
      </c>
      <c r="O493" s="90">
        <v>0</v>
      </c>
      <c r="P493" s="86">
        <f t="shared" si="197"/>
        <v>0</v>
      </c>
      <c r="Q493" s="87">
        <f t="shared" si="198"/>
        <v>0</v>
      </c>
      <c r="R493" s="87">
        <f t="shared" si="199"/>
        <v>0</v>
      </c>
      <c r="S493" s="88">
        <f t="shared" si="200"/>
        <v>0</v>
      </c>
      <c r="T493" s="89">
        <f t="shared" si="201"/>
        <v>0.59000000000001362</v>
      </c>
      <c r="U493" s="89">
        <f t="shared" si="190"/>
        <v>0</v>
      </c>
      <c r="V493" s="86">
        <v>1182</v>
      </c>
      <c r="W493" s="87">
        <v>2585</v>
      </c>
      <c r="X493" s="87">
        <v>2920</v>
      </c>
      <c r="Y493" s="87">
        <v>2261</v>
      </c>
      <c r="Z493" s="90">
        <v>3510</v>
      </c>
      <c r="AA493" s="90">
        <v>1993</v>
      </c>
      <c r="AB493" s="91">
        <f t="shared" si="191"/>
        <v>6.1211807353702748E-2</v>
      </c>
      <c r="AC493" s="91">
        <f t="shared" si="192"/>
        <v>0.13386846193682031</v>
      </c>
      <c r="AD493" s="91">
        <f t="shared" si="193"/>
        <v>0.15121698601760747</v>
      </c>
      <c r="AE493" s="91">
        <f t="shared" si="194"/>
        <v>0.11708959088555153</v>
      </c>
      <c r="AF493" s="91">
        <f t="shared" si="195"/>
        <v>0.18177110305541169</v>
      </c>
      <c r="AG493" s="91">
        <f t="shared" si="196"/>
        <v>0.10321077162092181</v>
      </c>
      <c r="AH493" s="92">
        <v>108.29000000000021</v>
      </c>
      <c r="AI493" s="93">
        <v>191.67999999999964</v>
      </c>
      <c r="AJ493" s="93">
        <v>191.67999999999964</v>
      </c>
      <c r="AK493" s="93">
        <v>207.83999999999961</v>
      </c>
      <c r="AL493" s="94">
        <v>82.470000000000695</v>
      </c>
      <c r="AM493" s="94">
        <v>24.8000000000001</v>
      </c>
      <c r="AN493" s="94" t="s">
        <v>780</v>
      </c>
      <c r="AO493" s="111">
        <v>0</v>
      </c>
      <c r="AP493" s="112">
        <v>0</v>
      </c>
      <c r="AQ493" s="112">
        <v>0</v>
      </c>
      <c r="AR493" s="112">
        <v>0</v>
      </c>
      <c r="AS493" s="113">
        <v>155.76</v>
      </c>
      <c r="AT493" s="113">
        <v>0</v>
      </c>
      <c r="AU493" s="111">
        <v>0</v>
      </c>
      <c r="AV493" s="112">
        <v>0</v>
      </c>
      <c r="AW493" s="112">
        <v>0</v>
      </c>
      <c r="AX493" s="112">
        <v>0</v>
      </c>
      <c r="AY493" s="113">
        <v>0</v>
      </c>
      <c r="AZ493" s="113">
        <v>0</v>
      </c>
    </row>
    <row r="494" spans="1:52" x14ac:dyDescent="0.25">
      <c r="A494" s="101" t="s">
        <v>1044</v>
      </c>
      <c r="B494" s="102" t="s">
        <v>726</v>
      </c>
      <c r="C494" s="102"/>
      <c r="D494" s="102" t="s">
        <v>1048</v>
      </c>
      <c r="E494" s="103">
        <v>0</v>
      </c>
      <c r="F494" s="104">
        <v>500</v>
      </c>
      <c r="G494" s="105">
        <f t="shared" si="188"/>
        <v>250</v>
      </c>
      <c r="H494" s="105">
        <v>1582</v>
      </c>
      <c r="I494" s="106">
        <f t="shared" si="189"/>
        <v>0.15802781289506954</v>
      </c>
      <c r="J494" s="86">
        <v>400</v>
      </c>
      <c r="K494" s="87">
        <v>250</v>
      </c>
      <c r="L494" s="87">
        <v>0</v>
      </c>
      <c r="M494" s="87">
        <v>200</v>
      </c>
      <c r="N494" s="90"/>
      <c r="O494" s="90">
        <v>0</v>
      </c>
      <c r="P494" s="86">
        <f t="shared" si="197"/>
        <v>0</v>
      </c>
      <c r="Q494" s="87">
        <f t="shared" si="198"/>
        <v>0</v>
      </c>
      <c r="R494" s="87">
        <f t="shared" si="199"/>
        <v>0</v>
      </c>
      <c r="S494" s="88">
        <f t="shared" si="200"/>
        <v>0</v>
      </c>
      <c r="T494" s="89">
        <f t="shared" si="201"/>
        <v>0</v>
      </c>
      <c r="U494" s="89">
        <f t="shared" si="190"/>
        <v>0</v>
      </c>
      <c r="V494" s="86">
        <v>1082</v>
      </c>
      <c r="W494" s="87">
        <v>684</v>
      </c>
      <c r="X494" s="87">
        <v>495</v>
      </c>
      <c r="Y494" s="87">
        <v>364</v>
      </c>
      <c r="Z494" s="90">
        <v>234</v>
      </c>
      <c r="AA494" s="90">
        <v>713</v>
      </c>
      <c r="AB494" s="91">
        <f t="shared" si="191"/>
        <v>0.68394437420986098</v>
      </c>
      <c r="AC494" s="91">
        <f t="shared" si="192"/>
        <v>0.43236409608091025</v>
      </c>
      <c r="AD494" s="91">
        <f t="shared" si="193"/>
        <v>0.31289506953223767</v>
      </c>
      <c r="AE494" s="91">
        <f t="shared" si="194"/>
        <v>0.23008849557522124</v>
      </c>
      <c r="AF494" s="91">
        <f t="shared" si="195"/>
        <v>0.14791403286978508</v>
      </c>
      <c r="AG494" s="91">
        <f t="shared" si="196"/>
        <v>0.45069532237673832</v>
      </c>
      <c r="AH494" s="92">
        <v>247.37</v>
      </c>
      <c r="AI494" s="93">
        <v>110.56999999999994</v>
      </c>
      <c r="AJ494" s="93">
        <v>110.56999999999996</v>
      </c>
      <c r="AK494" s="93">
        <v>107.79999999999988</v>
      </c>
      <c r="AL494" s="94">
        <v>38.999999999999901</v>
      </c>
      <c r="AM494" s="94">
        <v>3.9999999999999898</v>
      </c>
      <c r="AN494" s="94" t="s">
        <v>780</v>
      </c>
      <c r="AO494" s="111">
        <v>1126</v>
      </c>
      <c r="AP494" s="112">
        <v>768</v>
      </c>
      <c r="AQ494" s="112">
        <v>0</v>
      </c>
      <c r="AR494" s="112">
        <v>530</v>
      </c>
      <c r="AS494" s="113">
        <v>0</v>
      </c>
      <c r="AT494" s="113">
        <v>0</v>
      </c>
      <c r="AU494" s="111">
        <v>0</v>
      </c>
      <c r="AV494" s="112">
        <v>0</v>
      </c>
      <c r="AW494" s="112">
        <v>0</v>
      </c>
      <c r="AX494" s="112">
        <v>0</v>
      </c>
      <c r="AY494" s="113">
        <v>0</v>
      </c>
      <c r="AZ494" s="113">
        <v>0</v>
      </c>
    </row>
    <row r="495" spans="1:52" x14ac:dyDescent="0.25">
      <c r="A495" s="101" t="s">
        <v>1045</v>
      </c>
      <c r="B495" s="102" t="s">
        <v>736</v>
      </c>
      <c r="C495" s="102"/>
      <c r="D495" s="102" t="s">
        <v>1048</v>
      </c>
      <c r="E495" s="103">
        <v>-0.25999999999999979</v>
      </c>
      <c r="F495" s="104">
        <v>1388.4</v>
      </c>
      <c r="G495" s="105">
        <f t="shared" si="188"/>
        <v>694.2</v>
      </c>
      <c r="H495" s="105">
        <v>1454</v>
      </c>
      <c r="I495" s="106">
        <f t="shared" si="189"/>
        <v>0.47744154057771665</v>
      </c>
      <c r="J495" s="86">
        <v>0</v>
      </c>
      <c r="K495" s="87">
        <v>0</v>
      </c>
      <c r="L495" s="87">
        <v>0</v>
      </c>
      <c r="M495" s="87">
        <v>0</v>
      </c>
      <c r="N495" s="90">
        <v>0</v>
      </c>
      <c r="O495" s="90">
        <v>0</v>
      </c>
      <c r="P495" s="86">
        <f t="shared" si="197"/>
        <v>0</v>
      </c>
      <c r="Q495" s="87">
        <f t="shared" si="198"/>
        <v>0</v>
      </c>
      <c r="R495" s="87">
        <f t="shared" si="199"/>
        <v>0</v>
      </c>
      <c r="S495" s="88">
        <f t="shared" si="200"/>
        <v>0</v>
      </c>
      <c r="T495" s="89">
        <f t="shared" si="201"/>
        <v>0</v>
      </c>
      <c r="U495" s="89">
        <f t="shared" si="190"/>
        <v>0</v>
      </c>
      <c r="V495" s="86">
        <v>894</v>
      </c>
      <c r="W495" s="87">
        <v>1184</v>
      </c>
      <c r="X495" s="87">
        <v>735</v>
      </c>
      <c r="Y495" s="87">
        <v>312</v>
      </c>
      <c r="Z495" s="90">
        <v>346</v>
      </c>
      <c r="AA495" s="90">
        <v>679</v>
      </c>
      <c r="AB495" s="91">
        <f t="shared" si="191"/>
        <v>0.61485557083906461</v>
      </c>
      <c r="AC495" s="91">
        <f t="shared" si="192"/>
        <v>0.81430536451169189</v>
      </c>
      <c r="AD495" s="91">
        <f t="shared" si="193"/>
        <v>0.5055020632737276</v>
      </c>
      <c r="AE495" s="91">
        <f t="shared" si="194"/>
        <v>0.21458046767537828</v>
      </c>
      <c r="AF495" s="91">
        <f t="shared" si="195"/>
        <v>0.23796423658872076</v>
      </c>
      <c r="AG495" s="91">
        <f t="shared" si="196"/>
        <v>0.46698762035763414</v>
      </c>
      <c r="AH495" s="92">
        <v>390.67000000000007</v>
      </c>
      <c r="AI495" s="93">
        <v>296.60999999999916</v>
      </c>
      <c r="AJ495" s="93">
        <v>296.60999999999916</v>
      </c>
      <c r="AK495" s="93">
        <v>104.54999999999984</v>
      </c>
      <c r="AL495" s="94">
        <v>31.1799999999999</v>
      </c>
      <c r="AM495" s="94">
        <v>-56.04</v>
      </c>
      <c r="AN495" s="94" t="s">
        <v>780</v>
      </c>
      <c r="AO495" s="111">
        <v>0</v>
      </c>
      <c r="AP495" s="112">
        <v>0</v>
      </c>
      <c r="AQ495" s="112">
        <v>0</v>
      </c>
      <c r="AR495" s="112">
        <v>0</v>
      </c>
      <c r="AS495" s="113">
        <v>0</v>
      </c>
      <c r="AT495" s="113">
        <v>0</v>
      </c>
      <c r="AU495" s="111">
        <v>0</v>
      </c>
      <c r="AV495" s="112">
        <v>0</v>
      </c>
      <c r="AW495" s="112">
        <v>0</v>
      </c>
      <c r="AX495" s="112">
        <v>0</v>
      </c>
      <c r="AY495" s="113">
        <v>0</v>
      </c>
      <c r="AZ495" s="113">
        <v>0</v>
      </c>
    </row>
    <row r="496" spans="1:52" x14ac:dyDescent="0.25">
      <c r="A496" s="101" t="s">
        <v>1046</v>
      </c>
      <c r="B496" s="102" t="s">
        <v>873</v>
      </c>
      <c r="C496" s="102"/>
      <c r="D496" s="102" t="s">
        <v>1048</v>
      </c>
      <c r="E496" s="103">
        <v>6</v>
      </c>
      <c r="F496" s="104">
        <v>50</v>
      </c>
      <c r="G496" s="105">
        <f t="shared" si="188"/>
        <v>25</v>
      </c>
      <c r="H496" s="105">
        <v>100</v>
      </c>
      <c r="I496" s="106">
        <f t="shared" si="189"/>
        <v>0.25</v>
      </c>
      <c r="J496" s="86"/>
      <c r="K496" s="87"/>
      <c r="L496" s="87"/>
      <c r="M496" s="87"/>
      <c r="N496" s="90"/>
      <c r="O496" s="90">
        <v>50</v>
      </c>
      <c r="P496" s="86"/>
      <c r="Q496" s="87"/>
      <c r="R496" s="87"/>
      <c r="S496" s="88"/>
      <c r="T496" s="89"/>
      <c r="U496" s="89">
        <f t="shared" si="190"/>
        <v>300</v>
      </c>
      <c r="V496" s="86"/>
      <c r="W496" s="87"/>
      <c r="X496" s="87"/>
      <c r="Y496" s="87"/>
      <c r="Z496" s="90"/>
      <c r="AA496" s="90"/>
      <c r="AB496" s="91">
        <f t="shared" si="191"/>
        <v>0</v>
      </c>
      <c r="AC496" s="91">
        <f t="shared" si="192"/>
        <v>0</v>
      </c>
      <c r="AD496" s="91">
        <f t="shared" si="193"/>
        <v>0</v>
      </c>
      <c r="AE496" s="91">
        <f t="shared" si="194"/>
        <v>0</v>
      </c>
      <c r="AF496" s="91">
        <f t="shared" si="195"/>
        <v>0</v>
      </c>
      <c r="AG496" s="91">
        <f t="shared" si="196"/>
        <v>0</v>
      </c>
      <c r="AH496" s="92"/>
      <c r="AI496" s="93"/>
      <c r="AJ496" s="93"/>
      <c r="AK496" s="93"/>
      <c r="AL496" s="94"/>
      <c r="AM496" s="94"/>
      <c r="AN496" s="94" t="s">
        <v>780</v>
      </c>
      <c r="AO496" s="111">
        <v>0</v>
      </c>
      <c r="AP496" s="112">
        <v>0</v>
      </c>
      <c r="AQ496" s="112">
        <v>0</v>
      </c>
      <c r="AR496" s="112">
        <v>0</v>
      </c>
      <c r="AS496" s="113">
        <v>0</v>
      </c>
      <c r="AT496" s="113">
        <v>294.5</v>
      </c>
      <c r="AU496" s="111">
        <v>0</v>
      </c>
      <c r="AV496" s="112">
        <v>0</v>
      </c>
      <c r="AW496" s="112">
        <v>0</v>
      </c>
      <c r="AX496" s="112">
        <v>0</v>
      </c>
      <c r="AY496" s="113">
        <v>0</v>
      </c>
      <c r="AZ496" s="113">
        <v>0</v>
      </c>
    </row>
    <row r="497" spans="1:52" x14ac:dyDescent="0.25">
      <c r="A497" s="101" t="s">
        <v>1047</v>
      </c>
      <c r="B497" s="102" t="s">
        <v>874</v>
      </c>
      <c r="C497" s="102"/>
      <c r="D497" s="102" t="s">
        <v>1049</v>
      </c>
      <c r="E497" s="103">
        <v>4</v>
      </c>
      <c r="F497" s="104">
        <v>3000</v>
      </c>
      <c r="G497" s="105">
        <f t="shared" si="188"/>
        <v>1500</v>
      </c>
      <c r="H497" s="105">
        <v>4000</v>
      </c>
      <c r="I497" s="106">
        <f t="shared" si="189"/>
        <v>0.375</v>
      </c>
      <c r="J497" s="86"/>
      <c r="K497" s="87"/>
      <c r="L497" s="87"/>
      <c r="M497" s="87"/>
      <c r="N497" s="90"/>
      <c r="O497" s="90">
        <v>4000</v>
      </c>
      <c r="P497" s="86"/>
      <c r="Q497" s="87"/>
      <c r="R497" s="87"/>
      <c r="S497" s="88"/>
      <c r="T497" s="89"/>
      <c r="U497" s="89">
        <f t="shared" si="190"/>
        <v>16000</v>
      </c>
      <c r="V497" s="86"/>
      <c r="W497" s="87"/>
      <c r="X497" s="87"/>
      <c r="Y497" s="87"/>
      <c r="Z497" s="90"/>
      <c r="AA497" s="90"/>
      <c r="AB497" s="91">
        <f t="shared" si="191"/>
        <v>0</v>
      </c>
      <c r="AC497" s="91">
        <f t="shared" si="192"/>
        <v>0</v>
      </c>
      <c r="AD497" s="91">
        <f t="shared" si="193"/>
        <v>0</v>
      </c>
      <c r="AE497" s="91">
        <f t="shared" si="194"/>
        <v>0</v>
      </c>
      <c r="AF497" s="91">
        <f t="shared" si="195"/>
        <v>0</v>
      </c>
      <c r="AG497" s="91">
        <f t="shared" si="196"/>
        <v>0</v>
      </c>
      <c r="AH497" s="92"/>
      <c r="AI497" s="93"/>
      <c r="AJ497" s="93"/>
      <c r="AK497" s="93"/>
      <c r="AL497" s="94"/>
      <c r="AM497" s="94"/>
      <c r="AN497" s="94" t="s">
        <v>780</v>
      </c>
      <c r="AO497" s="111">
        <v>0</v>
      </c>
      <c r="AP497" s="112">
        <v>0</v>
      </c>
      <c r="AQ497" s="112">
        <v>0</v>
      </c>
      <c r="AR497" s="112">
        <v>45372</v>
      </c>
      <c r="AS497" s="113">
        <v>0</v>
      </c>
      <c r="AT497" s="113">
        <v>48000</v>
      </c>
      <c r="AU497" s="111">
        <v>0</v>
      </c>
      <c r="AV497" s="112">
        <v>0</v>
      </c>
      <c r="AW497" s="112">
        <v>0</v>
      </c>
      <c r="AX497" s="112">
        <v>0</v>
      </c>
      <c r="AY497" s="113">
        <v>0</v>
      </c>
      <c r="AZ497" s="113">
        <v>0</v>
      </c>
    </row>
    <row r="498" spans="1:52" x14ac:dyDescent="0.25">
      <c r="A498" s="101" t="s">
        <v>872</v>
      </c>
      <c r="B498" s="102" t="s">
        <v>875</v>
      </c>
      <c r="C498" s="102"/>
      <c r="D498" s="102" t="s">
        <v>1048</v>
      </c>
      <c r="E498" s="103">
        <v>6</v>
      </c>
      <c r="F498" s="104">
        <v>1000</v>
      </c>
      <c r="G498" s="105">
        <f t="shared" si="188"/>
        <v>500</v>
      </c>
      <c r="H498" s="105">
        <v>1000</v>
      </c>
      <c r="I498" s="106">
        <f t="shared" si="189"/>
        <v>0.5</v>
      </c>
      <c r="J498" s="86"/>
      <c r="K498" s="87"/>
      <c r="L498" s="87"/>
      <c r="M498" s="87"/>
      <c r="N498" s="90"/>
      <c r="O498" s="90">
        <v>604</v>
      </c>
      <c r="P498" s="86"/>
      <c r="Q498" s="87"/>
      <c r="R498" s="87"/>
      <c r="S498" s="88"/>
      <c r="T498" s="89"/>
      <c r="U498" s="89">
        <f t="shared" si="190"/>
        <v>3624</v>
      </c>
      <c r="V498" s="86"/>
      <c r="W498" s="87"/>
      <c r="X498" s="87"/>
      <c r="Y498" s="87"/>
      <c r="Z498" s="90"/>
      <c r="AA498" s="90"/>
      <c r="AB498" s="91">
        <f t="shared" si="191"/>
        <v>0</v>
      </c>
      <c r="AC498" s="91">
        <f t="shared" si="192"/>
        <v>0</v>
      </c>
      <c r="AD498" s="91">
        <f t="shared" si="193"/>
        <v>0</v>
      </c>
      <c r="AE498" s="91">
        <f t="shared" si="194"/>
        <v>0</v>
      </c>
      <c r="AF498" s="91">
        <f t="shared" si="195"/>
        <v>0</v>
      </c>
      <c r="AG498" s="91">
        <f t="shared" si="196"/>
        <v>0</v>
      </c>
      <c r="AH498" s="92"/>
      <c r="AI498" s="93"/>
      <c r="AJ498" s="93"/>
      <c r="AK498" s="93"/>
      <c r="AL498" s="94"/>
      <c r="AM498" s="94"/>
      <c r="AN498" s="94" t="s">
        <v>780</v>
      </c>
      <c r="AO498" s="111">
        <v>0</v>
      </c>
      <c r="AP498" s="112">
        <v>0</v>
      </c>
      <c r="AQ498" s="112">
        <v>0</v>
      </c>
      <c r="AR498" s="112">
        <v>0</v>
      </c>
      <c r="AS498" s="113">
        <v>0</v>
      </c>
      <c r="AT498" s="113">
        <v>4996.76</v>
      </c>
      <c r="AU498" s="111">
        <v>1139.03</v>
      </c>
      <c r="AV498" s="112">
        <v>0</v>
      </c>
      <c r="AW498" s="112">
        <v>0</v>
      </c>
      <c r="AX498" s="112">
        <v>1394.8899999999901</v>
      </c>
      <c r="AY498" s="113">
        <v>1552.24999999999</v>
      </c>
      <c r="AZ498" s="113">
        <v>0</v>
      </c>
    </row>
  </sheetData>
  <conditionalFormatting sqref="A1:A496">
    <cfRule type="duplicateValues" dxfId="11" priority="5"/>
    <cfRule type="duplicateValues" dxfId="10" priority="6"/>
  </conditionalFormatting>
  <conditionalFormatting sqref="A497">
    <cfRule type="duplicateValues" dxfId="9" priority="3"/>
    <cfRule type="duplicateValues" dxfId="8" priority="4"/>
  </conditionalFormatting>
  <conditionalFormatting sqref="A498">
    <cfRule type="duplicateValues" dxfId="7" priority="1"/>
    <cfRule type="duplicateValues" dxfId="6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499"/>
  <sheetViews>
    <sheetView workbookViewId="0"/>
  </sheetViews>
  <sheetFormatPr defaultColWidth="66.7109375" defaultRowHeight="15" outlineLevelCol="1" x14ac:dyDescent="0.25"/>
  <cols>
    <col min="1" max="1" width="15.42578125" style="17" bestFit="1" customWidth="1"/>
    <col min="2" max="2" width="60" style="17" customWidth="1"/>
    <col min="3" max="3" width="15.140625" style="18" customWidth="1"/>
    <col min="4" max="4" width="14.7109375" style="22" hidden="1" customWidth="1"/>
    <col min="5" max="5" width="13.140625" style="22" bestFit="1" customWidth="1"/>
    <col min="6" max="6" width="9.140625" style="22" bestFit="1" customWidth="1"/>
    <col min="7" max="7" width="17.28515625" style="28" bestFit="1" customWidth="1"/>
    <col min="8" max="8" width="3.42578125" style="17" customWidth="1"/>
    <col min="9" max="9" width="20.140625" style="17" hidden="1" customWidth="1" outlineLevel="1"/>
    <col min="10" max="10" width="17.28515625" style="17" hidden="1" customWidth="1" outlineLevel="1"/>
    <col min="11" max="11" width="20" style="17" hidden="1" customWidth="1" outlineLevel="1"/>
    <col min="12" max="12" width="20.7109375" style="17" hidden="1" customWidth="1" outlineLevel="1"/>
    <col min="13" max="13" width="21" style="17" hidden="1" customWidth="1" outlineLevel="1"/>
    <col min="14" max="14" width="20.28515625" style="17" hidden="1" customWidth="1" outlineLevel="1"/>
    <col min="15" max="15" width="3.42578125" style="17" customWidth="1" collapsed="1"/>
    <col min="16" max="16" width="20.140625" style="71" bestFit="1" customWidth="1"/>
    <col min="17" max="17" width="19.28515625" style="71" bestFit="1" customWidth="1"/>
    <col min="18" max="18" width="20" style="71" bestFit="1" customWidth="1"/>
    <col min="19" max="19" width="20.7109375" style="71" bestFit="1" customWidth="1"/>
    <col min="20" max="20" width="21" style="71" bestFit="1" customWidth="1"/>
    <col min="21" max="21" width="20.28515625" style="71" bestFit="1" customWidth="1"/>
    <col min="22" max="22" width="3.42578125" style="71" customWidth="1"/>
    <col min="23" max="23" width="21.5703125" style="71" customWidth="1" outlineLevel="1"/>
    <col min="24" max="24" width="20.28515625" style="71" customWidth="1" outlineLevel="1"/>
    <col min="25" max="25" width="21.42578125" style="71" customWidth="1" outlineLevel="1"/>
    <col min="26" max="26" width="18.5703125" style="71" customWidth="1" outlineLevel="1"/>
    <col min="27" max="27" width="18.85546875" style="71" customWidth="1" outlineLevel="1"/>
    <col min="28" max="28" width="18.140625" style="71" customWidth="1" outlineLevel="1"/>
    <col min="29" max="29" width="3.42578125" style="71" customWidth="1"/>
    <col min="30" max="30" width="21.5703125" style="72" customWidth="1" outlineLevel="1"/>
    <col min="31" max="31" width="20.28515625" style="72" customWidth="1" outlineLevel="1"/>
    <col min="32" max="32" width="21.42578125" style="72" customWidth="1" outlineLevel="1"/>
    <col min="33" max="33" width="18.5703125" style="72" customWidth="1" outlineLevel="1"/>
    <col min="34" max="34" width="18.85546875" style="72" customWidth="1" outlineLevel="1"/>
    <col min="35" max="35" width="18.140625" style="72" customWidth="1" outlineLevel="1"/>
    <col min="36" max="36" width="3.42578125" style="71" customWidth="1"/>
    <col min="37" max="37" width="16.85546875" style="73" bestFit="1" customWidth="1"/>
    <col min="38" max="38" width="19.28515625" style="73" bestFit="1" customWidth="1"/>
    <col min="39" max="39" width="16.7109375" style="73" bestFit="1" customWidth="1"/>
    <col min="40" max="40" width="17.42578125" style="73" bestFit="1" customWidth="1"/>
    <col min="41" max="41" width="17.85546875" style="73" bestFit="1" customWidth="1"/>
    <col min="42" max="42" width="17" style="73" bestFit="1" customWidth="1"/>
    <col min="43" max="43" width="3.42578125" style="71" customWidth="1"/>
    <col min="44" max="44" width="13.42578125" style="73" bestFit="1" customWidth="1"/>
    <col min="45" max="45" width="3.42578125" style="71" customWidth="1"/>
    <col min="46" max="46" width="21.140625" style="17" bestFit="1" customWidth="1"/>
    <col min="47" max="47" width="23.5703125" style="17" bestFit="1" customWidth="1"/>
    <col min="48" max="48" width="21" style="17" bestFit="1" customWidth="1"/>
    <col min="49" max="49" width="21.85546875" style="17" bestFit="1" customWidth="1"/>
    <col min="50" max="50" width="22.140625" style="17" bestFit="1" customWidth="1"/>
    <col min="51" max="51" width="21.42578125" style="17" bestFit="1" customWidth="1"/>
    <col min="52" max="16384" width="66.7109375" style="17"/>
  </cols>
  <sheetData>
    <row r="1" spans="1:51" ht="15.75" thickBot="1" x14ac:dyDescent="0.3">
      <c r="F1" s="20">
        <f t="shared" ref="F1" si="0">+SUBTOTAL(9,F3:F453)</f>
        <v>6166364</v>
      </c>
      <c r="H1" s="19"/>
      <c r="I1" s="21">
        <f t="shared" ref="I1:M1" si="1">+SUBTOTAL(9,I3:I497)</f>
        <v>418514.39372294379</v>
      </c>
      <c r="J1" s="21">
        <f t="shared" si="1"/>
        <v>343636.9123376623</v>
      </c>
      <c r="K1" s="21">
        <f t="shared" si="1"/>
        <v>297521.18419913418</v>
      </c>
      <c r="L1" s="21">
        <f t="shared" si="1"/>
        <v>377950.98160173162</v>
      </c>
      <c r="M1" s="21">
        <f t="shared" si="1"/>
        <v>336499.91558441555</v>
      </c>
      <c r="N1" s="21">
        <f>+SUBTOTAL(9,N3:N497)</f>
        <v>477381.70999999996</v>
      </c>
      <c r="O1" s="19"/>
      <c r="P1" s="37">
        <f t="shared" ref="P1:T1" si="2">+SUBTOTAL(9,P3:P502)</f>
        <v>1697869.4817316015</v>
      </c>
      <c r="Q1" s="37">
        <f t="shared" si="2"/>
        <v>1059872.8628246747</v>
      </c>
      <c r="R1" s="37">
        <f t="shared" si="2"/>
        <v>1136630.4387337656</v>
      </c>
      <c r="S1" s="37">
        <f t="shared" si="2"/>
        <v>1295795.3676623388</v>
      </c>
      <c r="T1" s="37">
        <f t="shared" si="2"/>
        <v>1149705.427413421</v>
      </c>
      <c r="U1" s="37">
        <f>+SUBTOTAL(9,U3:U502)</f>
        <v>1921002.2318216162</v>
      </c>
      <c r="V1" s="38"/>
      <c r="W1" s="39">
        <f t="shared" ref="W1:AA1" si="3">+SUBTOTAL(9,W3:W453)</f>
        <v>276485</v>
      </c>
      <c r="X1" s="40">
        <f t="shared" si="3"/>
        <v>326733</v>
      </c>
      <c r="Y1" s="40">
        <f t="shared" si="3"/>
        <v>343650</v>
      </c>
      <c r="Z1" s="40">
        <f t="shared" si="3"/>
        <v>331514</v>
      </c>
      <c r="AA1" s="41">
        <f t="shared" si="3"/>
        <v>349337</v>
      </c>
      <c r="AB1" s="41">
        <f>+SUBTOTAL(9,AB3:AB453)</f>
        <v>378098</v>
      </c>
      <c r="AC1" s="38"/>
      <c r="AD1" s="42"/>
      <c r="AE1" s="43"/>
      <c r="AF1" s="43"/>
      <c r="AG1" s="43"/>
      <c r="AH1" s="44"/>
      <c r="AI1" s="44"/>
      <c r="AJ1" s="38"/>
      <c r="AK1" s="45">
        <f t="shared" ref="AK1:AP1" si="4">+SUBTOTAL(9,AK3:AK453)</f>
        <v>667764.62999999966</v>
      </c>
      <c r="AL1" s="46">
        <f t="shared" si="4"/>
        <v>819782.73999999836</v>
      </c>
      <c r="AM1" s="46">
        <f t="shared" si="4"/>
        <v>853268.99999999837</v>
      </c>
      <c r="AN1" s="47">
        <f t="shared" si="4"/>
        <v>917697.0499999997</v>
      </c>
      <c r="AO1" s="47">
        <f t="shared" si="4"/>
        <v>1018766.6399999999</v>
      </c>
      <c r="AP1" s="47">
        <f t="shared" si="4"/>
        <v>987455.08999999927</v>
      </c>
      <c r="AQ1" s="38"/>
      <c r="AR1" s="48">
        <f>+COUNTA(AR3:AR606)</f>
        <v>497</v>
      </c>
      <c r="AS1" s="38"/>
      <c r="AT1" s="21">
        <f>+SUBTOTAL(9,AT3:AT497)</f>
        <v>8072692.9000000004</v>
      </c>
      <c r="AU1" s="21">
        <f t="shared" ref="AU1:AX1" si="5">+SUBTOTAL(9,AU3:AU497)</f>
        <v>6543124.6400000071</v>
      </c>
      <c r="AV1" s="21">
        <f t="shared" si="5"/>
        <v>6961965.2100000037</v>
      </c>
      <c r="AW1" s="21">
        <f t="shared" si="5"/>
        <v>7211962.0200000014</v>
      </c>
      <c r="AX1" s="21">
        <f t="shared" si="5"/>
        <v>6622730.1299999952</v>
      </c>
      <c r="AY1" s="21">
        <f>+SUBTOTAL(9,AY3:AY497)</f>
        <v>8226497.7400000058</v>
      </c>
    </row>
    <row r="2" spans="1:51" ht="45" x14ac:dyDescent="0.25">
      <c r="A2" s="7" t="s">
        <v>0</v>
      </c>
      <c r="B2" s="4" t="s">
        <v>1</v>
      </c>
      <c r="C2" s="1" t="s">
        <v>741</v>
      </c>
      <c r="D2" s="23" t="s">
        <v>742</v>
      </c>
      <c r="E2" s="25" t="s">
        <v>763</v>
      </c>
      <c r="F2" s="25" t="s">
        <v>781</v>
      </c>
      <c r="G2" s="29" t="s">
        <v>782</v>
      </c>
      <c r="H2" s="10"/>
      <c r="I2" s="14" t="s">
        <v>743</v>
      </c>
      <c r="J2" s="15" t="s">
        <v>744</v>
      </c>
      <c r="K2" s="15" t="s">
        <v>745</v>
      </c>
      <c r="L2" s="15" t="s">
        <v>746</v>
      </c>
      <c r="M2" s="16" t="s">
        <v>747</v>
      </c>
      <c r="N2" s="16" t="s">
        <v>786</v>
      </c>
      <c r="O2" s="12"/>
      <c r="P2" s="49" t="s">
        <v>758</v>
      </c>
      <c r="Q2" s="50" t="s">
        <v>759</v>
      </c>
      <c r="R2" s="50" t="s">
        <v>760</v>
      </c>
      <c r="S2" s="50" t="s">
        <v>761</v>
      </c>
      <c r="T2" s="51" t="s">
        <v>762</v>
      </c>
      <c r="U2" s="51" t="s">
        <v>787</v>
      </c>
      <c r="V2" s="52"/>
      <c r="W2" s="49" t="s">
        <v>752</v>
      </c>
      <c r="X2" s="50" t="s">
        <v>753</v>
      </c>
      <c r="Y2" s="50" t="s">
        <v>754</v>
      </c>
      <c r="Z2" s="50" t="s">
        <v>755</v>
      </c>
      <c r="AA2" s="51" t="s">
        <v>756</v>
      </c>
      <c r="AB2" s="51" t="s">
        <v>788</v>
      </c>
      <c r="AC2" s="53"/>
      <c r="AD2" s="54" t="s">
        <v>752</v>
      </c>
      <c r="AE2" s="55" t="s">
        <v>753</v>
      </c>
      <c r="AF2" s="55" t="s">
        <v>754</v>
      </c>
      <c r="AG2" s="55" t="s">
        <v>755</v>
      </c>
      <c r="AH2" s="56" t="s">
        <v>756</v>
      </c>
      <c r="AI2" s="56" t="s">
        <v>788</v>
      </c>
      <c r="AJ2" s="53"/>
      <c r="AK2" s="57" t="s">
        <v>748</v>
      </c>
      <c r="AL2" s="58" t="s">
        <v>757</v>
      </c>
      <c r="AM2" s="58" t="s">
        <v>749</v>
      </c>
      <c r="AN2" s="58" t="s">
        <v>750</v>
      </c>
      <c r="AO2" s="59" t="s">
        <v>751</v>
      </c>
      <c r="AP2" s="59" t="s">
        <v>789</v>
      </c>
      <c r="AQ2" s="53"/>
      <c r="AR2" s="59" t="s">
        <v>778</v>
      </c>
      <c r="AS2" s="53"/>
      <c r="AT2" s="14" t="s">
        <v>1050</v>
      </c>
      <c r="AU2" s="15" t="s">
        <v>1051</v>
      </c>
      <c r="AV2" s="15" t="s">
        <v>1052</v>
      </c>
      <c r="AW2" s="15" t="s">
        <v>1053</v>
      </c>
      <c r="AX2" s="16" t="s">
        <v>1054</v>
      </c>
      <c r="AY2" s="16" t="s">
        <v>1055</v>
      </c>
    </row>
    <row r="3" spans="1:51" x14ac:dyDescent="0.25">
      <c r="A3" s="8">
        <v>1459</v>
      </c>
      <c r="B3" s="5" t="s">
        <v>2</v>
      </c>
      <c r="C3" s="2">
        <v>95.44</v>
      </c>
      <c r="D3" s="24">
        <v>3000</v>
      </c>
      <c r="E3" s="26">
        <f t="shared" ref="E3:E66" si="6">D3/2</f>
        <v>1500</v>
      </c>
      <c r="F3" s="26">
        <v>6291</v>
      </c>
      <c r="G3" s="30">
        <f t="shared" ref="G3:G66" si="7">+E3/F3</f>
        <v>0.23843586075345732</v>
      </c>
      <c r="H3" s="11"/>
      <c r="I3" s="9">
        <v>7002.5</v>
      </c>
      <c r="J3" s="3">
        <v>2504</v>
      </c>
      <c r="K3" s="3">
        <v>2842</v>
      </c>
      <c r="L3" s="3">
        <v>2186.75</v>
      </c>
      <c r="M3" s="6">
        <v>904.25</v>
      </c>
      <c r="N3" s="6">
        <v>3198</v>
      </c>
      <c r="O3" s="13"/>
      <c r="P3" s="60">
        <f>+I3*C3</f>
        <v>668318.6</v>
      </c>
      <c r="Q3" s="61">
        <f>+J3*C3</f>
        <v>238981.75999999998</v>
      </c>
      <c r="R3" s="61">
        <f>+K3*C3</f>
        <v>271240.48</v>
      </c>
      <c r="S3" s="62">
        <f>+L3*C3</f>
        <v>208703.41999999998</v>
      </c>
      <c r="T3" s="63">
        <f>+M3*C3</f>
        <v>86301.62</v>
      </c>
      <c r="U3" s="63">
        <f>+N3*C3</f>
        <v>305217.12</v>
      </c>
      <c r="V3" s="64"/>
      <c r="W3" s="60">
        <f>726+435</f>
        <v>1161</v>
      </c>
      <c r="X3" s="61">
        <f>991+504</f>
        <v>1495</v>
      </c>
      <c r="Y3" s="61">
        <f>778+776</f>
        <v>1554</v>
      </c>
      <c r="Z3" s="61">
        <f>867+693</f>
        <v>1560</v>
      </c>
      <c r="AA3" s="65">
        <f>890+884</f>
        <v>1774</v>
      </c>
      <c r="AB3" s="65">
        <v>805</v>
      </c>
      <c r="AC3" s="66"/>
      <c r="AD3" s="67">
        <f>+IFERROR(W3/F3,"")</f>
        <v>0.18454935622317598</v>
      </c>
      <c r="AE3" s="67">
        <f>+IFERROR(X3/F3,"")</f>
        <v>0.2376410745509458</v>
      </c>
      <c r="AF3" s="67">
        <f>+IFERROR(Y3/F3,"")</f>
        <v>0.24701955174058179</v>
      </c>
      <c r="AG3" s="67">
        <f>+IFERROR(Z3/F3,"")</f>
        <v>0.24797329518359562</v>
      </c>
      <c r="AH3" s="67">
        <f>+IFERROR(AA3/F3,"")</f>
        <v>0.28199014465108885</v>
      </c>
      <c r="AI3" s="67">
        <f>+IFERROR(AB3/F3,"")</f>
        <v>0.12796057860435542</v>
      </c>
      <c r="AJ3" s="66"/>
      <c r="AK3" s="68">
        <v>104490</v>
      </c>
      <c r="AL3" s="69">
        <v>134550</v>
      </c>
      <c r="AM3" s="69">
        <v>139860</v>
      </c>
      <c r="AN3" s="69">
        <v>140400</v>
      </c>
      <c r="AO3" s="70">
        <v>159660</v>
      </c>
      <c r="AP3" s="70">
        <v>70979.120000000097</v>
      </c>
      <c r="AQ3" s="66"/>
      <c r="AR3" s="70" t="s">
        <v>779</v>
      </c>
      <c r="AS3" s="66"/>
      <c r="AT3" s="108">
        <v>25052.720000000001</v>
      </c>
      <c r="AU3" s="109">
        <v>11618.56</v>
      </c>
      <c r="AV3" s="109">
        <v>13205.199999999999</v>
      </c>
      <c r="AW3" s="109">
        <v>10137.650000000001</v>
      </c>
      <c r="AX3" s="110">
        <v>4159.55</v>
      </c>
      <c r="AY3" s="110">
        <v>3668.1000000000004</v>
      </c>
    </row>
    <row r="4" spans="1:51" x14ac:dyDescent="0.25">
      <c r="A4" s="8" t="s">
        <v>802</v>
      </c>
      <c r="B4" s="5" t="s">
        <v>845</v>
      </c>
      <c r="C4" s="2">
        <v>90.756270305393102</v>
      </c>
      <c r="D4" s="24">
        <v>1500</v>
      </c>
      <c r="E4" s="26">
        <f t="shared" si="6"/>
        <v>750</v>
      </c>
      <c r="F4" s="26">
        <v>1212</v>
      </c>
      <c r="G4" s="30">
        <f t="shared" si="7"/>
        <v>0.61881188118811881</v>
      </c>
      <c r="H4" s="11"/>
      <c r="I4" s="9">
        <v>0</v>
      </c>
      <c r="J4" s="3">
        <v>0</v>
      </c>
      <c r="K4" s="3">
        <v>0</v>
      </c>
      <c r="L4" s="3">
        <v>0</v>
      </c>
      <c r="M4" s="6">
        <v>0</v>
      </c>
      <c r="N4" s="6">
        <v>55</v>
      </c>
      <c r="O4" s="13"/>
      <c r="P4" s="60"/>
      <c r="Q4" s="61"/>
      <c r="R4" s="61"/>
      <c r="S4" s="62"/>
      <c r="T4" s="63"/>
      <c r="U4" s="63">
        <f t="shared" ref="U4:U67" si="8">+N4*C4</f>
        <v>4991.5948667966204</v>
      </c>
      <c r="V4" s="64"/>
      <c r="W4" s="60"/>
      <c r="X4" s="61"/>
      <c r="Y4" s="61"/>
      <c r="Z4" s="61"/>
      <c r="AA4" s="65"/>
      <c r="AB4" s="65"/>
      <c r="AC4" s="66"/>
      <c r="AD4" s="67">
        <f t="shared" ref="AD4:AD67" si="9">+IFERROR(W4/F4,"")</f>
        <v>0</v>
      </c>
      <c r="AE4" s="67">
        <f t="shared" ref="AE4:AE67" si="10">+IFERROR(X4/F4,"")</f>
        <v>0</v>
      </c>
      <c r="AF4" s="67">
        <f t="shared" ref="AF4:AF67" si="11">+IFERROR(Y4/F4,"")</f>
        <v>0</v>
      </c>
      <c r="AG4" s="67">
        <f t="shared" ref="AG4:AG67" si="12">+IFERROR(Z4/F4,"")</f>
        <v>0</v>
      </c>
      <c r="AH4" s="67">
        <f t="shared" ref="AH4:AH67" si="13">+IFERROR(AA4/F4,"")</f>
        <v>0</v>
      </c>
      <c r="AI4" s="67">
        <f t="shared" ref="AI4:AI67" si="14">+IFERROR(AB4/F4,"")</f>
        <v>0</v>
      </c>
      <c r="AJ4" s="66"/>
      <c r="AK4" s="68"/>
      <c r="AL4" s="69"/>
      <c r="AM4" s="69"/>
      <c r="AN4" s="69"/>
      <c r="AO4" s="70"/>
      <c r="AP4" s="70"/>
      <c r="AQ4" s="66"/>
      <c r="AR4" s="70" t="s">
        <v>779</v>
      </c>
      <c r="AS4" s="66"/>
      <c r="AT4" s="108">
        <v>0</v>
      </c>
      <c r="AU4" s="109">
        <v>0</v>
      </c>
      <c r="AV4" s="109">
        <v>0</v>
      </c>
      <c r="AW4" s="109">
        <v>0</v>
      </c>
      <c r="AX4" s="110">
        <v>0</v>
      </c>
      <c r="AY4" s="110">
        <v>4867.5</v>
      </c>
    </row>
    <row r="5" spans="1:51" x14ac:dyDescent="0.25">
      <c r="A5" s="8" t="s">
        <v>30</v>
      </c>
      <c r="B5" s="5" t="s">
        <v>31</v>
      </c>
      <c r="C5" s="2">
        <v>89.980000000000018</v>
      </c>
      <c r="D5" s="24">
        <v>150</v>
      </c>
      <c r="E5" s="26">
        <f t="shared" si="6"/>
        <v>75</v>
      </c>
      <c r="F5" s="26">
        <v>305</v>
      </c>
      <c r="G5" s="30">
        <f t="shared" si="7"/>
        <v>0.24590163934426229</v>
      </c>
      <c r="H5" s="11"/>
      <c r="I5" s="9">
        <v>0</v>
      </c>
      <c r="J5" s="3">
        <v>0</v>
      </c>
      <c r="K5" s="3">
        <v>0</v>
      </c>
      <c r="L5" s="3">
        <v>50</v>
      </c>
      <c r="M5" s="6">
        <v>40</v>
      </c>
      <c r="N5" s="6">
        <v>0</v>
      </c>
      <c r="O5" s="13"/>
      <c r="P5" s="60">
        <f>+I5*C5</f>
        <v>0</v>
      </c>
      <c r="Q5" s="61">
        <f>+J5*C5</f>
        <v>0</v>
      </c>
      <c r="R5" s="61">
        <f>+K5*C5</f>
        <v>0</v>
      </c>
      <c r="S5" s="62">
        <f>+L5*C5</f>
        <v>4499.0000000000009</v>
      </c>
      <c r="T5" s="63">
        <f>+M5*C5</f>
        <v>3599.2000000000007</v>
      </c>
      <c r="U5" s="63">
        <f t="shared" si="8"/>
        <v>0</v>
      </c>
      <c r="V5" s="64"/>
      <c r="W5" s="60">
        <v>2</v>
      </c>
      <c r="X5" s="61">
        <v>0</v>
      </c>
      <c r="Y5" s="61">
        <v>0</v>
      </c>
      <c r="Z5" s="61">
        <v>0</v>
      </c>
      <c r="AA5" s="65">
        <v>49</v>
      </c>
      <c r="AB5" s="65">
        <v>39</v>
      </c>
      <c r="AC5" s="66"/>
      <c r="AD5" s="67">
        <f t="shared" si="9"/>
        <v>6.5573770491803279E-3</v>
      </c>
      <c r="AE5" s="67">
        <f t="shared" si="10"/>
        <v>0</v>
      </c>
      <c r="AF5" s="67">
        <f t="shared" si="11"/>
        <v>0</v>
      </c>
      <c r="AG5" s="67">
        <f t="shared" si="12"/>
        <v>0</v>
      </c>
      <c r="AH5" s="67">
        <f t="shared" si="13"/>
        <v>0.16065573770491803</v>
      </c>
      <c r="AI5" s="67">
        <f t="shared" si="14"/>
        <v>0.12786885245901639</v>
      </c>
      <c r="AJ5" s="66"/>
      <c r="AK5" s="68">
        <v>184.86</v>
      </c>
      <c r="AL5" s="69">
        <v>0</v>
      </c>
      <c r="AM5" s="69">
        <v>0</v>
      </c>
      <c r="AN5" s="69">
        <v>0</v>
      </c>
      <c r="AO5" s="70">
        <v>4409.0200000000004</v>
      </c>
      <c r="AP5" s="70">
        <v>3461.8599999999901</v>
      </c>
      <c r="AQ5" s="66"/>
      <c r="AR5" s="70" t="s">
        <v>779</v>
      </c>
      <c r="AS5" s="66"/>
      <c r="AT5" s="108">
        <v>0</v>
      </c>
      <c r="AU5" s="109">
        <v>0</v>
      </c>
      <c r="AV5" s="109">
        <v>0</v>
      </c>
      <c r="AW5" s="109">
        <v>2809.5</v>
      </c>
      <c r="AX5" s="110">
        <v>2220.4</v>
      </c>
      <c r="AY5" s="110">
        <v>0</v>
      </c>
    </row>
    <row r="6" spans="1:51" x14ac:dyDescent="0.25">
      <c r="A6" s="8">
        <v>5678</v>
      </c>
      <c r="B6" s="5" t="s">
        <v>40</v>
      </c>
      <c r="C6" s="2">
        <v>83.25</v>
      </c>
      <c r="D6" s="24">
        <v>300</v>
      </c>
      <c r="E6" s="26">
        <f t="shared" si="6"/>
        <v>150</v>
      </c>
      <c r="F6" s="26">
        <v>305</v>
      </c>
      <c r="G6" s="30">
        <f t="shared" si="7"/>
        <v>0.49180327868852458</v>
      </c>
      <c r="H6" s="11"/>
      <c r="I6" s="9">
        <v>273</v>
      </c>
      <c r="J6" s="3">
        <v>0</v>
      </c>
      <c r="K6" s="3">
        <v>0</v>
      </c>
      <c r="L6" s="3">
        <v>0</v>
      </c>
      <c r="M6" s="6"/>
      <c r="N6" s="6">
        <v>0</v>
      </c>
      <c r="O6" s="13"/>
      <c r="P6" s="60">
        <f>+I6*C6</f>
        <v>22727.25</v>
      </c>
      <c r="Q6" s="61">
        <f>+J6*C6</f>
        <v>0</v>
      </c>
      <c r="R6" s="61">
        <f>+K6*C6</f>
        <v>0</v>
      </c>
      <c r="S6" s="62">
        <f>+L6*C6</f>
        <v>0</v>
      </c>
      <c r="T6" s="63">
        <f>+M6*C6</f>
        <v>0</v>
      </c>
      <c r="U6" s="63">
        <f t="shared" si="8"/>
        <v>0</v>
      </c>
      <c r="V6" s="64"/>
      <c r="W6" s="60">
        <v>19</v>
      </c>
      <c r="X6" s="61">
        <v>36</v>
      </c>
      <c r="Y6" s="61">
        <v>90</v>
      </c>
      <c r="Z6" s="61">
        <v>97</v>
      </c>
      <c r="AA6" s="65">
        <v>74</v>
      </c>
      <c r="AB6" s="65">
        <v>0</v>
      </c>
      <c r="AC6" s="66"/>
      <c r="AD6" s="67">
        <f t="shared" si="9"/>
        <v>6.2295081967213117E-2</v>
      </c>
      <c r="AE6" s="67">
        <f t="shared" si="10"/>
        <v>0.11803278688524591</v>
      </c>
      <c r="AF6" s="67">
        <f t="shared" si="11"/>
        <v>0.29508196721311475</v>
      </c>
      <c r="AG6" s="67">
        <f t="shared" si="12"/>
        <v>0.31803278688524589</v>
      </c>
      <c r="AH6" s="67">
        <f t="shared" si="13"/>
        <v>0.24262295081967214</v>
      </c>
      <c r="AI6" s="67">
        <f t="shared" si="14"/>
        <v>0</v>
      </c>
      <c r="AJ6" s="66"/>
      <c r="AK6" s="68">
        <v>1711.2</v>
      </c>
      <c r="AL6" s="69">
        <v>4335.880000000001</v>
      </c>
      <c r="AM6" s="69">
        <v>4335.8799999999992</v>
      </c>
      <c r="AN6" s="69">
        <v>8516.1699999999928</v>
      </c>
      <c r="AO6" s="70">
        <v>7774.4399999999896</v>
      </c>
      <c r="AP6" s="70">
        <v>0</v>
      </c>
      <c r="AQ6" s="66"/>
      <c r="AR6" s="70" t="s">
        <v>779</v>
      </c>
      <c r="AS6" s="66"/>
      <c r="AT6" s="108">
        <v>15313</v>
      </c>
      <c r="AU6" s="109">
        <v>0</v>
      </c>
      <c r="AV6" s="109">
        <v>0</v>
      </c>
      <c r="AW6" s="109">
        <v>0</v>
      </c>
      <c r="AX6" s="110">
        <v>0</v>
      </c>
      <c r="AY6" s="110">
        <v>0</v>
      </c>
    </row>
    <row r="7" spans="1:51" x14ac:dyDescent="0.25">
      <c r="A7" s="8" t="s">
        <v>20</v>
      </c>
      <c r="B7" s="5" t="s">
        <v>21</v>
      </c>
      <c r="C7" s="2">
        <v>77.069999999999993</v>
      </c>
      <c r="D7" s="24">
        <v>200</v>
      </c>
      <c r="E7" s="26">
        <f t="shared" si="6"/>
        <v>100</v>
      </c>
      <c r="F7" s="26">
        <v>305</v>
      </c>
      <c r="G7" s="30">
        <f t="shared" si="7"/>
        <v>0.32786885245901637</v>
      </c>
      <c r="H7" s="11"/>
      <c r="I7" s="9">
        <v>353</v>
      </c>
      <c r="J7" s="3">
        <v>130</v>
      </c>
      <c r="K7" s="3">
        <v>0</v>
      </c>
      <c r="L7" s="3">
        <v>0</v>
      </c>
      <c r="M7" s="6"/>
      <c r="N7" s="6">
        <v>0</v>
      </c>
      <c r="O7" s="13"/>
      <c r="P7" s="60">
        <f>+I7*C7</f>
        <v>27205.71</v>
      </c>
      <c r="Q7" s="61">
        <f>+J7*C7</f>
        <v>10019.099999999999</v>
      </c>
      <c r="R7" s="61">
        <f>+K7*C7</f>
        <v>0</v>
      </c>
      <c r="S7" s="62">
        <f>+L7*C7</f>
        <v>0</v>
      </c>
      <c r="T7" s="63">
        <f>+M7*C7</f>
        <v>0</v>
      </c>
      <c r="U7" s="63">
        <f t="shared" si="8"/>
        <v>0</v>
      </c>
      <c r="V7" s="64"/>
      <c r="W7" s="60">
        <v>0</v>
      </c>
      <c r="X7" s="61">
        <v>0</v>
      </c>
      <c r="Y7" s="61">
        <v>0</v>
      </c>
      <c r="Z7" s="61">
        <v>20</v>
      </c>
      <c r="AA7" s="65">
        <v>24</v>
      </c>
      <c r="AB7" s="65">
        <v>44</v>
      </c>
      <c r="AC7" s="66"/>
      <c r="AD7" s="67">
        <f t="shared" si="9"/>
        <v>0</v>
      </c>
      <c r="AE7" s="67">
        <f t="shared" si="10"/>
        <v>0</v>
      </c>
      <c r="AF7" s="67">
        <f t="shared" si="11"/>
        <v>0</v>
      </c>
      <c r="AG7" s="67">
        <f t="shared" si="12"/>
        <v>6.5573770491803282E-2</v>
      </c>
      <c r="AH7" s="67">
        <f t="shared" si="13"/>
        <v>7.8688524590163941E-2</v>
      </c>
      <c r="AI7" s="67">
        <f t="shared" si="14"/>
        <v>0.14426229508196722</v>
      </c>
      <c r="AJ7" s="66"/>
      <c r="AK7" s="68">
        <v>0</v>
      </c>
      <c r="AL7" s="69">
        <v>0</v>
      </c>
      <c r="AM7" s="69">
        <v>0</v>
      </c>
      <c r="AN7" s="69">
        <v>1541.3999999999999</v>
      </c>
      <c r="AO7" s="70">
        <v>1631.3999999999901</v>
      </c>
      <c r="AP7" s="70">
        <v>3449.16</v>
      </c>
      <c r="AQ7" s="66"/>
      <c r="AR7" s="70" t="s">
        <v>779</v>
      </c>
      <c r="AS7" s="66"/>
      <c r="AT7" s="108">
        <v>12284.81</v>
      </c>
      <c r="AU7" s="109">
        <v>4529.2</v>
      </c>
      <c r="AV7" s="109">
        <v>0</v>
      </c>
      <c r="AW7" s="109">
        <v>0</v>
      </c>
      <c r="AX7" s="110">
        <v>0</v>
      </c>
      <c r="AY7" s="110">
        <v>0</v>
      </c>
    </row>
    <row r="8" spans="1:51" x14ac:dyDescent="0.25">
      <c r="A8" s="8">
        <v>5440</v>
      </c>
      <c r="B8" s="5" t="s">
        <v>17</v>
      </c>
      <c r="C8" s="2">
        <v>51.94</v>
      </c>
      <c r="D8" s="24">
        <v>400</v>
      </c>
      <c r="E8" s="26">
        <f t="shared" si="6"/>
        <v>200</v>
      </c>
      <c r="F8" s="26">
        <v>269</v>
      </c>
      <c r="G8" s="30">
        <f t="shared" si="7"/>
        <v>0.74349442379182151</v>
      </c>
      <c r="H8" s="11"/>
      <c r="I8" s="9">
        <v>98</v>
      </c>
      <c r="J8" s="3">
        <v>0</v>
      </c>
      <c r="K8" s="3">
        <v>0</v>
      </c>
      <c r="L8" s="3">
        <v>0</v>
      </c>
      <c r="M8" s="6"/>
      <c r="N8" s="6">
        <v>30</v>
      </c>
      <c r="O8" s="13"/>
      <c r="P8" s="60">
        <f>+I8*C8</f>
        <v>5090.12</v>
      </c>
      <c r="Q8" s="61">
        <f>+J8*C8</f>
        <v>0</v>
      </c>
      <c r="R8" s="61">
        <f>+K8*C8</f>
        <v>0</v>
      </c>
      <c r="S8" s="62">
        <f>+L8*C8</f>
        <v>0</v>
      </c>
      <c r="T8" s="63">
        <f>+M8*C8</f>
        <v>0</v>
      </c>
      <c r="U8" s="63">
        <f t="shared" si="8"/>
        <v>1558.1999999999998</v>
      </c>
      <c r="V8" s="64"/>
      <c r="W8" s="60">
        <v>0</v>
      </c>
      <c r="X8" s="61">
        <v>0</v>
      </c>
      <c r="Y8" s="61">
        <v>0</v>
      </c>
      <c r="Z8" s="61">
        <v>1</v>
      </c>
      <c r="AA8" s="65">
        <v>0</v>
      </c>
      <c r="AB8" s="65">
        <v>0</v>
      </c>
      <c r="AC8" s="66"/>
      <c r="AD8" s="67">
        <f t="shared" si="9"/>
        <v>0</v>
      </c>
      <c r="AE8" s="67">
        <f t="shared" si="10"/>
        <v>0</v>
      </c>
      <c r="AF8" s="67">
        <f t="shared" si="11"/>
        <v>0</v>
      </c>
      <c r="AG8" s="67">
        <f t="shared" si="12"/>
        <v>3.7174721189591076E-3</v>
      </c>
      <c r="AH8" s="67">
        <f t="shared" si="13"/>
        <v>0</v>
      </c>
      <c r="AI8" s="67">
        <f t="shared" si="14"/>
        <v>0</v>
      </c>
      <c r="AJ8" s="66"/>
      <c r="AK8" s="68">
        <v>0</v>
      </c>
      <c r="AL8" s="69">
        <v>0</v>
      </c>
      <c r="AM8" s="69">
        <v>0</v>
      </c>
      <c r="AN8" s="69">
        <v>51.94</v>
      </c>
      <c r="AO8" s="70">
        <v>51.94</v>
      </c>
      <c r="AP8" s="70">
        <v>0</v>
      </c>
      <c r="AQ8" s="66"/>
      <c r="AR8" s="70" t="s">
        <v>779</v>
      </c>
      <c r="AS8" s="66"/>
      <c r="AT8" s="108">
        <v>2316.56</v>
      </c>
      <c r="AU8" s="109">
        <v>0</v>
      </c>
      <c r="AV8" s="109">
        <v>0</v>
      </c>
      <c r="AW8" s="109">
        <v>0</v>
      </c>
      <c r="AX8" s="110">
        <v>0</v>
      </c>
      <c r="AY8" s="110">
        <v>702.6</v>
      </c>
    </row>
    <row r="9" spans="1:51" x14ac:dyDescent="0.25">
      <c r="A9" s="8" t="s">
        <v>18</v>
      </c>
      <c r="B9" s="5" t="s">
        <v>19</v>
      </c>
      <c r="C9" s="2">
        <v>48.320000000000007</v>
      </c>
      <c r="D9" s="24">
        <v>3000</v>
      </c>
      <c r="E9" s="26">
        <f t="shared" si="6"/>
        <v>1500</v>
      </c>
      <c r="F9" s="26">
        <v>485</v>
      </c>
      <c r="G9" s="30">
        <f t="shared" si="7"/>
        <v>3.0927835051546393</v>
      </c>
      <c r="H9" s="11"/>
      <c r="I9" s="9">
        <v>565</v>
      </c>
      <c r="J9" s="3">
        <v>909</v>
      </c>
      <c r="K9" s="3">
        <v>971</v>
      </c>
      <c r="L9" s="3">
        <v>347</v>
      </c>
      <c r="M9" s="6">
        <v>1230</v>
      </c>
      <c r="N9" s="6">
        <v>796</v>
      </c>
      <c r="O9" s="13"/>
      <c r="P9" s="60">
        <f>+I9*C9</f>
        <v>27300.800000000003</v>
      </c>
      <c r="Q9" s="61">
        <f>+J9*C9</f>
        <v>43922.880000000005</v>
      </c>
      <c r="R9" s="61">
        <f>+K9*C9</f>
        <v>46918.720000000008</v>
      </c>
      <c r="S9" s="62">
        <f>+L9*C9</f>
        <v>16767.04</v>
      </c>
      <c r="T9" s="63">
        <f>+M9*C9</f>
        <v>59433.600000000006</v>
      </c>
      <c r="U9" s="63">
        <f t="shared" si="8"/>
        <v>38462.720000000008</v>
      </c>
      <c r="V9" s="64"/>
      <c r="W9" s="60">
        <v>215</v>
      </c>
      <c r="X9" s="61">
        <v>310</v>
      </c>
      <c r="Y9" s="61">
        <v>1371</v>
      </c>
      <c r="Z9" s="61">
        <v>754</v>
      </c>
      <c r="AA9" s="65">
        <v>273</v>
      </c>
      <c r="AB9" s="65">
        <v>380</v>
      </c>
      <c r="AC9" s="66"/>
      <c r="AD9" s="67">
        <f t="shared" si="9"/>
        <v>0.44329896907216493</v>
      </c>
      <c r="AE9" s="67">
        <f t="shared" si="10"/>
        <v>0.63917525773195871</v>
      </c>
      <c r="AF9" s="67">
        <f t="shared" si="11"/>
        <v>2.8268041237113404</v>
      </c>
      <c r="AG9" s="67">
        <f t="shared" si="12"/>
        <v>1.554639175257732</v>
      </c>
      <c r="AH9" s="67">
        <f t="shared" si="13"/>
        <v>0.56288659793814433</v>
      </c>
      <c r="AI9" s="67">
        <f t="shared" si="14"/>
        <v>0.78350515463917525</v>
      </c>
      <c r="AJ9" s="66"/>
      <c r="AK9" s="68">
        <v>4599.0400000000018</v>
      </c>
      <c r="AL9" s="69">
        <v>7170.1399999999885</v>
      </c>
      <c r="AM9" s="69">
        <v>7170.1399999999894</v>
      </c>
      <c r="AN9" s="69">
        <v>33326.040000000015</v>
      </c>
      <c r="AO9" s="70">
        <v>31149.889999999799</v>
      </c>
      <c r="AP9" s="70">
        <v>16033.81</v>
      </c>
      <c r="AQ9" s="66"/>
      <c r="AR9" s="70" t="s">
        <v>779</v>
      </c>
      <c r="AS9" s="66"/>
      <c r="AT9" s="108">
        <v>11732.46</v>
      </c>
      <c r="AU9" s="109">
        <v>19114.740000000002</v>
      </c>
      <c r="AV9" s="109">
        <v>20259.440000000002</v>
      </c>
      <c r="AW9" s="109">
        <v>7301.2200000000012</v>
      </c>
      <c r="AX9" s="110">
        <v>25859.310000000005</v>
      </c>
      <c r="AY9" s="110">
        <v>16720.830000000002</v>
      </c>
    </row>
    <row r="10" spans="1:51" x14ac:dyDescent="0.25">
      <c r="A10" s="8" t="s">
        <v>792</v>
      </c>
      <c r="B10" s="5" t="s">
        <v>835</v>
      </c>
      <c r="C10" s="2">
        <v>47.674997817927895</v>
      </c>
      <c r="D10" s="24">
        <v>200</v>
      </c>
      <c r="E10" s="26">
        <f t="shared" si="6"/>
        <v>100</v>
      </c>
      <c r="F10" s="26">
        <v>322</v>
      </c>
      <c r="G10" s="30">
        <f t="shared" si="7"/>
        <v>0.3105590062111801</v>
      </c>
      <c r="H10" s="11"/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6">
        <v>403</v>
      </c>
      <c r="O10" s="13"/>
      <c r="P10" s="60"/>
      <c r="Q10" s="61"/>
      <c r="R10" s="61"/>
      <c r="S10" s="62"/>
      <c r="T10" s="63"/>
      <c r="U10" s="63">
        <f t="shared" si="8"/>
        <v>19213.024120624941</v>
      </c>
      <c r="V10" s="64"/>
      <c r="W10" s="60"/>
      <c r="X10" s="61"/>
      <c r="Y10" s="61"/>
      <c r="Z10" s="61"/>
      <c r="AA10" s="65"/>
      <c r="AB10" s="65"/>
      <c r="AC10" s="66"/>
      <c r="AD10" s="67">
        <f t="shared" si="9"/>
        <v>0</v>
      </c>
      <c r="AE10" s="67">
        <f t="shared" si="10"/>
        <v>0</v>
      </c>
      <c r="AF10" s="67">
        <f t="shared" si="11"/>
        <v>0</v>
      </c>
      <c r="AG10" s="67">
        <f t="shared" si="12"/>
        <v>0</v>
      </c>
      <c r="AH10" s="67">
        <f t="shared" si="13"/>
        <v>0</v>
      </c>
      <c r="AI10" s="67">
        <f t="shared" si="14"/>
        <v>0</v>
      </c>
      <c r="AJ10" s="66"/>
      <c r="AK10" s="68"/>
      <c r="AL10" s="69"/>
      <c r="AM10" s="69"/>
      <c r="AN10" s="69"/>
      <c r="AO10" s="70"/>
      <c r="AP10" s="70"/>
      <c r="AQ10" s="66"/>
      <c r="AR10" s="70" t="s">
        <v>779</v>
      </c>
      <c r="AS10" s="66"/>
      <c r="AT10" s="108">
        <v>0</v>
      </c>
      <c r="AU10" s="109">
        <v>0</v>
      </c>
      <c r="AV10" s="109">
        <v>0</v>
      </c>
      <c r="AW10" s="109">
        <v>0</v>
      </c>
      <c r="AX10" s="110">
        <v>0</v>
      </c>
      <c r="AY10" s="110">
        <v>0</v>
      </c>
    </row>
    <row r="11" spans="1:51" x14ac:dyDescent="0.25">
      <c r="A11" s="8">
        <v>1371</v>
      </c>
      <c r="B11" s="5" t="s">
        <v>3</v>
      </c>
      <c r="C11" s="2">
        <v>44.3</v>
      </c>
      <c r="D11" s="24">
        <v>8000</v>
      </c>
      <c r="E11" s="26">
        <f t="shared" si="6"/>
        <v>4000</v>
      </c>
      <c r="F11" s="26">
        <v>1722</v>
      </c>
      <c r="G11" s="30">
        <f t="shared" si="7"/>
        <v>2.3228803716608595</v>
      </c>
      <c r="H11" s="11"/>
      <c r="I11" s="9">
        <v>395</v>
      </c>
      <c r="J11" s="3">
        <v>0</v>
      </c>
      <c r="K11" s="3">
        <v>0</v>
      </c>
      <c r="L11" s="3">
        <v>3282</v>
      </c>
      <c r="M11" s="6">
        <v>4135</v>
      </c>
      <c r="N11" s="6">
        <v>7088</v>
      </c>
      <c r="O11" s="13"/>
      <c r="P11" s="60">
        <f t="shared" ref="P11:P18" si="15">+I11*C11</f>
        <v>17498.5</v>
      </c>
      <c r="Q11" s="61">
        <f t="shared" ref="Q11:Q18" si="16">+J11*C11</f>
        <v>0</v>
      </c>
      <c r="R11" s="61">
        <f t="shared" ref="R11:R18" si="17">+K11*C11</f>
        <v>0</v>
      </c>
      <c r="S11" s="62">
        <f t="shared" ref="S11:S18" si="18">+L11*C11</f>
        <v>145392.59999999998</v>
      </c>
      <c r="T11" s="63">
        <f t="shared" ref="T11:T18" si="19">+M11*C11</f>
        <v>183180.5</v>
      </c>
      <c r="U11" s="63">
        <f t="shared" si="8"/>
        <v>313998.39999999997</v>
      </c>
      <c r="V11" s="64"/>
      <c r="W11" s="60">
        <v>2680</v>
      </c>
      <c r="X11" s="61">
        <v>514</v>
      </c>
      <c r="Y11" s="61">
        <v>683</v>
      </c>
      <c r="Z11" s="61">
        <v>838</v>
      </c>
      <c r="AA11" s="65">
        <v>1707</v>
      </c>
      <c r="AB11" s="65">
        <v>1949</v>
      </c>
      <c r="AC11" s="66"/>
      <c r="AD11" s="67">
        <f t="shared" si="9"/>
        <v>1.5563298490127759</v>
      </c>
      <c r="AE11" s="67">
        <f t="shared" si="10"/>
        <v>0.29849012775842043</v>
      </c>
      <c r="AF11" s="67">
        <f t="shared" si="11"/>
        <v>0.39663182346109177</v>
      </c>
      <c r="AG11" s="67">
        <f t="shared" si="12"/>
        <v>0.48664343786295006</v>
      </c>
      <c r="AH11" s="67">
        <f t="shared" si="13"/>
        <v>0.99128919860627174</v>
      </c>
      <c r="AI11" s="67">
        <f t="shared" si="14"/>
        <v>1.1318234610917537</v>
      </c>
      <c r="AJ11" s="66"/>
      <c r="AK11" s="68">
        <v>66107.270000000033</v>
      </c>
      <c r="AL11" s="69">
        <v>21703.679999999968</v>
      </c>
      <c r="AM11" s="69">
        <v>21703.679999999957</v>
      </c>
      <c r="AN11" s="69">
        <v>41518.489999999954</v>
      </c>
      <c r="AO11" s="70">
        <v>44172.429999999898</v>
      </c>
      <c r="AP11" s="70">
        <v>89083.949999999895</v>
      </c>
      <c r="AQ11" s="66"/>
      <c r="AR11" s="70" t="s">
        <v>779</v>
      </c>
      <c r="AS11" s="66"/>
      <c r="AT11" s="108">
        <v>845.3</v>
      </c>
      <c r="AU11" s="109">
        <v>0</v>
      </c>
      <c r="AV11" s="109">
        <v>0</v>
      </c>
      <c r="AW11" s="109">
        <v>6857.52</v>
      </c>
      <c r="AX11" s="110">
        <v>23528.03</v>
      </c>
      <c r="AY11" s="110">
        <v>30851.040000000001</v>
      </c>
    </row>
    <row r="12" spans="1:51" x14ac:dyDescent="0.25">
      <c r="A12" s="8" t="s">
        <v>114</v>
      </c>
      <c r="B12" s="5" t="s">
        <v>115</v>
      </c>
      <c r="C12" s="2">
        <v>42.77</v>
      </c>
      <c r="D12" s="24">
        <v>300</v>
      </c>
      <c r="E12" s="26">
        <f t="shared" si="6"/>
        <v>150</v>
      </c>
      <c r="F12" s="26">
        <v>391</v>
      </c>
      <c r="G12" s="30">
        <f t="shared" si="7"/>
        <v>0.38363171355498721</v>
      </c>
      <c r="H12" s="11"/>
      <c r="I12" s="9">
        <v>0</v>
      </c>
      <c r="J12" s="3">
        <v>0</v>
      </c>
      <c r="K12" s="3">
        <v>115</v>
      </c>
      <c r="L12" s="3">
        <v>304</v>
      </c>
      <c r="M12" s="6">
        <v>307</v>
      </c>
      <c r="N12" s="6">
        <v>285</v>
      </c>
      <c r="O12" s="13"/>
      <c r="P12" s="60">
        <f t="shared" si="15"/>
        <v>0</v>
      </c>
      <c r="Q12" s="61">
        <f t="shared" si="16"/>
        <v>0</v>
      </c>
      <c r="R12" s="61">
        <f t="shared" si="17"/>
        <v>4918.55</v>
      </c>
      <c r="S12" s="62">
        <f t="shared" si="18"/>
        <v>13002.080000000002</v>
      </c>
      <c r="T12" s="63">
        <f t="shared" si="19"/>
        <v>13130.390000000001</v>
      </c>
      <c r="U12" s="63">
        <f t="shared" si="8"/>
        <v>12189.45</v>
      </c>
      <c r="V12" s="64"/>
      <c r="W12" s="60">
        <v>0</v>
      </c>
      <c r="X12" s="61">
        <v>0</v>
      </c>
      <c r="Y12" s="61">
        <v>0</v>
      </c>
      <c r="Z12" s="61">
        <v>0</v>
      </c>
      <c r="AA12" s="65">
        <v>110</v>
      </c>
      <c r="AB12" s="65">
        <v>179</v>
      </c>
      <c r="AC12" s="66"/>
      <c r="AD12" s="67">
        <f t="shared" si="9"/>
        <v>0</v>
      </c>
      <c r="AE12" s="67">
        <f t="shared" si="10"/>
        <v>0</v>
      </c>
      <c r="AF12" s="67">
        <f t="shared" si="11"/>
        <v>0</v>
      </c>
      <c r="AG12" s="67">
        <f t="shared" si="12"/>
        <v>0</v>
      </c>
      <c r="AH12" s="67">
        <f t="shared" si="13"/>
        <v>0.2813299232736573</v>
      </c>
      <c r="AI12" s="67">
        <f t="shared" si="14"/>
        <v>0.4578005115089514</v>
      </c>
      <c r="AJ12" s="66"/>
      <c r="AK12" s="68">
        <v>0</v>
      </c>
      <c r="AL12" s="69">
        <v>0</v>
      </c>
      <c r="AM12" s="69">
        <v>0</v>
      </c>
      <c r="AN12" s="69">
        <v>0</v>
      </c>
      <c r="AO12" s="70">
        <v>4704.7000000000007</v>
      </c>
      <c r="AP12" s="70">
        <v>7195.62</v>
      </c>
      <c r="AQ12" s="66"/>
      <c r="AR12" s="70" t="s">
        <v>779</v>
      </c>
      <c r="AS12" s="66"/>
      <c r="AT12" s="108">
        <v>0</v>
      </c>
      <c r="AU12" s="109">
        <v>0</v>
      </c>
      <c r="AV12" s="109">
        <v>7155.3</v>
      </c>
      <c r="AW12" s="109">
        <v>19456.560000000001</v>
      </c>
      <c r="AX12" s="110">
        <v>19519.199999999997</v>
      </c>
      <c r="AY12" s="110">
        <v>18126.599999999999</v>
      </c>
    </row>
    <row r="13" spans="1:51" x14ac:dyDescent="0.25">
      <c r="A13" s="8" t="s">
        <v>54</v>
      </c>
      <c r="B13" s="5" t="s">
        <v>55</v>
      </c>
      <c r="C13" s="2">
        <v>41.11</v>
      </c>
      <c r="D13" s="24">
        <v>50</v>
      </c>
      <c r="E13" s="26">
        <f t="shared" si="6"/>
        <v>25</v>
      </c>
      <c r="F13" s="26">
        <v>100</v>
      </c>
      <c r="G13" s="30">
        <f t="shared" si="7"/>
        <v>0.25</v>
      </c>
      <c r="H13" s="11"/>
      <c r="I13" s="9">
        <v>0</v>
      </c>
      <c r="J13" s="3">
        <v>0</v>
      </c>
      <c r="K13" s="3">
        <v>0</v>
      </c>
      <c r="L13" s="3">
        <v>74</v>
      </c>
      <c r="M13" s="6"/>
      <c r="N13" s="6">
        <v>0</v>
      </c>
      <c r="O13" s="13"/>
      <c r="P13" s="60">
        <f t="shared" si="15"/>
        <v>0</v>
      </c>
      <c r="Q13" s="61">
        <f t="shared" si="16"/>
        <v>0</v>
      </c>
      <c r="R13" s="61">
        <f t="shared" si="17"/>
        <v>0</v>
      </c>
      <c r="S13" s="62">
        <f t="shared" si="18"/>
        <v>3042.14</v>
      </c>
      <c r="T13" s="63">
        <f t="shared" si="19"/>
        <v>0</v>
      </c>
      <c r="U13" s="63">
        <f t="shared" si="8"/>
        <v>0</v>
      </c>
      <c r="V13" s="64"/>
      <c r="W13" s="60">
        <v>0</v>
      </c>
      <c r="X13" s="61">
        <v>0</v>
      </c>
      <c r="Y13" s="61">
        <v>21</v>
      </c>
      <c r="Z13" s="61">
        <v>3</v>
      </c>
      <c r="AA13" s="65">
        <v>20</v>
      </c>
      <c r="AB13" s="65">
        <v>24</v>
      </c>
      <c r="AC13" s="66"/>
      <c r="AD13" s="67">
        <f t="shared" si="9"/>
        <v>0</v>
      </c>
      <c r="AE13" s="67">
        <f t="shared" si="10"/>
        <v>0</v>
      </c>
      <c r="AF13" s="67">
        <f t="shared" si="11"/>
        <v>0.21</v>
      </c>
      <c r="AG13" s="67">
        <f t="shared" si="12"/>
        <v>0.03</v>
      </c>
      <c r="AH13" s="67">
        <f t="shared" si="13"/>
        <v>0.2</v>
      </c>
      <c r="AI13" s="67">
        <f t="shared" si="14"/>
        <v>0.24</v>
      </c>
      <c r="AJ13" s="66"/>
      <c r="AK13" s="68">
        <v>0</v>
      </c>
      <c r="AL13" s="69">
        <v>0</v>
      </c>
      <c r="AM13" s="69">
        <v>863.31</v>
      </c>
      <c r="AN13" s="69">
        <v>305.77</v>
      </c>
      <c r="AO13" s="70">
        <v>48.58</v>
      </c>
      <c r="AP13" s="70">
        <v>771.16</v>
      </c>
      <c r="AQ13" s="66"/>
      <c r="AR13" s="70" t="s">
        <v>779</v>
      </c>
      <c r="AS13" s="66"/>
      <c r="AT13" s="108">
        <v>0</v>
      </c>
      <c r="AU13" s="109">
        <v>0</v>
      </c>
      <c r="AV13" s="109">
        <v>0</v>
      </c>
      <c r="AW13" s="109">
        <v>0</v>
      </c>
      <c r="AX13" s="110">
        <v>0</v>
      </c>
      <c r="AY13" s="110">
        <v>0</v>
      </c>
    </row>
    <row r="14" spans="1:51" x14ac:dyDescent="0.25">
      <c r="A14" s="8" t="s">
        <v>163</v>
      </c>
      <c r="B14" s="5" t="s">
        <v>164</v>
      </c>
      <c r="C14" s="2">
        <v>40.950000000000003</v>
      </c>
      <c r="D14" s="24">
        <v>1000</v>
      </c>
      <c r="E14" s="26">
        <f t="shared" si="6"/>
        <v>500</v>
      </c>
      <c r="F14" s="26">
        <v>2146</v>
      </c>
      <c r="G14" s="30">
        <f t="shared" si="7"/>
        <v>0.23299161230195714</v>
      </c>
      <c r="H14" s="11"/>
      <c r="I14" s="9">
        <v>0</v>
      </c>
      <c r="J14" s="3">
        <v>0</v>
      </c>
      <c r="K14" s="3">
        <v>0</v>
      </c>
      <c r="L14" s="3">
        <v>0</v>
      </c>
      <c r="M14" s="6">
        <v>146</v>
      </c>
      <c r="N14" s="6">
        <v>46</v>
      </c>
      <c r="O14" s="13"/>
      <c r="P14" s="60">
        <f t="shared" si="15"/>
        <v>0</v>
      </c>
      <c r="Q14" s="61">
        <f t="shared" si="16"/>
        <v>0</v>
      </c>
      <c r="R14" s="61">
        <f t="shared" si="17"/>
        <v>0</v>
      </c>
      <c r="S14" s="62">
        <f t="shared" si="18"/>
        <v>0</v>
      </c>
      <c r="T14" s="63">
        <f t="shared" si="19"/>
        <v>5978.7000000000007</v>
      </c>
      <c r="U14" s="63">
        <f t="shared" si="8"/>
        <v>1883.7</v>
      </c>
      <c r="V14" s="64"/>
      <c r="W14" s="60">
        <v>308</v>
      </c>
      <c r="X14" s="61">
        <v>435</v>
      </c>
      <c r="Y14" s="61">
        <v>221</v>
      </c>
      <c r="Z14" s="61">
        <v>105</v>
      </c>
      <c r="AA14" s="65">
        <v>15</v>
      </c>
      <c r="AB14" s="65">
        <v>145</v>
      </c>
      <c r="AC14" s="66"/>
      <c r="AD14" s="67">
        <f t="shared" si="9"/>
        <v>0.1435228331780056</v>
      </c>
      <c r="AE14" s="67">
        <f t="shared" si="10"/>
        <v>0.20270270270270271</v>
      </c>
      <c r="AF14" s="67">
        <f t="shared" si="11"/>
        <v>0.10298229263746506</v>
      </c>
      <c r="AG14" s="67">
        <f t="shared" si="12"/>
        <v>4.8928238583410999E-2</v>
      </c>
      <c r="AH14" s="67">
        <f t="shared" si="13"/>
        <v>6.9897483690587138E-3</v>
      </c>
      <c r="AI14" s="67">
        <f t="shared" si="14"/>
        <v>6.7567567567567571E-2</v>
      </c>
      <c r="AJ14" s="66"/>
      <c r="AK14" s="68">
        <v>3718.66</v>
      </c>
      <c r="AL14" s="69">
        <v>6245.2299999999923</v>
      </c>
      <c r="AM14" s="69">
        <v>6245.2299999999932</v>
      </c>
      <c r="AN14" s="69">
        <v>4477.1299999999974</v>
      </c>
      <c r="AO14" s="70">
        <v>1741.51999999999</v>
      </c>
      <c r="AP14" s="70">
        <v>5842.09</v>
      </c>
      <c r="AQ14" s="66"/>
      <c r="AR14" s="70" t="s">
        <v>779</v>
      </c>
      <c r="AS14" s="66"/>
      <c r="AT14" s="108">
        <v>0</v>
      </c>
      <c r="AU14" s="109">
        <v>0</v>
      </c>
      <c r="AV14" s="109">
        <v>0</v>
      </c>
      <c r="AW14" s="109">
        <v>0</v>
      </c>
      <c r="AX14" s="110">
        <v>12346.2</v>
      </c>
      <c r="AY14" s="110">
        <v>3908.16</v>
      </c>
    </row>
    <row r="15" spans="1:51" x14ac:dyDescent="0.25">
      <c r="A15" s="8" t="s">
        <v>43</v>
      </c>
      <c r="B15" s="5" t="s">
        <v>44</v>
      </c>
      <c r="C15" s="2">
        <v>40.290000000000006</v>
      </c>
      <c r="D15" s="24">
        <v>400</v>
      </c>
      <c r="E15" s="26">
        <f t="shared" si="6"/>
        <v>200</v>
      </c>
      <c r="F15" s="26">
        <v>92</v>
      </c>
      <c r="G15" s="30">
        <f t="shared" si="7"/>
        <v>2.1739130434782608</v>
      </c>
      <c r="H15" s="11"/>
      <c r="I15" s="9">
        <v>1024</v>
      </c>
      <c r="J15" s="3">
        <v>1112</v>
      </c>
      <c r="K15" s="3">
        <v>0</v>
      </c>
      <c r="L15" s="3">
        <v>0</v>
      </c>
      <c r="M15" s="6">
        <v>645</v>
      </c>
      <c r="N15" s="6">
        <v>608</v>
      </c>
      <c r="O15" s="13"/>
      <c r="P15" s="60">
        <f t="shared" si="15"/>
        <v>41256.960000000006</v>
      </c>
      <c r="Q15" s="61">
        <f t="shared" si="16"/>
        <v>44802.48000000001</v>
      </c>
      <c r="R15" s="61">
        <f t="shared" si="17"/>
        <v>0</v>
      </c>
      <c r="S15" s="62">
        <f t="shared" si="18"/>
        <v>0</v>
      </c>
      <c r="T15" s="63">
        <f t="shared" si="19"/>
        <v>25987.050000000003</v>
      </c>
      <c r="U15" s="63">
        <f t="shared" si="8"/>
        <v>24496.320000000003</v>
      </c>
      <c r="V15" s="64"/>
      <c r="W15" s="60">
        <v>63</v>
      </c>
      <c r="X15" s="61">
        <v>60</v>
      </c>
      <c r="Y15" s="61">
        <v>65</v>
      </c>
      <c r="Z15" s="61">
        <v>122</v>
      </c>
      <c r="AA15" s="65">
        <v>66</v>
      </c>
      <c r="AB15" s="65">
        <v>75</v>
      </c>
      <c r="AC15" s="66"/>
      <c r="AD15" s="67">
        <f t="shared" si="9"/>
        <v>0.68478260869565222</v>
      </c>
      <c r="AE15" s="67">
        <f t="shared" si="10"/>
        <v>0.65217391304347827</v>
      </c>
      <c r="AF15" s="67">
        <f t="shared" si="11"/>
        <v>0.70652173913043481</v>
      </c>
      <c r="AG15" s="67">
        <f t="shared" si="12"/>
        <v>1.326086956521739</v>
      </c>
      <c r="AH15" s="67">
        <f t="shared" si="13"/>
        <v>0.71739130434782605</v>
      </c>
      <c r="AI15" s="67">
        <f t="shared" si="14"/>
        <v>0.81521739130434778</v>
      </c>
      <c r="AJ15" s="66"/>
      <c r="AK15" s="68">
        <v>1464.07</v>
      </c>
      <c r="AL15" s="69">
        <v>1787.9499999999996</v>
      </c>
      <c r="AM15" s="69">
        <v>1787.9499999999991</v>
      </c>
      <c r="AN15" s="69">
        <v>1800.0799999999995</v>
      </c>
      <c r="AO15" s="70">
        <v>3857.2599999999902</v>
      </c>
      <c r="AP15" s="70">
        <v>2025.75999999999</v>
      </c>
      <c r="AQ15" s="66"/>
      <c r="AR15" s="70" t="s">
        <v>779</v>
      </c>
      <c r="AS15" s="66"/>
      <c r="AT15" s="108">
        <v>30064.629999999997</v>
      </c>
      <c r="AU15" s="109">
        <v>33037.459999999992</v>
      </c>
      <c r="AV15" s="109">
        <v>0</v>
      </c>
      <c r="AW15" s="109">
        <v>0</v>
      </c>
      <c r="AX15" s="110">
        <v>18190.47</v>
      </c>
      <c r="AY15" s="110">
        <v>17696.099999999999</v>
      </c>
    </row>
    <row r="16" spans="1:51" x14ac:dyDescent="0.25">
      <c r="A16" s="8" t="s">
        <v>277</v>
      </c>
      <c r="B16" s="5" t="s">
        <v>278</v>
      </c>
      <c r="C16" s="2">
        <v>37.900000000000006</v>
      </c>
      <c r="D16" s="24">
        <v>2000</v>
      </c>
      <c r="E16" s="26">
        <f t="shared" si="6"/>
        <v>1000</v>
      </c>
      <c r="F16" s="26">
        <v>3833</v>
      </c>
      <c r="G16" s="30">
        <f t="shared" si="7"/>
        <v>0.26089225150013046</v>
      </c>
      <c r="H16" s="11"/>
      <c r="I16" s="9">
        <v>0</v>
      </c>
      <c r="J16" s="3">
        <v>0</v>
      </c>
      <c r="K16" s="3">
        <v>32</v>
      </c>
      <c r="L16" s="3">
        <v>0</v>
      </c>
      <c r="M16" s="6">
        <v>116</v>
      </c>
      <c r="N16" s="6">
        <v>0</v>
      </c>
      <c r="O16" s="13"/>
      <c r="P16" s="60">
        <f t="shared" si="15"/>
        <v>0</v>
      </c>
      <c r="Q16" s="61">
        <f t="shared" si="16"/>
        <v>0</v>
      </c>
      <c r="R16" s="61">
        <f t="shared" si="17"/>
        <v>1212.8000000000002</v>
      </c>
      <c r="S16" s="62">
        <f t="shared" si="18"/>
        <v>0</v>
      </c>
      <c r="T16" s="63">
        <f t="shared" si="19"/>
        <v>4396.4000000000005</v>
      </c>
      <c r="U16" s="63">
        <f t="shared" si="8"/>
        <v>0</v>
      </c>
      <c r="V16" s="64"/>
      <c r="W16" s="60">
        <v>599</v>
      </c>
      <c r="X16" s="61">
        <v>406</v>
      </c>
      <c r="Y16" s="61">
        <v>40</v>
      </c>
      <c r="Z16" s="61">
        <v>149</v>
      </c>
      <c r="AA16" s="65">
        <v>51</v>
      </c>
      <c r="AB16" s="65">
        <v>50</v>
      </c>
      <c r="AC16" s="66"/>
      <c r="AD16" s="67">
        <f t="shared" si="9"/>
        <v>0.15627445864857814</v>
      </c>
      <c r="AE16" s="67">
        <f t="shared" si="10"/>
        <v>0.10592225410905295</v>
      </c>
      <c r="AF16" s="67">
        <f t="shared" si="11"/>
        <v>1.0435690060005217E-2</v>
      </c>
      <c r="AG16" s="67">
        <f t="shared" si="12"/>
        <v>3.8872945473519438E-2</v>
      </c>
      <c r="AH16" s="67">
        <f t="shared" si="13"/>
        <v>1.3305504826506652E-2</v>
      </c>
      <c r="AI16" s="67">
        <f t="shared" si="14"/>
        <v>1.3044612575006522E-2</v>
      </c>
      <c r="AJ16" s="66"/>
      <c r="AK16" s="68">
        <v>4975.8600000000042</v>
      </c>
      <c r="AL16" s="69">
        <v>4622.4199999999983</v>
      </c>
      <c r="AM16" s="69">
        <v>4622.4199999999983</v>
      </c>
      <c r="AN16" s="69">
        <v>403.06</v>
      </c>
      <c r="AO16" s="70">
        <v>3183.84</v>
      </c>
      <c r="AP16" s="70">
        <v>895</v>
      </c>
      <c r="AQ16" s="66"/>
      <c r="AR16" s="70" t="s">
        <v>779</v>
      </c>
      <c r="AS16" s="66"/>
      <c r="AT16" s="108">
        <v>0</v>
      </c>
      <c r="AU16" s="109">
        <v>0</v>
      </c>
      <c r="AV16" s="109">
        <v>2480.96</v>
      </c>
      <c r="AW16" s="109">
        <v>0</v>
      </c>
      <c r="AX16" s="110">
        <v>10396.99</v>
      </c>
      <c r="AY16" s="110">
        <v>0</v>
      </c>
    </row>
    <row r="17" spans="1:51" x14ac:dyDescent="0.25">
      <c r="A17" s="8" t="s">
        <v>10</v>
      </c>
      <c r="B17" s="5" t="s">
        <v>11</v>
      </c>
      <c r="C17" s="2">
        <v>34.480000000000004</v>
      </c>
      <c r="D17" s="24">
        <v>400</v>
      </c>
      <c r="E17" s="26">
        <f t="shared" si="6"/>
        <v>200</v>
      </c>
      <c r="F17" s="26">
        <v>678</v>
      </c>
      <c r="G17" s="30">
        <f t="shared" si="7"/>
        <v>0.29498525073746312</v>
      </c>
      <c r="H17" s="11"/>
      <c r="I17" s="9">
        <v>31</v>
      </c>
      <c r="J17" s="3">
        <v>0</v>
      </c>
      <c r="K17" s="3">
        <v>0</v>
      </c>
      <c r="L17" s="3">
        <v>0</v>
      </c>
      <c r="M17" s="6"/>
      <c r="N17" s="6">
        <v>0</v>
      </c>
      <c r="O17" s="13"/>
      <c r="P17" s="60">
        <f t="shared" si="15"/>
        <v>1068.8800000000001</v>
      </c>
      <c r="Q17" s="61">
        <f t="shared" si="16"/>
        <v>0</v>
      </c>
      <c r="R17" s="61">
        <f t="shared" si="17"/>
        <v>0</v>
      </c>
      <c r="S17" s="62">
        <f t="shared" si="18"/>
        <v>0</v>
      </c>
      <c r="T17" s="63">
        <f t="shared" si="19"/>
        <v>0</v>
      </c>
      <c r="U17" s="63">
        <f t="shared" si="8"/>
        <v>0</v>
      </c>
      <c r="V17" s="64"/>
      <c r="W17" s="60">
        <v>89</v>
      </c>
      <c r="X17" s="61">
        <v>133</v>
      </c>
      <c r="Y17" s="61">
        <v>105</v>
      </c>
      <c r="Z17" s="61">
        <v>69</v>
      </c>
      <c r="AA17" s="65">
        <v>16</v>
      </c>
      <c r="AB17" s="65">
        <v>15</v>
      </c>
      <c r="AC17" s="66"/>
      <c r="AD17" s="67">
        <f t="shared" si="9"/>
        <v>0.13126843657817108</v>
      </c>
      <c r="AE17" s="67">
        <f t="shared" si="10"/>
        <v>0.19616519174041297</v>
      </c>
      <c r="AF17" s="67">
        <f t="shared" si="11"/>
        <v>0.15486725663716813</v>
      </c>
      <c r="AG17" s="67">
        <f t="shared" si="12"/>
        <v>0.10176991150442478</v>
      </c>
      <c r="AH17" s="67">
        <f t="shared" si="13"/>
        <v>2.359882005899705E-2</v>
      </c>
      <c r="AI17" s="67">
        <f t="shared" si="14"/>
        <v>2.2123893805309734E-2</v>
      </c>
      <c r="AJ17" s="66"/>
      <c r="AK17" s="68">
        <v>2252</v>
      </c>
      <c r="AL17" s="69">
        <v>3424.5599999999954</v>
      </c>
      <c r="AM17" s="69">
        <v>3424.5599999999949</v>
      </c>
      <c r="AN17" s="69">
        <v>2449.5099999999998</v>
      </c>
      <c r="AO17" s="70">
        <v>1602.66</v>
      </c>
      <c r="AP17" s="70">
        <v>477.99999999999898</v>
      </c>
      <c r="AQ17" s="66"/>
      <c r="AR17" s="70" t="s">
        <v>779</v>
      </c>
      <c r="AS17" s="66"/>
      <c r="AT17" s="108">
        <v>0</v>
      </c>
      <c r="AU17" s="109">
        <v>0</v>
      </c>
      <c r="AV17" s="109">
        <v>0</v>
      </c>
      <c r="AW17" s="109">
        <v>0</v>
      </c>
      <c r="AX17" s="110">
        <v>0</v>
      </c>
      <c r="AY17" s="110">
        <v>0</v>
      </c>
    </row>
    <row r="18" spans="1:51" x14ac:dyDescent="0.25">
      <c r="A18" s="8" t="s">
        <v>169</v>
      </c>
      <c r="B18" s="5" t="s">
        <v>170</v>
      </c>
      <c r="C18" s="2">
        <v>34.019999999999996</v>
      </c>
      <c r="D18" s="24">
        <v>700</v>
      </c>
      <c r="E18" s="26">
        <f t="shared" si="6"/>
        <v>350</v>
      </c>
      <c r="F18" s="26">
        <v>2856</v>
      </c>
      <c r="G18" s="30">
        <f t="shared" si="7"/>
        <v>0.12254901960784313</v>
      </c>
      <c r="H18" s="11"/>
      <c r="I18" s="9">
        <v>118.18181818181817</v>
      </c>
      <c r="J18" s="3">
        <v>164.39393939393938</v>
      </c>
      <c r="K18" s="3">
        <v>704.75757575757564</v>
      </c>
      <c r="L18" s="3">
        <v>987.87878787878788</v>
      </c>
      <c r="M18" s="6">
        <v>435.24242424242425</v>
      </c>
      <c r="N18" s="6">
        <v>504</v>
      </c>
      <c r="O18" s="13"/>
      <c r="P18" s="60">
        <f t="shared" si="15"/>
        <v>4020.5454545454536</v>
      </c>
      <c r="Q18" s="61">
        <f t="shared" si="16"/>
        <v>5592.6818181818171</v>
      </c>
      <c r="R18" s="61">
        <f t="shared" si="17"/>
        <v>23975.852727272719</v>
      </c>
      <c r="S18" s="62">
        <f t="shared" si="18"/>
        <v>33607.63636363636</v>
      </c>
      <c r="T18" s="63">
        <f t="shared" si="19"/>
        <v>14806.947272727271</v>
      </c>
      <c r="U18" s="63">
        <f t="shared" si="8"/>
        <v>17146.079999999998</v>
      </c>
      <c r="V18" s="64"/>
      <c r="W18" s="60">
        <v>290</v>
      </c>
      <c r="X18" s="61">
        <v>116</v>
      </c>
      <c r="Y18" s="61">
        <v>164</v>
      </c>
      <c r="Z18" s="61">
        <v>478</v>
      </c>
      <c r="AA18" s="65">
        <v>429</v>
      </c>
      <c r="AB18" s="65">
        <v>1024</v>
      </c>
      <c r="AC18" s="66"/>
      <c r="AD18" s="67">
        <f t="shared" si="9"/>
        <v>0.1015406162464986</v>
      </c>
      <c r="AE18" s="67">
        <f t="shared" si="10"/>
        <v>4.0616246498599441E-2</v>
      </c>
      <c r="AF18" s="67">
        <f t="shared" si="11"/>
        <v>5.7422969187675067E-2</v>
      </c>
      <c r="AG18" s="67">
        <f t="shared" si="12"/>
        <v>0.16736694677871147</v>
      </c>
      <c r="AH18" s="67">
        <f t="shared" si="13"/>
        <v>0.15021008403361344</v>
      </c>
      <c r="AI18" s="67">
        <f t="shared" si="14"/>
        <v>0.35854341736694678</v>
      </c>
      <c r="AJ18" s="66"/>
      <c r="AK18" s="68">
        <v>4936.5999999999967</v>
      </c>
      <c r="AL18" s="69">
        <v>1652.6999999999889</v>
      </c>
      <c r="AM18" s="69">
        <v>1652.6999999999891</v>
      </c>
      <c r="AN18" s="69">
        <v>8153.84</v>
      </c>
      <c r="AO18" s="70">
        <v>17989.07</v>
      </c>
      <c r="AP18" s="70">
        <v>34686.769999999902</v>
      </c>
      <c r="AQ18" s="66"/>
      <c r="AR18" s="70" t="s">
        <v>779</v>
      </c>
      <c r="AS18" s="66"/>
      <c r="AT18" s="108">
        <v>8697.39</v>
      </c>
      <c r="AU18" s="109">
        <v>12105.81</v>
      </c>
      <c r="AV18" s="109">
        <v>51826.549999999996</v>
      </c>
      <c r="AW18" s="109">
        <v>69767.100000000006</v>
      </c>
      <c r="AX18" s="110">
        <v>31619.040000000001</v>
      </c>
      <c r="AY18" s="110">
        <v>34528.33</v>
      </c>
    </row>
    <row r="19" spans="1:51" x14ac:dyDescent="0.25">
      <c r="A19" s="8">
        <v>5205</v>
      </c>
      <c r="B19" s="5" t="s">
        <v>830</v>
      </c>
      <c r="C19" s="2">
        <v>32.993197278911566</v>
      </c>
      <c r="D19" s="24">
        <v>400</v>
      </c>
      <c r="E19" s="26">
        <f t="shared" si="6"/>
        <v>200</v>
      </c>
      <c r="F19" s="26">
        <v>1004</v>
      </c>
      <c r="G19" s="30">
        <f t="shared" si="7"/>
        <v>0.19920318725099601</v>
      </c>
      <c r="H19" s="11"/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6">
        <v>430</v>
      </c>
      <c r="O19" s="13"/>
      <c r="P19" s="60"/>
      <c r="Q19" s="61"/>
      <c r="R19" s="61"/>
      <c r="S19" s="62"/>
      <c r="T19" s="63"/>
      <c r="U19" s="63">
        <f t="shared" si="8"/>
        <v>14187.074829931973</v>
      </c>
      <c r="V19" s="64"/>
      <c r="W19" s="60"/>
      <c r="X19" s="61"/>
      <c r="Y19" s="61"/>
      <c r="Z19" s="61"/>
      <c r="AA19" s="65"/>
      <c r="AB19" s="65"/>
      <c r="AC19" s="66"/>
      <c r="AD19" s="67">
        <f t="shared" si="9"/>
        <v>0</v>
      </c>
      <c r="AE19" s="67">
        <f t="shared" si="10"/>
        <v>0</v>
      </c>
      <c r="AF19" s="67">
        <f t="shared" si="11"/>
        <v>0</v>
      </c>
      <c r="AG19" s="67">
        <f t="shared" si="12"/>
        <v>0</v>
      </c>
      <c r="AH19" s="67">
        <f t="shared" si="13"/>
        <v>0</v>
      </c>
      <c r="AI19" s="67">
        <f t="shared" si="14"/>
        <v>0</v>
      </c>
      <c r="AJ19" s="66"/>
      <c r="AK19" s="68"/>
      <c r="AL19" s="69"/>
      <c r="AM19" s="69"/>
      <c r="AN19" s="69"/>
      <c r="AO19" s="70"/>
      <c r="AP19" s="70"/>
      <c r="AQ19" s="66"/>
      <c r="AR19" s="70" t="s">
        <v>779</v>
      </c>
      <c r="AS19" s="66"/>
      <c r="AT19" s="108">
        <v>0</v>
      </c>
      <c r="AU19" s="109">
        <v>0</v>
      </c>
      <c r="AV19" s="109">
        <v>0</v>
      </c>
      <c r="AW19" s="109">
        <v>1637</v>
      </c>
      <c r="AX19" s="110">
        <v>1677.5</v>
      </c>
      <c r="AY19" s="110">
        <v>7612.3</v>
      </c>
    </row>
    <row r="20" spans="1:51" x14ac:dyDescent="0.25">
      <c r="A20" s="8" t="s">
        <v>193</v>
      </c>
      <c r="B20" s="5" t="s">
        <v>194</v>
      </c>
      <c r="C20" s="2">
        <v>32.950000000000003</v>
      </c>
      <c r="D20" s="24">
        <v>500</v>
      </c>
      <c r="E20" s="26">
        <f t="shared" si="6"/>
        <v>250</v>
      </c>
      <c r="F20" s="26">
        <v>1500</v>
      </c>
      <c r="G20" s="30">
        <f t="shared" si="7"/>
        <v>0.16666666666666666</v>
      </c>
      <c r="H20" s="11"/>
      <c r="I20" s="9">
        <v>0</v>
      </c>
      <c r="J20" s="3">
        <v>0</v>
      </c>
      <c r="K20" s="3">
        <v>98</v>
      </c>
      <c r="L20" s="3">
        <v>86</v>
      </c>
      <c r="M20" s="6">
        <v>557</v>
      </c>
      <c r="N20" s="6">
        <v>616</v>
      </c>
      <c r="O20" s="13"/>
      <c r="P20" s="60">
        <f>+I20*C20</f>
        <v>0</v>
      </c>
      <c r="Q20" s="61">
        <f>+J20*C20</f>
        <v>0</v>
      </c>
      <c r="R20" s="61">
        <f>+K20*C20</f>
        <v>3229.1000000000004</v>
      </c>
      <c r="S20" s="62">
        <f>+L20*C20</f>
        <v>2833.7000000000003</v>
      </c>
      <c r="T20" s="63">
        <f>+M20*C20</f>
        <v>18353.150000000001</v>
      </c>
      <c r="U20" s="63">
        <f t="shared" si="8"/>
        <v>20297.2</v>
      </c>
      <c r="V20" s="64"/>
      <c r="W20" s="60">
        <v>0</v>
      </c>
      <c r="X20" s="61">
        <v>0</v>
      </c>
      <c r="Y20" s="61">
        <v>0</v>
      </c>
      <c r="Z20" s="61">
        <v>75</v>
      </c>
      <c r="AA20" s="65">
        <v>103</v>
      </c>
      <c r="AB20" s="65">
        <v>506</v>
      </c>
      <c r="AC20" s="66"/>
      <c r="AD20" s="67">
        <f t="shared" si="9"/>
        <v>0</v>
      </c>
      <c r="AE20" s="67">
        <f t="shared" si="10"/>
        <v>0</v>
      </c>
      <c r="AF20" s="67">
        <f t="shared" si="11"/>
        <v>0</v>
      </c>
      <c r="AG20" s="67">
        <f t="shared" si="12"/>
        <v>0.05</v>
      </c>
      <c r="AH20" s="67">
        <f t="shared" si="13"/>
        <v>6.8666666666666668E-2</v>
      </c>
      <c r="AI20" s="67">
        <f t="shared" si="14"/>
        <v>0.33733333333333332</v>
      </c>
      <c r="AJ20" s="66"/>
      <c r="AK20" s="68">
        <v>0</v>
      </c>
      <c r="AL20" s="69">
        <v>0</v>
      </c>
      <c r="AM20" s="69">
        <v>0</v>
      </c>
      <c r="AN20" s="69">
        <v>2471.25</v>
      </c>
      <c r="AO20" s="70">
        <v>2588.4899999999998</v>
      </c>
      <c r="AP20" s="70">
        <v>15132.7</v>
      </c>
      <c r="AQ20" s="66"/>
      <c r="AR20" s="70" t="s">
        <v>779</v>
      </c>
      <c r="AS20" s="66"/>
      <c r="AT20" s="108">
        <v>0</v>
      </c>
      <c r="AU20" s="109">
        <v>0</v>
      </c>
      <c r="AV20" s="109">
        <v>7586.9600000000009</v>
      </c>
      <c r="AW20" s="109">
        <v>6963.42</v>
      </c>
      <c r="AX20" s="110">
        <v>44039.81</v>
      </c>
      <c r="AY20" s="110">
        <v>48183.76</v>
      </c>
    </row>
    <row r="21" spans="1:51" x14ac:dyDescent="0.25">
      <c r="A21" s="8" t="s">
        <v>805</v>
      </c>
      <c r="B21" s="5" t="s">
        <v>848</v>
      </c>
      <c r="C21" s="2">
        <v>28.834747583243821</v>
      </c>
      <c r="D21" s="24">
        <v>300</v>
      </c>
      <c r="E21" s="26">
        <f t="shared" si="6"/>
        <v>150</v>
      </c>
      <c r="F21" s="26">
        <v>1769</v>
      </c>
      <c r="G21" s="30">
        <f t="shared" si="7"/>
        <v>8.4793668739400793E-2</v>
      </c>
      <c r="H21" s="11"/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6">
        <v>50</v>
      </c>
      <c r="O21" s="13"/>
      <c r="P21" s="60"/>
      <c r="Q21" s="61"/>
      <c r="R21" s="61"/>
      <c r="S21" s="62"/>
      <c r="T21" s="63"/>
      <c r="U21" s="63">
        <f t="shared" si="8"/>
        <v>1441.737379162191</v>
      </c>
      <c r="V21" s="64"/>
      <c r="W21" s="60"/>
      <c r="X21" s="61"/>
      <c r="Y21" s="61"/>
      <c r="Z21" s="61"/>
      <c r="AA21" s="65"/>
      <c r="AB21" s="65"/>
      <c r="AC21" s="66"/>
      <c r="AD21" s="67">
        <f t="shared" si="9"/>
        <v>0</v>
      </c>
      <c r="AE21" s="67">
        <f t="shared" si="10"/>
        <v>0</v>
      </c>
      <c r="AF21" s="67">
        <f t="shared" si="11"/>
        <v>0</v>
      </c>
      <c r="AG21" s="67">
        <f t="shared" si="12"/>
        <v>0</v>
      </c>
      <c r="AH21" s="67">
        <f t="shared" si="13"/>
        <v>0</v>
      </c>
      <c r="AI21" s="67">
        <f t="shared" si="14"/>
        <v>0</v>
      </c>
      <c r="AJ21" s="66"/>
      <c r="AK21" s="68"/>
      <c r="AL21" s="69"/>
      <c r="AM21" s="69"/>
      <c r="AN21" s="69"/>
      <c r="AO21" s="70"/>
      <c r="AP21" s="70"/>
      <c r="AQ21" s="66"/>
      <c r="AR21" s="70" t="s">
        <v>779</v>
      </c>
      <c r="AS21" s="66"/>
      <c r="AT21" s="108">
        <v>0</v>
      </c>
      <c r="AU21" s="109">
        <v>0</v>
      </c>
      <c r="AV21" s="109">
        <v>0</v>
      </c>
      <c r="AW21" s="109">
        <v>0</v>
      </c>
      <c r="AX21" s="110">
        <v>0</v>
      </c>
      <c r="AY21" s="110">
        <v>660</v>
      </c>
    </row>
    <row r="22" spans="1:51" x14ac:dyDescent="0.25">
      <c r="A22" s="8" t="s">
        <v>191</v>
      </c>
      <c r="B22" s="5" t="s">
        <v>192</v>
      </c>
      <c r="C22" s="2">
        <v>25.830000000000005</v>
      </c>
      <c r="D22" s="24">
        <v>200</v>
      </c>
      <c r="E22" s="26">
        <f t="shared" si="6"/>
        <v>100</v>
      </c>
      <c r="F22" s="26">
        <v>279</v>
      </c>
      <c r="G22" s="30">
        <f t="shared" si="7"/>
        <v>0.35842293906810035</v>
      </c>
      <c r="H22" s="11"/>
      <c r="I22" s="9">
        <v>0</v>
      </c>
      <c r="J22" s="3">
        <v>0</v>
      </c>
      <c r="K22" s="3">
        <v>0</v>
      </c>
      <c r="L22" s="3">
        <v>0</v>
      </c>
      <c r="M22" s="6"/>
      <c r="N22" s="6">
        <v>0</v>
      </c>
      <c r="O22" s="13"/>
      <c r="P22" s="60">
        <f t="shared" ref="P22:P44" si="20">+I22*C22</f>
        <v>0</v>
      </c>
      <c r="Q22" s="61">
        <f t="shared" ref="Q22:Q44" si="21">+J22*C22</f>
        <v>0</v>
      </c>
      <c r="R22" s="61">
        <f t="shared" ref="R22:R44" si="22">+K22*C22</f>
        <v>0</v>
      </c>
      <c r="S22" s="62">
        <f t="shared" ref="S22:S44" si="23">+L22*C22</f>
        <v>0</v>
      </c>
      <c r="T22" s="63">
        <f t="shared" ref="T22:T44" si="24">+M22*C22</f>
        <v>0</v>
      </c>
      <c r="U22" s="63">
        <f t="shared" si="8"/>
        <v>0</v>
      </c>
      <c r="V22" s="64"/>
      <c r="W22" s="60">
        <v>62</v>
      </c>
      <c r="X22" s="61">
        <v>140</v>
      </c>
      <c r="Y22" s="61">
        <v>59</v>
      </c>
      <c r="Z22" s="61">
        <v>38</v>
      </c>
      <c r="AA22" s="65">
        <v>64</v>
      </c>
      <c r="AB22" s="65">
        <v>34</v>
      </c>
      <c r="AC22" s="66"/>
      <c r="AD22" s="67">
        <f t="shared" si="9"/>
        <v>0.22222222222222221</v>
      </c>
      <c r="AE22" s="67">
        <f t="shared" si="10"/>
        <v>0.50179211469534046</v>
      </c>
      <c r="AF22" s="67">
        <f t="shared" si="11"/>
        <v>0.21146953405017921</v>
      </c>
      <c r="AG22" s="67">
        <f t="shared" si="12"/>
        <v>0.13620071684587814</v>
      </c>
      <c r="AH22" s="67">
        <f t="shared" si="13"/>
        <v>0.22939068100358423</v>
      </c>
      <c r="AI22" s="67">
        <f t="shared" si="14"/>
        <v>0.12186379928315412</v>
      </c>
      <c r="AJ22" s="66"/>
      <c r="AK22" s="68">
        <v>2478.86</v>
      </c>
      <c r="AL22" s="69">
        <v>3503.1499999999965</v>
      </c>
      <c r="AM22" s="69">
        <v>3503.1499999999969</v>
      </c>
      <c r="AN22" s="69">
        <v>1968.2099999999982</v>
      </c>
      <c r="AO22" s="70">
        <v>1284.83</v>
      </c>
      <c r="AP22" s="70">
        <v>902.54</v>
      </c>
      <c r="AQ22" s="66"/>
      <c r="AR22" s="70" t="s">
        <v>779</v>
      </c>
      <c r="AS22" s="66"/>
      <c r="AT22" s="108">
        <v>0</v>
      </c>
      <c r="AU22" s="109">
        <v>0</v>
      </c>
      <c r="AV22" s="109">
        <v>0</v>
      </c>
      <c r="AW22" s="109">
        <v>0</v>
      </c>
      <c r="AX22" s="110">
        <v>0</v>
      </c>
      <c r="AY22" s="110">
        <v>0</v>
      </c>
    </row>
    <row r="23" spans="1:51" x14ac:dyDescent="0.25">
      <c r="A23" s="8" t="s">
        <v>36</v>
      </c>
      <c r="B23" s="5" t="s">
        <v>37</v>
      </c>
      <c r="C23" s="2">
        <v>25.580000000000002</v>
      </c>
      <c r="D23" s="24">
        <v>240</v>
      </c>
      <c r="E23" s="26">
        <f t="shared" si="6"/>
        <v>120</v>
      </c>
      <c r="F23" s="26">
        <v>1315</v>
      </c>
      <c r="G23" s="30">
        <f t="shared" si="7"/>
        <v>9.125475285171103E-2</v>
      </c>
      <c r="H23" s="11"/>
      <c r="I23" s="9">
        <v>149</v>
      </c>
      <c r="J23" s="3">
        <v>0</v>
      </c>
      <c r="K23" s="3">
        <v>224</v>
      </c>
      <c r="L23" s="3">
        <v>161</v>
      </c>
      <c r="M23" s="6"/>
      <c r="N23" s="6">
        <v>0</v>
      </c>
      <c r="O23" s="13"/>
      <c r="P23" s="60">
        <f t="shared" si="20"/>
        <v>3811.42</v>
      </c>
      <c r="Q23" s="61">
        <f t="shared" si="21"/>
        <v>0</v>
      </c>
      <c r="R23" s="61">
        <f t="shared" si="22"/>
        <v>5729.92</v>
      </c>
      <c r="S23" s="62">
        <f t="shared" si="23"/>
        <v>4118.38</v>
      </c>
      <c r="T23" s="63">
        <f t="shared" si="24"/>
        <v>0</v>
      </c>
      <c r="U23" s="63">
        <f t="shared" si="8"/>
        <v>0</v>
      </c>
      <c r="V23" s="64"/>
      <c r="W23" s="60">
        <v>0</v>
      </c>
      <c r="X23" s="61">
        <v>4</v>
      </c>
      <c r="Y23" s="61">
        <v>6</v>
      </c>
      <c r="Z23" s="61">
        <v>0</v>
      </c>
      <c r="AA23" s="65">
        <v>0</v>
      </c>
      <c r="AB23" s="65">
        <v>0</v>
      </c>
      <c r="AC23" s="66"/>
      <c r="AD23" s="67">
        <f t="shared" si="9"/>
        <v>0</v>
      </c>
      <c r="AE23" s="67">
        <f t="shared" si="10"/>
        <v>3.041825095057034E-3</v>
      </c>
      <c r="AF23" s="67">
        <f t="shared" si="11"/>
        <v>4.5627376425855515E-3</v>
      </c>
      <c r="AG23" s="67">
        <f t="shared" si="12"/>
        <v>0</v>
      </c>
      <c r="AH23" s="67">
        <f t="shared" si="13"/>
        <v>0</v>
      </c>
      <c r="AI23" s="67">
        <f t="shared" si="14"/>
        <v>0</v>
      </c>
      <c r="AJ23" s="66"/>
      <c r="AK23" s="68">
        <v>0</v>
      </c>
      <c r="AL23" s="69">
        <v>116.9</v>
      </c>
      <c r="AM23" s="69">
        <v>116.9</v>
      </c>
      <c r="AN23" s="69">
        <v>210</v>
      </c>
      <c r="AO23" s="70">
        <v>0</v>
      </c>
      <c r="AP23" s="70">
        <v>0</v>
      </c>
      <c r="AQ23" s="66"/>
      <c r="AR23" s="70" t="s">
        <v>779</v>
      </c>
      <c r="AS23" s="66"/>
      <c r="AT23" s="108">
        <v>2506.0299999999997</v>
      </c>
      <c r="AU23" s="109">
        <v>0</v>
      </c>
      <c r="AV23" s="109">
        <v>3751.36</v>
      </c>
      <c r="AW23" s="109">
        <v>2688.9</v>
      </c>
      <c r="AX23" s="110">
        <v>0</v>
      </c>
      <c r="AY23" s="110">
        <v>0</v>
      </c>
    </row>
    <row r="24" spans="1:51" x14ac:dyDescent="0.25">
      <c r="A24" s="8" t="s">
        <v>60</v>
      </c>
      <c r="B24" s="5" t="s">
        <v>61</v>
      </c>
      <c r="C24" s="2">
        <v>25.509999999999998</v>
      </c>
      <c r="D24" s="24">
        <v>2000</v>
      </c>
      <c r="E24" s="26">
        <f t="shared" si="6"/>
        <v>1000</v>
      </c>
      <c r="F24" s="26">
        <v>45807</v>
      </c>
      <c r="G24" s="30">
        <f t="shared" si="7"/>
        <v>2.1830724561748203E-2</v>
      </c>
      <c r="H24" s="11"/>
      <c r="I24" s="9">
        <v>0</v>
      </c>
      <c r="J24" s="3">
        <v>0</v>
      </c>
      <c r="K24" s="3">
        <v>999</v>
      </c>
      <c r="L24" s="3">
        <v>1040</v>
      </c>
      <c r="M24" s="6">
        <v>820</v>
      </c>
      <c r="N24" s="6">
        <v>1620</v>
      </c>
      <c r="O24" s="13"/>
      <c r="P24" s="60">
        <f t="shared" si="20"/>
        <v>0</v>
      </c>
      <c r="Q24" s="61">
        <f t="shared" si="21"/>
        <v>0</v>
      </c>
      <c r="R24" s="61">
        <f t="shared" si="22"/>
        <v>25484.489999999998</v>
      </c>
      <c r="S24" s="62">
        <f t="shared" si="23"/>
        <v>26530.399999999998</v>
      </c>
      <c r="T24" s="63">
        <f t="shared" si="24"/>
        <v>20918.199999999997</v>
      </c>
      <c r="U24" s="63">
        <f t="shared" si="8"/>
        <v>41326.199999999997</v>
      </c>
      <c r="V24" s="64"/>
      <c r="W24" s="60">
        <v>9</v>
      </c>
      <c r="X24" s="61">
        <v>0</v>
      </c>
      <c r="Y24" s="61">
        <v>0</v>
      </c>
      <c r="Z24" s="61">
        <v>683</v>
      </c>
      <c r="AA24" s="65">
        <v>830</v>
      </c>
      <c r="AB24" s="65">
        <v>1339</v>
      </c>
      <c r="AC24" s="66"/>
      <c r="AD24" s="67">
        <f t="shared" si="9"/>
        <v>1.9647652105573383E-4</v>
      </c>
      <c r="AE24" s="67">
        <f t="shared" si="10"/>
        <v>0</v>
      </c>
      <c r="AF24" s="67">
        <f t="shared" si="11"/>
        <v>0</v>
      </c>
      <c r="AG24" s="67">
        <f t="shared" si="12"/>
        <v>1.4910384875674023E-2</v>
      </c>
      <c r="AH24" s="67">
        <f t="shared" si="13"/>
        <v>1.811950138625101E-2</v>
      </c>
      <c r="AI24" s="67">
        <f t="shared" si="14"/>
        <v>2.9231340188180847E-2</v>
      </c>
      <c r="AJ24" s="66"/>
      <c r="AK24" s="68">
        <v>224.64</v>
      </c>
      <c r="AL24" s="69">
        <v>1.5899999999999901</v>
      </c>
      <c r="AM24" s="69">
        <v>1.5899999999999901</v>
      </c>
      <c r="AN24" s="69">
        <v>17423.329999999998</v>
      </c>
      <c r="AO24" s="70">
        <v>17212.999999999902</v>
      </c>
      <c r="AP24" s="70">
        <v>32944.949999999997</v>
      </c>
      <c r="AQ24" s="66"/>
      <c r="AR24" s="70" t="s">
        <v>779</v>
      </c>
      <c r="AS24" s="66"/>
      <c r="AT24" s="108">
        <v>0</v>
      </c>
      <c r="AU24" s="109">
        <v>0</v>
      </c>
      <c r="AV24" s="109">
        <v>22097.88</v>
      </c>
      <c r="AW24" s="109">
        <v>23193.8</v>
      </c>
      <c r="AX24" s="110">
        <v>18240.599999999999</v>
      </c>
      <c r="AY24" s="110">
        <v>31553.8</v>
      </c>
    </row>
    <row r="25" spans="1:51" x14ac:dyDescent="0.25">
      <c r="A25" s="8">
        <v>5029</v>
      </c>
      <c r="B25" s="5" t="s">
        <v>14</v>
      </c>
      <c r="C25" s="2">
        <v>25.25</v>
      </c>
      <c r="D25" s="24">
        <v>1500</v>
      </c>
      <c r="E25" s="26">
        <f t="shared" si="6"/>
        <v>750</v>
      </c>
      <c r="F25" s="26">
        <v>2564</v>
      </c>
      <c r="G25" s="30">
        <f t="shared" si="7"/>
        <v>0.29251170046801872</v>
      </c>
      <c r="H25" s="11"/>
      <c r="I25" s="9">
        <v>0</v>
      </c>
      <c r="J25" s="3">
        <v>0</v>
      </c>
      <c r="K25" s="3">
        <v>0</v>
      </c>
      <c r="L25" s="3">
        <v>60</v>
      </c>
      <c r="M25" s="6"/>
      <c r="N25" s="6">
        <v>230</v>
      </c>
      <c r="O25" s="13"/>
      <c r="P25" s="60">
        <f t="shared" si="20"/>
        <v>0</v>
      </c>
      <c r="Q25" s="61">
        <f t="shared" si="21"/>
        <v>0</v>
      </c>
      <c r="R25" s="61">
        <f t="shared" si="22"/>
        <v>0</v>
      </c>
      <c r="S25" s="62">
        <f t="shared" si="23"/>
        <v>1515</v>
      </c>
      <c r="T25" s="63">
        <f t="shared" si="24"/>
        <v>0</v>
      </c>
      <c r="U25" s="63">
        <f t="shared" si="8"/>
        <v>5807.5</v>
      </c>
      <c r="V25" s="64"/>
      <c r="W25" s="60">
        <v>0</v>
      </c>
      <c r="X25" s="61">
        <v>0</v>
      </c>
      <c r="Y25" s="61">
        <v>0</v>
      </c>
      <c r="Z25" s="61">
        <v>0</v>
      </c>
      <c r="AA25" s="65">
        <v>0</v>
      </c>
      <c r="AB25" s="65">
        <v>0</v>
      </c>
      <c r="AC25" s="66"/>
      <c r="AD25" s="67">
        <f t="shared" si="9"/>
        <v>0</v>
      </c>
      <c r="AE25" s="67">
        <f t="shared" si="10"/>
        <v>0</v>
      </c>
      <c r="AF25" s="67">
        <f t="shared" si="11"/>
        <v>0</v>
      </c>
      <c r="AG25" s="67">
        <f t="shared" si="12"/>
        <v>0</v>
      </c>
      <c r="AH25" s="67">
        <f t="shared" si="13"/>
        <v>0</v>
      </c>
      <c r="AI25" s="67">
        <f t="shared" si="14"/>
        <v>0</v>
      </c>
      <c r="AJ25" s="66"/>
      <c r="AK25" s="68">
        <v>0</v>
      </c>
      <c r="AL25" s="69">
        <v>0</v>
      </c>
      <c r="AM25" s="69">
        <v>0</v>
      </c>
      <c r="AN25" s="69">
        <v>0</v>
      </c>
      <c r="AO25" s="70">
        <v>0</v>
      </c>
      <c r="AP25" s="70">
        <v>0</v>
      </c>
      <c r="AQ25" s="66"/>
      <c r="AR25" s="70" t="s">
        <v>779</v>
      </c>
      <c r="AS25" s="66"/>
      <c r="AT25" s="108">
        <v>0</v>
      </c>
      <c r="AU25" s="109">
        <v>0</v>
      </c>
      <c r="AV25" s="109">
        <v>0</v>
      </c>
      <c r="AW25" s="109">
        <v>1762.5</v>
      </c>
      <c r="AX25" s="110">
        <v>0</v>
      </c>
      <c r="AY25" s="110">
        <v>15433.9</v>
      </c>
    </row>
    <row r="26" spans="1:51" x14ac:dyDescent="0.25">
      <c r="A26" s="8" t="s">
        <v>26</v>
      </c>
      <c r="B26" s="5" t="s">
        <v>27</v>
      </c>
      <c r="C26" s="2">
        <v>25.2</v>
      </c>
      <c r="D26" s="24">
        <v>777.6</v>
      </c>
      <c r="E26" s="26">
        <f t="shared" si="6"/>
        <v>388.8</v>
      </c>
      <c r="F26" s="26">
        <v>2722</v>
      </c>
      <c r="G26" s="30">
        <f t="shared" si="7"/>
        <v>0.14283614988978693</v>
      </c>
      <c r="H26" s="11"/>
      <c r="I26" s="9">
        <v>0</v>
      </c>
      <c r="J26" s="3">
        <v>0</v>
      </c>
      <c r="K26" s="3">
        <v>0</v>
      </c>
      <c r="L26" s="3">
        <v>128</v>
      </c>
      <c r="M26" s="6">
        <v>40</v>
      </c>
      <c r="N26" s="6">
        <v>112</v>
      </c>
      <c r="O26" s="13"/>
      <c r="P26" s="60">
        <f t="shared" si="20"/>
        <v>0</v>
      </c>
      <c r="Q26" s="61">
        <f t="shared" si="21"/>
        <v>0</v>
      </c>
      <c r="R26" s="61">
        <f t="shared" si="22"/>
        <v>0</v>
      </c>
      <c r="S26" s="62">
        <f t="shared" si="23"/>
        <v>3225.6</v>
      </c>
      <c r="T26" s="63">
        <f t="shared" si="24"/>
        <v>1008</v>
      </c>
      <c r="U26" s="63">
        <f t="shared" si="8"/>
        <v>2822.4</v>
      </c>
      <c r="V26" s="64"/>
      <c r="W26" s="60">
        <v>315</v>
      </c>
      <c r="X26" s="61">
        <v>198</v>
      </c>
      <c r="Y26" s="61">
        <v>349</v>
      </c>
      <c r="Z26" s="61">
        <v>506</v>
      </c>
      <c r="AA26" s="65">
        <v>576</v>
      </c>
      <c r="AB26" s="65">
        <v>599</v>
      </c>
      <c r="AC26" s="66"/>
      <c r="AD26" s="67">
        <f t="shared" si="9"/>
        <v>0.11572373254959588</v>
      </c>
      <c r="AE26" s="67">
        <f t="shared" si="10"/>
        <v>7.274063188831742E-2</v>
      </c>
      <c r="AF26" s="67">
        <f t="shared" si="11"/>
        <v>0.12821454812637767</v>
      </c>
      <c r="AG26" s="67">
        <f t="shared" si="12"/>
        <v>0.18589272593681117</v>
      </c>
      <c r="AH26" s="67">
        <f t="shared" si="13"/>
        <v>0.21160911094783247</v>
      </c>
      <c r="AI26" s="67">
        <f t="shared" si="14"/>
        <v>0.22005878030859663</v>
      </c>
      <c r="AJ26" s="66"/>
      <c r="AK26" s="68">
        <v>1890.4599999999989</v>
      </c>
      <c r="AL26" s="69">
        <v>2281.8199999999974</v>
      </c>
      <c r="AM26" s="69">
        <v>2281.8199999999983</v>
      </c>
      <c r="AN26" s="69">
        <v>3480.1599999999939</v>
      </c>
      <c r="AO26" s="70">
        <v>3680.35</v>
      </c>
      <c r="AP26" s="70">
        <v>3899.7799999999902</v>
      </c>
      <c r="AQ26" s="66"/>
      <c r="AR26" s="70" t="s">
        <v>779</v>
      </c>
      <c r="AS26" s="66"/>
      <c r="AT26" s="108">
        <v>0</v>
      </c>
      <c r="AU26" s="109">
        <v>0</v>
      </c>
      <c r="AV26" s="109">
        <v>0</v>
      </c>
      <c r="AW26" s="109">
        <v>2816.62</v>
      </c>
      <c r="AX26" s="110">
        <v>838.8</v>
      </c>
      <c r="AY26" s="110">
        <v>2459.6800000000003</v>
      </c>
    </row>
    <row r="27" spans="1:51" x14ac:dyDescent="0.25">
      <c r="A27" s="8">
        <v>5325</v>
      </c>
      <c r="B27" s="5" t="s">
        <v>198</v>
      </c>
      <c r="C27" s="2">
        <v>24.510000000000005</v>
      </c>
      <c r="D27" s="24">
        <v>3000</v>
      </c>
      <c r="E27" s="26">
        <f t="shared" si="6"/>
        <v>1500</v>
      </c>
      <c r="F27" s="26">
        <v>9407</v>
      </c>
      <c r="G27" s="30">
        <f t="shared" si="7"/>
        <v>0.15945572446050812</v>
      </c>
      <c r="H27" s="11"/>
      <c r="I27" s="9">
        <v>785</v>
      </c>
      <c r="J27" s="3">
        <v>290</v>
      </c>
      <c r="K27" s="3">
        <v>1145</v>
      </c>
      <c r="L27" s="3">
        <v>1969</v>
      </c>
      <c r="M27" s="6">
        <v>43</v>
      </c>
      <c r="N27" s="6">
        <v>713</v>
      </c>
      <c r="O27" s="13"/>
      <c r="P27" s="60">
        <f t="shared" si="20"/>
        <v>19240.350000000006</v>
      </c>
      <c r="Q27" s="61">
        <f t="shared" si="21"/>
        <v>7107.9000000000015</v>
      </c>
      <c r="R27" s="61">
        <f t="shared" si="22"/>
        <v>28063.950000000004</v>
      </c>
      <c r="S27" s="62">
        <f t="shared" si="23"/>
        <v>48260.19000000001</v>
      </c>
      <c r="T27" s="63">
        <f t="shared" si="24"/>
        <v>1053.9300000000003</v>
      </c>
      <c r="U27" s="63">
        <f t="shared" si="8"/>
        <v>17475.630000000005</v>
      </c>
      <c r="V27" s="64"/>
      <c r="W27" s="60">
        <v>266</v>
      </c>
      <c r="X27" s="61">
        <v>0</v>
      </c>
      <c r="Y27" s="61">
        <v>803</v>
      </c>
      <c r="Z27" s="61">
        <v>1768</v>
      </c>
      <c r="AA27" s="65">
        <v>1809</v>
      </c>
      <c r="AB27" s="65">
        <v>194</v>
      </c>
      <c r="AC27" s="66"/>
      <c r="AD27" s="67">
        <f t="shared" si="9"/>
        <v>2.8276815137663443E-2</v>
      </c>
      <c r="AE27" s="67">
        <f t="shared" si="10"/>
        <v>0</v>
      </c>
      <c r="AF27" s="67">
        <f t="shared" si="11"/>
        <v>8.536196449452535E-2</v>
      </c>
      <c r="AG27" s="67">
        <f t="shared" si="12"/>
        <v>0.18794514723078559</v>
      </c>
      <c r="AH27" s="67">
        <f t="shared" si="13"/>
        <v>0.1923036036993728</v>
      </c>
      <c r="AI27" s="67">
        <f t="shared" si="14"/>
        <v>2.062294036355905E-2</v>
      </c>
      <c r="AJ27" s="66"/>
      <c r="AK27" s="68">
        <v>881.11</v>
      </c>
      <c r="AL27" s="69">
        <v>0</v>
      </c>
      <c r="AM27" s="69">
        <v>19681.530000000002</v>
      </c>
      <c r="AN27" s="69">
        <v>14415.349999999986</v>
      </c>
      <c r="AO27" s="70">
        <v>41100.39</v>
      </c>
      <c r="AP27" s="70">
        <v>3954.39</v>
      </c>
      <c r="AQ27" s="66"/>
      <c r="AR27" s="70" t="s">
        <v>779</v>
      </c>
      <c r="AS27" s="66"/>
      <c r="AT27" s="108">
        <v>46918.380000000005</v>
      </c>
      <c r="AU27" s="109">
        <v>17579.400000000001</v>
      </c>
      <c r="AV27" s="109">
        <v>70914.720000000001</v>
      </c>
      <c r="AW27" s="109">
        <v>124545.96999999999</v>
      </c>
      <c r="AX27" s="110">
        <v>2576.13</v>
      </c>
      <c r="AY27" s="110">
        <v>47624.97</v>
      </c>
    </row>
    <row r="28" spans="1:51" x14ac:dyDescent="0.25">
      <c r="A28" s="8">
        <v>5390</v>
      </c>
      <c r="B28" s="5" t="s">
        <v>23</v>
      </c>
      <c r="C28" s="2">
        <v>23.95</v>
      </c>
      <c r="D28" s="24">
        <v>729.6</v>
      </c>
      <c r="E28" s="26">
        <f t="shared" si="6"/>
        <v>364.8</v>
      </c>
      <c r="F28" s="26">
        <v>3648</v>
      </c>
      <c r="G28" s="30">
        <f t="shared" si="7"/>
        <v>0.1</v>
      </c>
      <c r="H28" s="11"/>
      <c r="I28" s="9">
        <v>232</v>
      </c>
      <c r="J28" s="3">
        <v>600</v>
      </c>
      <c r="K28" s="3">
        <v>0</v>
      </c>
      <c r="L28" s="3">
        <v>0</v>
      </c>
      <c r="M28" s="6"/>
      <c r="N28" s="6">
        <v>120</v>
      </c>
      <c r="O28" s="13"/>
      <c r="P28" s="60">
        <f t="shared" si="20"/>
        <v>5556.4</v>
      </c>
      <c r="Q28" s="61">
        <f t="shared" si="21"/>
        <v>14370</v>
      </c>
      <c r="R28" s="61">
        <f t="shared" si="22"/>
        <v>0</v>
      </c>
      <c r="S28" s="62">
        <f t="shared" si="23"/>
        <v>0</v>
      </c>
      <c r="T28" s="63">
        <f t="shared" si="24"/>
        <v>0</v>
      </c>
      <c r="U28" s="63">
        <f t="shared" si="8"/>
        <v>2874</v>
      </c>
      <c r="V28" s="64"/>
      <c r="W28" s="60">
        <v>2</v>
      </c>
      <c r="X28" s="61">
        <v>3</v>
      </c>
      <c r="Y28" s="61">
        <v>1</v>
      </c>
      <c r="Z28" s="61">
        <v>1</v>
      </c>
      <c r="AA28" s="65">
        <v>4</v>
      </c>
      <c r="AB28" s="65">
        <v>0</v>
      </c>
      <c r="AC28" s="66"/>
      <c r="AD28" s="67">
        <f t="shared" si="9"/>
        <v>5.4824561403508769E-4</v>
      </c>
      <c r="AE28" s="67">
        <f t="shared" si="10"/>
        <v>8.2236842105263153E-4</v>
      </c>
      <c r="AF28" s="67">
        <f t="shared" si="11"/>
        <v>2.7412280701754384E-4</v>
      </c>
      <c r="AG28" s="67">
        <f t="shared" si="12"/>
        <v>2.7412280701754384E-4</v>
      </c>
      <c r="AH28" s="67">
        <f t="shared" si="13"/>
        <v>1.0964912280701754E-3</v>
      </c>
      <c r="AI28" s="67">
        <f t="shared" si="14"/>
        <v>0</v>
      </c>
      <c r="AJ28" s="66"/>
      <c r="AK28" s="68">
        <v>44.43</v>
      </c>
      <c r="AL28" s="69">
        <v>73.47999999999999</v>
      </c>
      <c r="AM28" s="69">
        <v>73.48</v>
      </c>
      <c r="AN28" s="69">
        <v>23.4</v>
      </c>
      <c r="AO28" s="70">
        <v>30.44</v>
      </c>
      <c r="AP28" s="70">
        <v>0</v>
      </c>
      <c r="AQ28" s="66"/>
      <c r="AR28" s="70" t="s">
        <v>779</v>
      </c>
      <c r="AS28" s="66"/>
      <c r="AT28" s="108">
        <v>2484.7200000000003</v>
      </c>
      <c r="AU28" s="109">
        <v>6676</v>
      </c>
      <c r="AV28" s="109">
        <v>0</v>
      </c>
      <c r="AW28" s="109">
        <v>0</v>
      </c>
      <c r="AX28" s="110">
        <v>0</v>
      </c>
      <c r="AY28" s="110">
        <v>1246.8</v>
      </c>
    </row>
    <row r="29" spans="1:51" x14ac:dyDescent="0.25">
      <c r="A29" s="8">
        <v>5007</v>
      </c>
      <c r="B29" s="5" t="s">
        <v>22</v>
      </c>
      <c r="C29" s="2">
        <v>23.409999999999997</v>
      </c>
      <c r="D29" s="24">
        <v>2500</v>
      </c>
      <c r="E29" s="26">
        <f t="shared" si="6"/>
        <v>1250</v>
      </c>
      <c r="F29" s="26">
        <v>5335</v>
      </c>
      <c r="G29" s="30">
        <f t="shared" si="7"/>
        <v>0.23430178069353327</v>
      </c>
      <c r="H29" s="11"/>
      <c r="I29" s="9">
        <v>172</v>
      </c>
      <c r="J29" s="3">
        <v>0</v>
      </c>
      <c r="K29" s="3">
        <v>216</v>
      </c>
      <c r="L29" s="3">
        <v>0</v>
      </c>
      <c r="M29" s="6"/>
      <c r="N29" s="6">
        <v>0</v>
      </c>
      <c r="O29" s="13"/>
      <c r="P29" s="60">
        <f t="shared" si="20"/>
        <v>4026.5199999999995</v>
      </c>
      <c r="Q29" s="61">
        <f t="shared" si="21"/>
        <v>0</v>
      </c>
      <c r="R29" s="61">
        <f t="shared" si="22"/>
        <v>5056.5599999999995</v>
      </c>
      <c r="S29" s="62">
        <f t="shared" si="23"/>
        <v>0</v>
      </c>
      <c r="T29" s="63">
        <f t="shared" si="24"/>
        <v>0</v>
      </c>
      <c r="U29" s="63">
        <f t="shared" si="8"/>
        <v>0</v>
      </c>
      <c r="V29" s="64"/>
      <c r="W29" s="60">
        <v>0</v>
      </c>
      <c r="X29" s="61">
        <v>0</v>
      </c>
      <c r="Y29" s="61">
        <v>0</v>
      </c>
      <c r="Z29" s="61">
        <v>0</v>
      </c>
      <c r="AA29" s="65">
        <v>0</v>
      </c>
      <c r="AB29" s="65">
        <v>325</v>
      </c>
      <c r="AC29" s="66"/>
      <c r="AD29" s="67">
        <f t="shared" si="9"/>
        <v>0</v>
      </c>
      <c r="AE29" s="67">
        <f t="shared" si="10"/>
        <v>0</v>
      </c>
      <c r="AF29" s="67">
        <f t="shared" si="11"/>
        <v>0</v>
      </c>
      <c r="AG29" s="67">
        <f t="shared" si="12"/>
        <v>0</v>
      </c>
      <c r="AH29" s="67">
        <f t="shared" si="13"/>
        <v>0</v>
      </c>
      <c r="AI29" s="67">
        <f t="shared" si="14"/>
        <v>6.0918462980318652E-2</v>
      </c>
      <c r="AJ29" s="66"/>
      <c r="AK29" s="68">
        <v>0</v>
      </c>
      <c r="AL29" s="69">
        <v>0</v>
      </c>
      <c r="AM29" s="69">
        <v>0</v>
      </c>
      <c r="AN29" s="69">
        <v>0</v>
      </c>
      <c r="AO29" s="70">
        <v>0</v>
      </c>
      <c r="AP29" s="70">
        <v>7425.7600000000302</v>
      </c>
      <c r="AQ29" s="66"/>
      <c r="AR29" s="70" t="s">
        <v>779</v>
      </c>
      <c r="AS29" s="66"/>
      <c r="AT29" s="108">
        <v>0</v>
      </c>
      <c r="AU29" s="109">
        <v>0</v>
      </c>
      <c r="AV29" s="109">
        <v>0</v>
      </c>
      <c r="AW29" s="109">
        <v>0</v>
      </c>
      <c r="AX29" s="110">
        <v>0</v>
      </c>
      <c r="AY29" s="110">
        <v>0</v>
      </c>
    </row>
    <row r="30" spans="1:51" x14ac:dyDescent="0.25">
      <c r="A30" s="8" t="s">
        <v>255</v>
      </c>
      <c r="B30" s="5" t="s">
        <v>256</v>
      </c>
      <c r="C30" s="2">
        <v>22.61</v>
      </c>
      <c r="D30" s="24">
        <v>2500</v>
      </c>
      <c r="E30" s="26">
        <f t="shared" si="6"/>
        <v>1250</v>
      </c>
      <c r="F30" s="26">
        <v>7025</v>
      </c>
      <c r="G30" s="30">
        <f t="shared" si="7"/>
        <v>0.17793594306049823</v>
      </c>
      <c r="H30" s="11"/>
      <c r="I30" s="9">
        <v>613.4545454545455</v>
      </c>
      <c r="J30" s="3">
        <v>327.45454545454544</v>
      </c>
      <c r="K30" s="3">
        <v>4300.636363636364</v>
      </c>
      <c r="L30" s="3">
        <v>2860.6060606060614</v>
      </c>
      <c r="M30" s="6">
        <v>1993.939393939394</v>
      </c>
      <c r="N30" s="6">
        <v>1266</v>
      </c>
      <c r="O30" s="13"/>
      <c r="P30" s="60">
        <f t="shared" si="20"/>
        <v>13870.207272727273</v>
      </c>
      <c r="Q30" s="61">
        <f t="shared" si="21"/>
        <v>7403.7472727272725</v>
      </c>
      <c r="R30" s="61">
        <f t="shared" si="22"/>
        <v>97237.388181818184</v>
      </c>
      <c r="S30" s="62">
        <f t="shared" si="23"/>
        <v>64678.303030303046</v>
      </c>
      <c r="T30" s="63">
        <f t="shared" si="24"/>
        <v>45082.969696969696</v>
      </c>
      <c r="U30" s="63">
        <f t="shared" si="8"/>
        <v>28624.26</v>
      </c>
      <c r="V30" s="64"/>
      <c r="W30" s="60">
        <v>1383</v>
      </c>
      <c r="X30" s="61">
        <v>1353</v>
      </c>
      <c r="Y30" s="61">
        <v>243</v>
      </c>
      <c r="Z30" s="61">
        <v>1085</v>
      </c>
      <c r="AA30" s="65">
        <v>2670</v>
      </c>
      <c r="AB30" s="65">
        <v>2302</v>
      </c>
      <c r="AC30" s="66"/>
      <c r="AD30" s="67">
        <f t="shared" si="9"/>
        <v>0.19686832740213522</v>
      </c>
      <c r="AE30" s="67">
        <f t="shared" si="10"/>
        <v>0.19259786476868326</v>
      </c>
      <c r="AF30" s="67">
        <f t="shared" si="11"/>
        <v>3.4590747330960854E-2</v>
      </c>
      <c r="AG30" s="67">
        <f t="shared" si="12"/>
        <v>0.15444839857651246</v>
      </c>
      <c r="AH30" s="67">
        <f t="shared" si="13"/>
        <v>0.38007117437722421</v>
      </c>
      <c r="AI30" s="67">
        <f t="shared" si="14"/>
        <v>0.32768683274021354</v>
      </c>
      <c r="AJ30" s="66"/>
      <c r="AK30" s="68">
        <v>2298.1800000000021</v>
      </c>
      <c r="AL30" s="69">
        <v>4008.5499999999897</v>
      </c>
      <c r="AM30" s="69">
        <v>4008.5499999999906</v>
      </c>
      <c r="AN30" s="69">
        <v>11406.929999999978</v>
      </c>
      <c r="AO30" s="70">
        <v>15626.57</v>
      </c>
      <c r="AP30" s="70">
        <v>35049.0699999996</v>
      </c>
      <c r="AQ30" s="66"/>
      <c r="AR30" s="70" t="s">
        <v>779</v>
      </c>
      <c r="AS30" s="66"/>
      <c r="AT30" s="108">
        <v>66410.83</v>
      </c>
      <c r="AU30" s="109">
        <v>23361.61</v>
      </c>
      <c r="AV30" s="109">
        <v>304497.5</v>
      </c>
      <c r="AW30" s="109">
        <v>205058.1</v>
      </c>
      <c r="AX30" s="110">
        <v>143276.54</v>
      </c>
      <c r="AY30" s="110">
        <v>58532.53</v>
      </c>
    </row>
    <row r="31" spans="1:51" x14ac:dyDescent="0.25">
      <c r="A31" s="8" t="s">
        <v>12</v>
      </c>
      <c r="B31" s="5" t="s">
        <v>13</v>
      </c>
      <c r="C31" s="2">
        <v>22.46</v>
      </c>
      <c r="D31" s="24">
        <v>1000</v>
      </c>
      <c r="E31" s="26">
        <f t="shared" si="6"/>
        <v>500</v>
      </c>
      <c r="F31" s="26">
        <v>1089</v>
      </c>
      <c r="G31" s="30">
        <f t="shared" si="7"/>
        <v>0.4591368227731864</v>
      </c>
      <c r="H31" s="11"/>
      <c r="I31" s="9">
        <v>0</v>
      </c>
      <c r="J31" s="3">
        <v>136</v>
      </c>
      <c r="K31" s="3">
        <v>471</v>
      </c>
      <c r="L31" s="3">
        <v>145</v>
      </c>
      <c r="M31" s="6"/>
      <c r="N31" s="6">
        <v>0</v>
      </c>
      <c r="O31" s="13"/>
      <c r="P31" s="60">
        <f t="shared" si="20"/>
        <v>0</v>
      </c>
      <c r="Q31" s="61">
        <f t="shared" si="21"/>
        <v>3054.56</v>
      </c>
      <c r="R31" s="61">
        <f t="shared" si="22"/>
        <v>10578.66</v>
      </c>
      <c r="S31" s="62">
        <f t="shared" si="23"/>
        <v>3256.7000000000003</v>
      </c>
      <c r="T31" s="63">
        <f t="shared" si="24"/>
        <v>0</v>
      </c>
      <c r="U31" s="63">
        <f t="shared" si="8"/>
        <v>0</v>
      </c>
      <c r="V31" s="64"/>
      <c r="W31" s="60">
        <v>330</v>
      </c>
      <c r="X31" s="61">
        <v>793</v>
      </c>
      <c r="Y31" s="61">
        <v>90</v>
      </c>
      <c r="Z31" s="61">
        <v>358</v>
      </c>
      <c r="AA31" s="65">
        <v>189</v>
      </c>
      <c r="AB31" s="65">
        <v>0</v>
      </c>
      <c r="AC31" s="66"/>
      <c r="AD31" s="67">
        <f t="shared" si="9"/>
        <v>0.30303030303030304</v>
      </c>
      <c r="AE31" s="67">
        <f t="shared" si="10"/>
        <v>0.7281910009182736</v>
      </c>
      <c r="AF31" s="67">
        <f t="shared" si="11"/>
        <v>8.2644628099173556E-2</v>
      </c>
      <c r="AG31" s="67">
        <f t="shared" si="12"/>
        <v>0.3287419651056015</v>
      </c>
      <c r="AH31" s="67">
        <f t="shared" si="13"/>
        <v>0.17355371900826447</v>
      </c>
      <c r="AI31" s="67">
        <f t="shared" si="14"/>
        <v>0</v>
      </c>
      <c r="AJ31" s="66"/>
      <c r="AK31" s="68">
        <v>2600.09</v>
      </c>
      <c r="AL31" s="69">
        <v>8426.8599999999969</v>
      </c>
      <c r="AM31" s="69">
        <v>8426.8599999999969</v>
      </c>
      <c r="AN31" s="69">
        <v>1519.5800000000002</v>
      </c>
      <c r="AO31" s="70">
        <v>5557.32</v>
      </c>
      <c r="AP31" s="70">
        <v>0</v>
      </c>
      <c r="AQ31" s="66"/>
      <c r="AR31" s="70" t="s">
        <v>779</v>
      </c>
      <c r="AS31" s="66"/>
      <c r="AT31" s="108">
        <v>0</v>
      </c>
      <c r="AU31" s="109">
        <v>953.34</v>
      </c>
      <c r="AV31" s="109">
        <v>3331.62</v>
      </c>
      <c r="AW31" s="109">
        <v>1014.8</v>
      </c>
      <c r="AX31" s="110">
        <v>0</v>
      </c>
      <c r="AY31" s="110">
        <v>0</v>
      </c>
    </row>
    <row r="32" spans="1:51" x14ac:dyDescent="0.25">
      <c r="A32" s="8">
        <v>5139</v>
      </c>
      <c r="B32" s="5" t="s">
        <v>72</v>
      </c>
      <c r="C32" s="2">
        <v>22.34</v>
      </c>
      <c r="D32" s="24">
        <v>100</v>
      </c>
      <c r="E32" s="26">
        <f t="shared" si="6"/>
        <v>50</v>
      </c>
      <c r="F32" s="26">
        <v>87</v>
      </c>
      <c r="G32" s="30">
        <f t="shared" si="7"/>
        <v>0.57471264367816088</v>
      </c>
      <c r="H32" s="11"/>
      <c r="I32" s="9">
        <v>100</v>
      </c>
      <c r="J32" s="3">
        <v>122</v>
      </c>
      <c r="K32" s="3">
        <v>0</v>
      </c>
      <c r="L32" s="3">
        <v>0</v>
      </c>
      <c r="M32" s="6"/>
      <c r="N32" s="6">
        <v>0</v>
      </c>
      <c r="O32" s="13"/>
      <c r="P32" s="60">
        <f t="shared" si="20"/>
        <v>2234</v>
      </c>
      <c r="Q32" s="61">
        <f t="shared" si="21"/>
        <v>2725.48</v>
      </c>
      <c r="R32" s="61">
        <f t="shared" si="22"/>
        <v>0</v>
      </c>
      <c r="S32" s="62">
        <f t="shared" si="23"/>
        <v>0</v>
      </c>
      <c r="T32" s="63">
        <f t="shared" si="24"/>
        <v>0</v>
      </c>
      <c r="U32" s="63">
        <f t="shared" si="8"/>
        <v>0</v>
      </c>
      <c r="V32" s="64"/>
      <c r="W32" s="60">
        <v>23</v>
      </c>
      <c r="X32" s="61">
        <v>27</v>
      </c>
      <c r="Y32" s="61">
        <v>28</v>
      </c>
      <c r="Z32" s="61">
        <v>72</v>
      </c>
      <c r="AA32" s="65">
        <v>33</v>
      </c>
      <c r="AB32" s="65">
        <v>56</v>
      </c>
      <c r="AC32" s="66"/>
      <c r="AD32" s="67">
        <f t="shared" si="9"/>
        <v>0.26436781609195403</v>
      </c>
      <c r="AE32" s="67">
        <f t="shared" si="10"/>
        <v>0.31034482758620691</v>
      </c>
      <c r="AF32" s="67">
        <f t="shared" si="11"/>
        <v>0.32183908045977011</v>
      </c>
      <c r="AG32" s="67">
        <f t="shared" si="12"/>
        <v>0.82758620689655171</v>
      </c>
      <c r="AH32" s="67">
        <f t="shared" si="13"/>
        <v>0.37931034482758619</v>
      </c>
      <c r="AI32" s="67">
        <f t="shared" si="14"/>
        <v>0.64367816091954022</v>
      </c>
      <c r="AJ32" s="66"/>
      <c r="AK32" s="68">
        <v>42.83</v>
      </c>
      <c r="AL32" s="69">
        <v>71.52</v>
      </c>
      <c r="AM32" s="69">
        <v>71.52</v>
      </c>
      <c r="AN32" s="69">
        <v>109.73999999999998</v>
      </c>
      <c r="AO32" s="70">
        <v>193.45999999999901</v>
      </c>
      <c r="AP32" s="70">
        <v>528.51999999999896</v>
      </c>
      <c r="AQ32" s="66"/>
      <c r="AR32" s="70" t="s">
        <v>779</v>
      </c>
      <c r="AS32" s="66"/>
      <c r="AT32" s="108">
        <v>2252</v>
      </c>
      <c r="AU32" s="109">
        <v>2729.14</v>
      </c>
      <c r="AV32" s="109">
        <v>0</v>
      </c>
      <c r="AW32" s="109">
        <v>0</v>
      </c>
      <c r="AX32" s="110">
        <v>0</v>
      </c>
      <c r="AY32" s="110">
        <v>0</v>
      </c>
    </row>
    <row r="33" spans="1:51" x14ac:dyDescent="0.25">
      <c r="A33" s="8" t="s">
        <v>32</v>
      </c>
      <c r="B33" s="5" t="s">
        <v>33</v>
      </c>
      <c r="C33" s="2">
        <v>21.360000000000003</v>
      </c>
      <c r="D33" s="24">
        <v>300</v>
      </c>
      <c r="E33" s="26">
        <f t="shared" si="6"/>
        <v>150</v>
      </c>
      <c r="F33" s="26">
        <v>548</v>
      </c>
      <c r="G33" s="30">
        <f t="shared" si="7"/>
        <v>0.27372262773722628</v>
      </c>
      <c r="H33" s="11"/>
      <c r="I33" s="9">
        <v>0</v>
      </c>
      <c r="J33" s="3">
        <v>50</v>
      </c>
      <c r="K33" s="3">
        <v>0</v>
      </c>
      <c r="L33" s="3">
        <v>0</v>
      </c>
      <c r="M33" s="6"/>
      <c r="N33" s="6">
        <v>0</v>
      </c>
      <c r="O33" s="13"/>
      <c r="P33" s="60">
        <f t="shared" si="20"/>
        <v>0</v>
      </c>
      <c r="Q33" s="61">
        <f t="shared" si="21"/>
        <v>1068.0000000000002</v>
      </c>
      <c r="R33" s="61">
        <f t="shared" si="22"/>
        <v>0</v>
      </c>
      <c r="S33" s="62">
        <f t="shared" si="23"/>
        <v>0</v>
      </c>
      <c r="T33" s="63">
        <f t="shared" si="24"/>
        <v>0</v>
      </c>
      <c r="U33" s="63">
        <f t="shared" si="8"/>
        <v>0</v>
      </c>
      <c r="V33" s="64"/>
      <c r="W33" s="60">
        <v>0</v>
      </c>
      <c r="X33" s="61">
        <v>0</v>
      </c>
      <c r="Y33" s="61">
        <v>0</v>
      </c>
      <c r="Z33" s="61">
        <v>0</v>
      </c>
      <c r="AA33" s="65">
        <v>0</v>
      </c>
      <c r="AB33" s="65">
        <v>0</v>
      </c>
      <c r="AC33" s="66"/>
      <c r="AD33" s="67">
        <f t="shared" si="9"/>
        <v>0</v>
      </c>
      <c r="AE33" s="67">
        <f t="shared" si="10"/>
        <v>0</v>
      </c>
      <c r="AF33" s="67">
        <f t="shared" si="11"/>
        <v>0</v>
      </c>
      <c r="AG33" s="67">
        <f t="shared" si="12"/>
        <v>0</v>
      </c>
      <c r="AH33" s="67">
        <f t="shared" si="13"/>
        <v>0</v>
      </c>
      <c r="AI33" s="67">
        <f t="shared" si="14"/>
        <v>0</v>
      </c>
      <c r="AJ33" s="66"/>
      <c r="AK33" s="68">
        <v>0</v>
      </c>
      <c r="AL33" s="69">
        <v>0</v>
      </c>
      <c r="AM33" s="69">
        <v>0</v>
      </c>
      <c r="AN33" s="69">
        <v>0</v>
      </c>
      <c r="AO33" s="70">
        <v>0</v>
      </c>
      <c r="AP33" s="70">
        <v>0</v>
      </c>
      <c r="AQ33" s="66"/>
      <c r="AR33" s="70" t="s">
        <v>779</v>
      </c>
      <c r="AS33" s="66"/>
      <c r="AT33" s="108">
        <v>0</v>
      </c>
      <c r="AU33" s="109">
        <v>692</v>
      </c>
      <c r="AV33" s="109">
        <v>0</v>
      </c>
      <c r="AW33" s="109">
        <v>0</v>
      </c>
      <c r="AX33" s="110">
        <v>0</v>
      </c>
      <c r="AY33" s="110">
        <v>0</v>
      </c>
    </row>
    <row r="34" spans="1:51" x14ac:dyDescent="0.25">
      <c r="A34" s="8" t="s">
        <v>62</v>
      </c>
      <c r="B34" s="5" t="s">
        <v>63</v>
      </c>
      <c r="C34" s="2">
        <v>21</v>
      </c>
      <c r="D34" s="24">
        <v>880.80000000000007</v>
      </c>
      <c r="E34" s="26">
        <f t="shared" si="6"/>
        <v>440.40000000000003</v>
      </c>
      <c r="F34" s="26">
        <v>4404</v>
      </c>
      <c r="G34" s="30">
        <f t="shared" si="7"/>
        <v>0.1</v>
      </c>
      <c r="H34" s="11"/>
      <c r="I34" s="9">
        <v>415</v>
      </c>
      <c r="J34" s="3">
        <v>413</v>
      </c>
      <c r="K34" s="3">
        <v>665</v>
      </c>
      <c r="L34" s="3">
        <v>894</v>
      </c>
      <c r="M34" s="6">
        <v>595</v>
      </c>
      <c r="N34" s="6">
        <v>557</v>
      </c>
      <c r="O34" s="13"/>
      <c r="P34" s="60">
        <f t="shared" si="20"/>
        <v>8715</v>
      </c>
      <c r="Q34" s="61">
        <f t="shared" si="21"/>
        <v>8673</v>
      </c>
      <c r="R34" s="61">
        <f t="shared" si="22"/>
        <v>13965</v>
      </c>
      <c r="S34" s="62">
        <f t="shared" si="23"/>
        <v>18774</v>
      </c>
      <c r="T34" s="63">
        <f t="shared" si="24"/>
        <v>12495</v>
      </c>
      <c r="U34" s="63">
        <f t="shared" si="8"/>
        <v>11697</v>
      </c>
      <c r="V34" s="64"/>
      <c r="W34" s="60">
        <v>49</v>
      </c>
      <c r="X34" s="61">
        <v>413</v>
      </c>
      <c r="Y34" s="61">
        <v>556</v>
      </c>
      <c r="Z34" s="61">
        <v>493</v>
      </c>
      <c r="AA34" s="65">
        <v>338</v>
      </c>
      <c r="AB34" s="65">
        <v>977</v>
      </c>
      <c r="AC34" s="66"/>
      <c r="AD34" s="67">
        <f t="shared" si="9"/>
        <v>1.1126248864668483E-2</v>
      </c>
      <c r="AE34" s="67">
        <f t="shared" si="10"/>
        <v>9.377838328792007E-2</v>
      </c>
      <c r="AF34" s="67">
        <f t="shared" si="11"/>
        <v>0.1262488646684832</v>
      </c>
      <c r="AG34" s="67">
        <f t="shared" si="12"/>
        <v>0.11194368755676658</v>
      </c>
      <c r="AH34" s="67">
        <f t="shared" si="13"/>
        <v>7.6748410535876471E-2</v>
      </c>
      <c r="AI34" s="67">
        <f t="shared" si="14"/>
        <v>0.22184377838328792</v>
      </c>
      <c r="AJ34" s="66"/>
      <c r="AK34" s="68">
        <v>1235.06</v>
      </c>
      <c r="AL34" s="69">
        <v>7135.5599999999986</v>
      </c>
      <c r="AM34" s="69">
        <v>7135.5599999999977</v>
      </c>
      <c r="AN34" s="69">
        <v>8764.5399999999809</v>
      </c>
      <c r="AO34" s="70">
        <v>15380.389999999899</v>
      </c>
      <c r="AP34" s="70">
        <v>18642.619999999901</v>
      </c>
      <c r="AQ34" s="66"/>
      <c r="AR34" s="70" t="s">
        <v>779</v>
      </c>
      <c r="AS34" s="66"/>
      <c r="AT34" s="108">
        <v>7545.05</v>
      </c>
      <c r="AU34" s="109">
        <v>7709.75</v>
      </c>
      <c r="AV34" s="109">
        <v>12250.07</v>
      </c>
      <c r="AW34" s="109">
        <v>16882.39</v>
      </c>
      <c r="AX34" s="110">
        <v>11327.41</v>
      </c>
      <c r="AY34" s="110">
        <v>10766.92</v>
      </c>
    </row>
    <row r="35" spans="1:51" x14ac:dyDescent="0.25">
      <c r="A35" s="8" t="s">
        <v>68</v>
      </c>
      <c r="B35" s="5" t="s">
        <v>69</v>
      </c>
      <c r="C35" s="2">
        <v>20.82</v>
      </c>
      <c r="D35" s="24">
        <v>100</v>
      </c>
      <c r="E35" s="26">
        <f t="shared" si="6"/>
        <v>50</v>
      </c>
      <c r="F35" s="26">
        <v>167</v>
      </c>
      <c r="G35" s="30">
        <f t="shared" si="7"/>
        <v>0.29940119760479039</v>
      </c>
      <c r="H35" s="11"/>
      <c r="I35" s="9">
        <v>700</v>
      </c>
      <c r="J35" s="3">
        <v>0</v>
      </c>
      <c r="K35" s="3">
        <v>0</v>
      </c>
      <c r="L35" s="3">
        <v>0</v>
      </c>
      <c r="M35" s="6">
        <v>800</v>
      </c>
      <c r="N35" s="6">
        <v>600</v>
      </c>
      <c r="O35" s="13"/>
      <c r="P35" s="60">
        <f t="shared" si="20"/>
        <v>14574</v>
      </c>
      <c r="Q35" s="61">
        <f t="shared" si="21"/>
        <v>0</v>
      </c>
      <c r="R35" s="61">
        <f t="shared" si="22"/>
        <v>0</v>
      </c>
      <c r="S35" s="62">
        <f t="shared" si="23"/>
        <v>0</v>
      </c>
      <c r="T35" s="63">
        <f t="shared" si="24"/>
        <v>16656</v>
      </c>
      <c r="U35" s="63">
        <f t="shared" si="8"/>
        <v>12492</v>
      </c>
      <c r="V35" s="64"/>
      <c r="W35" s="60">
        <v>112</v>
      </c>
      <c r="X35" s="61">
        <v>135</v>
      </c>
      <c r="Y35" s="61">
        <v>248</v>
      </c>
      <c r="Z35" s="61">
        <v>224</v>
      </c>
      <c r="AA35" s="65">
        <v>127</v>
      </c>
      <c r="AB35" s="65">
        <v>296</v>
      </c>
      <c r="AC35" s="66"/>
      <c r="AD35" s="67">
        <f t="shared" si="9"/>
        <v>0.6706586826347305</v>
      </c>
      <c r="AE35" s="67">
        <f t="shared" si="10"/>
        <v>0.80838323353293418</v>
      </c>
      <c r="AF35" s="67">
        <f t="shared" si="11"/>
        <v>1.4850299401197604</v>
      </c>
      <c r="AG35" s="67">
        <f t="shared" si="12"/>
        <v>1.341317365269461</v>
      </c>
      <c r="AH35" s="67">
        <f t="shared" si="13"/>
        <v>0.76047904191616766</v>
      </c>
      <c r="AI35" s="67">
        <f t="shared" si="14"/>
        <v>1.7724550898203593</v>
      </c>
      <c r="AJ35" s="66"/>
      <c r="AK35" s="68">
        <v>683.7</v>
      </c>
      <c r="AL35" s="69">
        <v>1372.9599999999966</v>
      </c>
      <c r="AM35" s="69">
        <v>1372.9599999999966</v>
      </c>
      <c r="AN35" s="69">
        <v>1993.389999999999</v>
      </c>
      <c r="AO35" s="70">
        <v>1959.73</v>
      </c>
      <c r="AP35" s="70">
        <v>5416.1399999999903</v>
      </c>
      <c r="AQ35" s="66"/>
      <c r="AR35" s="70" t="s">
        <v>779</v>
      </c>
      <c r="AS35" s="66"/>
      <c r="AT35" s="108">
        <v>21380</v>
      </c>
      <c r="AU35" s="109">
        <v>0</v>
      </c>
      <c r="AV35" s="109">
        <v>0</v>
      </c>
      <c r="AW35" s="109">
        <v>0</v>
      </c>
      <c r="AX35" s="110">
        <v>15331</v>
      </c>
      <c r="AY35" s="110">
        <v>8910</v>
      </c>
    </row>
    <row r="36" spans="1:51" x14ac:dyDescent="0.25">
      <c r="A36" s="8" t="s">
        <v>7</v>
      </c>
      <c r="B36" s="5" t="s">
        <v>8</v>
      </c>
      <c r="C36" s="2">
        <v>20.78</v>
      </c>
      <c r="D36" s="24">
        <v>2000</v>
      </c>
      <c r="E36" s="26">
        <f t="shared" si="6"/>
        <v>1000</v>
      </c>
      <c r="F36" s="26">
        <v>600</v>
      </c>
      <c r="G36" s="30">
        <f t="shared" si="7"/>
        <v>1.6666666666666667</v>
      </c>
      <c r="H36" s="11"/>
      <c r="I36" s="9">
        <v>0</v>
      </c>
      <c r="J36" s="3">
        <v>100</v>
      </c>
      <c r="K36" s="3">
        <v>494</v>
      </c>
      <c r="L36" s="3">
        <v>286</v>
      </c>
      <c r="M36" s="6"/>
      <c r="N36" s="6">
        <v>0</v>
      </c>
      <c r="O36" s="13"/>
      <c r="P36" s="60">
        <f t="shared" si="20"/>
        <v>0</v>
      </c>
      <c r="Q36" s="61">
        <f t="shared" si="21"/>
        <v>2078</v>
      </c>
      <c r="R36" s="61">
        <f t="shared" si="22"/>
        <v>10265.32</v>
      </c>
      <c r="S36" s="62">
        <f t="shared" si="23"/>
        <v>5943.08</v>
      </c>
      <c r="T36" s="63">
        <f t="shared" si="24"/>
        <v>0</v>
      </c>
      <c r="U36" s="63">
        <f t="shared" si="8"/>
        <v>0</v>
      </c>
      <c r="V36" s="64"/>
      <c r="W36" s="60">
        <v>1137</v>
      </c>
      <c r="X36" s="61">
        <v>873</v>
      </c>
      <c r="Y36" s="61">
        <v>0</v>
      </c>
      <c r="Z36" s="61">
        <v>261</v>
      </c>
      <c r="AA36" s="65">
        <v>417</v>
      </c>
      <c r="AB36" s="65">
        <v>0</v>
      </c>
      <c r="AC36" s="66"/>
      <c r="AD36" s="67">
        <f t="shared" si="9"/>
        <v>1.895</v>
      </c>
      <c r="AE36" s="67">
        <f t="shared" si="10"/>
        <v>1.4550000000000001</v>
      </c>
      <c r="AF36" s="67">
        <f t="shared" si="11"/>
        <v>0</v>
      </c>
      <c r="AG36" s="67">
        <f t="shared" si="12"/>
        <v>0.435</v>
      </c>
      <c r="AH36" s="67">
        <f t="shared" si="13"/>
        <v>0.69499999999999995</v>
      </c>
      <c r="AI36" s="67">
        <f t="shared" si="14"/>
        <v>0</v>
      </c>
      <c r="AJ36" s="66"/>
      <c r="AK36" s="68">
        <v>21116.639999999999</v>
      </c>
      <c r="AL36" s="69">
        <v>20169.099999999977</v>
      </c>
      <c r="AM36" s="69">
        <v>20169.09999999998</v>
      </c>
      <c r="AN36" s="69">
        <v>5423.58</v>
      </c>
      <c r="AO36" s="70">
        <v>5659.7199999999903</v>
      </c>
      <c r="AP36" s="70">
        <v>0</v>
      </c>
      <c r="AQ36" s="66"/>
      <c r="AR36" s="70" t="s">
        <v>779</v>
      </c>
      <c r="AS36" s="66"/>
      <c r="AT36" s="108">
        <v>0</v>
      </c>
      <c r="AU36" s="109">
        <v>286</v>
      </c>
      <c r="AV36" s="109">
        <v>1525.84</v>
      </c>
      <c r="AW36" s="109">
        <v>864.62</v>
      </c>
      <c r="AX36" s="110">
        <v>0</v>
      </c>
      <c r="AY36" s="110">
        <v>0</v>
      </c>
    </row>
    <row r="37" spans="1:51" x14ac:dyDescent="0.25">
      <c r="A37" s="8" t="s">
        <v>92</v>
      </c>
      <c r="B37" s="5" t="s">
        <v>93</v>
      </c>
      <c r="C37" s="2">
        <v>20.25</v>
      </c>
      <c r="D37" s="24">
        <v>500</v>
      </c>
      <c r="E37" s="26">
        <f t="shared" si="6"/>
        <v>250</v>
      </c>
      <c r="F37" s="26">
        <v>833</v>
      </c>
      <c r="G37" s="30">
        <f t="shared" si="7"/>
        <v>0.30012004801920766</v>
      </c>
      <c r="H37" s="11"/>
      <c r="I37" s="9">
        <v>0</v>
      </c>
      <c r="J37" s="3">
        <v>0</v>
      </c>
      <c r="K37" s="3">
        <v>0</v>
      </c>
      <c r="L37" s="3">
        <v>144</v>
      </c>
      <c r="M37" s="6"/>
      <c r="N37" s="6">
        <v>0</v>
      </c>
      <c r="O37" s="13"/>
      <c r="P37" s="60">
        <f t="shared" si="20"/>
        <v>0</v>
      </c>
      <c r="Q37" s="61">
        <f t="shared" si="21"/>
        <v>0</v>
      </c>
      <c r="R37" s="61">
        <f t="shared" si="22"/>
        <v>0</v>
      </c>
      <c r="S37" s="62">
        <f t="shared" si="23"/>
        <v>2916</v>
      </c>
      <c r="T37" s="63">
        <f t="shared" si="24"/>
        <v>0</v>
      </c>
      <c r="U37" s="63">
        <f t="shared" si="8"/>
        <v>0</v>
      </c>
      <c r="V37" s="64"/>
      <c r="W37" s="60">
        <v>184</v>
      </c>
      <c r="X37" s="61">
        <v>225</v>
      </c>
      <c r="Y37" s="61">
        <v>126</v>
      </c>
      <c r="Z37" s="61">
        <v>183</v>
      </c>
      <c r="AA37" s="65">
        <v>150</v>
      </c>
      <c r="AB37" s="65">
        <v>129</v>
      </c>
      <c r="AC37" s="66"/>
      <c r="AD37" s="67">
        <f t="shared" si="9"/>
        <v>0.22088835534213686</v>
      </c>
      <c r="AE37" s="67">
        <f t="shared" si="10"/>
        <v>0.27010804321728693</v>
      </c>
      <c r="AF37" s="67">
        <f t="shared" si="11"/>
        <v>0.15126050420168066</v>
      </c>
      <c r="AG37" s="67">
        <f t="shared" si="12"/>
        <v>0.21968787515006002</v>
      </c>
      <c r="AH37" s="67">
        <f t="shared" si="13"/>
        <v>0.18007202881152462</v>
      </c>
      <c r="AI37" s="67">
        <f t="shared" si="14"/>
        <v>0.15486194477791115</v>
      </c>
      <c r="AJ37" s="66"/>
      <c r="AK37" s="68">
        <v>5948.8399999999974</v>
      </c>
      <c r="AL37" s="69">
        <v>5925.4399999999987</v>
      </c>
      <c r="AM37" s="69">
        <v>5925.4399999999978</v>
      </c>
      <c r="AN37" s="69">
        <v>2791.8799999999919</v>
      </c>
      <c r="AO37" s="70">
        <v>3921.34</v>
      </c>
      <c r="AP37" s="70">
        <v>2540.4399999999901</v>
      </c>
      <c r="AQ37" s="66"/>
      <c r="AR37" s="70" t="s">
        <v>779</v>
      </c>
      <c r="AS37" s="66"/>
      <c r="AT37" s="108">
        <v>0</v>
      </c>
      <c r="AU37" s="109">
        <v>0</v>
      </c>
      <c r="AV37" s="109">
        <v>0</v>
      </c>
      <c r="AW37" s="109">
        <v>3079.7799999999997</v>
      </c>
      <c r="AX37" s="110">
        <v>0</v>
      </c>
      <c r="AY37" s="110">
        <v>0</v>
      </c>
    </row>
    <row r="38" spans="1:51" x14ac:dyDescent="0.25">
      <c r="A38" s="8">
        <v>5679</v>
      </c>
      <c r="B38" s="5" t="s">
        <v>116</v>
      </c>
      <c r="C38" s="2">
        <v>20.100000000000001</v>
      </c>
      <c r="D38" s="24">
        <v>93.2</v>
      </c>
      <c r="E38" s="26">
        <f t="shared" si="6"/>
        <v>46.6</v>
      </c>
      <c r="F38" s="26">
        <v>102</v>
      </c>
      <c r="G38" s="30">
        <f t="shared" si="7"/>
        <v>0.4568627450980392</v>
      </c>
      <c r="H38" s="11"/>
      <c r="I38" s="9">
        <v>100</v>
      </c>
      <c r="J38" s="3">
        <v>0</v>
      </c>
      <c r="K38" s="3">
        <v>0</v>
      </c>
      <c r="L38" s="3">
        <v>0</v>
      </c>
      <c r="M38" s="6"/>
      <c r="N38" s="6">
        <v>0</v>
      </c>
      <c r="O38" s="13"/>
      <c r="P38" s="60">
        <f t="shared" si="20"/>
        <v>2010.0000000000002</v>
      </c>
      <c r="Q38" s="61">
        <f t="shared" si="21"/>
        <v>0</v>
      </c>
      <c r="R38" s="61">
        <f t="shared" si="22"/>
        <v>0</v>
      </c>
      <c r="S38" s="62">
        <f t="shared" si="23"/>
        <v>0</v>
      </c>
      <c r="T38" s="63">
        <f t="shared" si="24"/>
        <v>0</v>
      </c>
      <c r="U38" s="63">
        <f t="shared" si="8"/>
        <v>0</v>
      </c>
      <c r="V38" s="64"/>
      <c r="W38" s="60">
        <v>103</v>
      </c>
      <c r="X38" s="61">
        <v>44</v>
      </c>
      <c r="Y38" s="61">
        <v>31</v>
      </c>
      <c r="Z38" s="61">
        <v>33</v>
      </c>
      <c r="AA38" s="65">
        <v>22</v>
      </c>
      <c r="AB38" s="65">
        <v>18</v>
      </c>
      <c r="AC38" s="66"/>
      <c r="AD38" s="67">
        <f t="shared" si="9"/>
        <v>1.0098039215686274</v>
      </c>
      <c r="AE38" s="67">
        <f t="shared" si="10"/>
        <v>0.43137254901960786</v>
      </c>
      <c r="AF38" s="67">
        <f t="shared" si="11"/>
        <v>0.30392156862745096</v>
      </c>
      <c r="AG38" s="67">
        <f t="shared" si="12"/>
        <v>0.3235294117647059</v>
      </c>
      <c r="AH38" s="67">
        <f t="shared" si="13"/>
        <v>0.21568627450980393</v>
      </c>
      <c r="AI38" s="67">
        <f t="shared" si="14"/>
        <v>0.17647058823529413</v>
      </c>
      <c r="AJ38" s="66"/>
      <c r="AK38" s="68">
        <v>3054.22</v>
      </c>
      <c r="AL38" s="69">
        <v>1223.8300000000002</v>
      </c>
      <c r="AM38" s="69">
        <v>1223.83</v>
      </c>
      <c r="AN38" s="69">
        <v>827.65999999999917</v>
      </c>
      <c r="AO38" s="70">
        <v>971.13999999999896</v>
      </c>
      <c r="AP38" s="70">
        <v>364.14</v>
      </c>
      <c r="AQ38" s="66"/>
      <c r="AR38" s="70" t="s">
        <v>779</v>
      </c>
      <c r="AS38" s="66"/>
      <c r="AT38" s="108">
        <v>3125</v>
      </c>
      <c r="AU38" s="109">
        <v>0</v>
      </c>
      <c r="AV38" s="109">
        <v>0</v>
      </c>
      <c r="AW38" s="109">
        <v>0</v>
      </c>
      <c r="AX38" s="110">
        <v>0</v>
      </c>
      <c r="AY38" s="110">
        <v>0</v>
      </c>
    </row>
    <row r="39" spans="1:51" x14ac:dyDescent="0.25">
      <c r="A39" s="8" t="s">
        <v>24</v>
      </c>
      <c r="B39" s="5" t="s">
        <v>25</v>
      </c>
      <c r="C39" s="2">
        <v>18.78</v>
      </c>
      <c r="D39" s="24">
        <v>600</v>
      </c>
      <c r="E39" s="26">
        <f t="shared" si="6"/>
        <v>300</v>
      </c>
      <c r="F39" s="26">
        <v>176</v>
      </c>
      <c r="G39" s="30">
        <f t="shared" si="7"/>
        <v>1.7045454545454546</v>
      </c>
      <c r="H39" s="11"/>
      <c r="I39" s="9">
        <v>0</v>
      </c>
      <c r="J39" s="3">
        <v>0</v>
      </c>
      <c r="K39" s="3">
        <v>0</v>
      </c>
      <c r="L39" s="3">
        <v>213</v>
      </c>
      <c r="M39" s="6"/>
      <c r="N39" s="6">
        <v>0</v>
      </c>
      <c r="O39" s="13"/>
      <c r="P39" s="60">
        <f t="shared" si="20"/>
        <v>0</v>
      </c>
      <c r="Q39" s="61">
        <f t="shared" si="21"/>
        <v>0</v>
      </c>
      <c r="R39" s="61">
        <f t="shared" si="22"/>
        <v>0</v>
      </c>
      <c r="S39" s="62">
        <f t="shared" si="23"/>
        <v>4000.1400000000003</v>
      </c>
      <c r="T39" s="63">
        <f t="shared" si="24"/>
        <v>0</v>
      </c>
      <c r="U39" s="63">
        <f t="shared" si="8"/>
        <v>0</v>
      </c>
      <c r="V39" s="64"/>
      <c r="W39" s="60">
        <v>16</v>
      </c>
      <c r="X39" s="61">
        <v>305</v>
      </c>
      <c r="Y39" s="61">
        <v>61</v>
      </c>
      <c r="Z39" s="61">
        <v>0</v>
      </c>
      <c r="AA39" s="65">
        <v>38</v>
      </c>
      <c r="AB39" s="65">
        <v>140</v>
      </c>
      <c r="AC39" s="66"/>
      <c r="AD39" s="67">
        <f t="shared" si="9"/>
        <v>9.0909090909090912E-2</v>
      </c>
      <c r="AE39" s="67">
        <f t="shared" si="10"/>
        <v>1.7329545454545454</v>
      </c>
      <c r="AF39" s="67">
        <f t="shared" si="11"/>
        <v>0.34659090909090912</v>
      </c>
      <c r="AG39" s="67">
        <f t="shared" si="12"/>
        <v>0</v>
      </c>
      <c r="AH39" s="67">
        <f t="shared" si="13"/>
        <v>0.21590909090909091</v>
      </c>
      <c r="AI39" s="67">
        <f t="shared" si="14"/>
        <v>0.79545454545454541</v>
      </c>
      <c r="AJ39" s="66"/>
      <c r="AK39" s="68">
        <v>255.76</v>
      </c>
      <c r="AL39" s="69">
        <v>2809.9200000000005</v>
      </c>
      <c r="AM39" s="69">
        <v>2809.9200000000005</v>
      </c>
      <c r="AN39" s="69">
        <v>1138.7999999999997</v>
      </c>
      <c r="AO39" s="70">
        <v>713.6400000000001</v>
      </c>
      <c r="AP39" s="70">
        <v>2559.0599999999899</v>
      </c>
      <c r="AQ39" s="66"/>
      <c r="AR39" s="70" t="s">
        <v>779</v>
      </c>
      <c r="AS39" s="66"/>
      <c r="AT39" s="108">
        <v>0</v>
      </c>
      <c r="AU39" s="109">
        <v>0</v>
      </c>
      <c r="AV39" s="109">
        <v>0</v>
      </c>
      <c r="AW39" s="109">
        <v>2066.25</v>
      </c>
      <c r="AX39" s="110">
        <v>0</v>
      </c>
      <c r="AY39" s="110">
        <v>0</v>
      </c>
    </row>
    <row r="40" spans="1:51" x14ac:dyDescent="0.25">
      <c r="A40" s="8">
        <v>5092</v>
      </c>
      <c r="B40" s="5" t="s">
        <v>286</v>
      </c>
      <c r="C40" s="2">
        <v>18.230000000000004</v>
      </c>
      <c r="D40" s="24">
        <v>1500</v>
      </c>
      <c r="E40" s="26">
        <f t="shared" si="6"/>
        <v>750</v>
      </c>
      <c r="F40" s="26">
        <v>4846</v>
      </c>
      <c r="G40" s="30">
        <f t="shared" si="7"/>
        <v>0.15476681799422204</v>
      </c>
      <c r="H40" s="11"/>
      <c r="I40" s="9">
        <v>398.18181818181813</v>
      </c>
      <c r="J40" s="3">
        <v>0</v>
      </c>
      <c r="K40" s="3">
        <v>245</v>
      </c>
      <c r="L40" s="3">
        <v>144</v>
      </c>
      <c r="M40" s="6">
        <v>490</v>
      </c>
      <c r="N40" s="6">
        <v>475</v>
      </c>
      <c r="O40" s="13"/>
      <c r="P40" s="60">
        <f t="shared" si="20"/>
        <v>7258.8545454545465</v>
      </c>
      <c r="Q40" s="61">
        <f t="shared" si="21"/>
        <v>0</v>
      </c>
      <c r="R40" s="61">
        <f t="shared" si="22"/>
        <v>4466.3500000000013</v>
      </c>
      <c r="S40" s="62">
        <f t="shared" si="23"/>
        <v>2625.1200000000008</v>
      </c>
      <c r="T40" s="63">
        <f t="shared" si="24"/>
        <v>8932.7000000000025</v>
      </c>
      <c r="U40" s="63">
        <f t="shared" si="8"/>
        <v>8659.2500000000018</v>
      </c>
      <c r="V40" s="64"/>
      <c r="W40" s="60">
        <v>1008</v>
      </c>
      <c r="X40" s="61">
        <v>542</v>
      </c>
      <c r="Y40" s="61">
        <v>49</v>
      </c>
      <c r="Z40" s="61">
        <v>975</v>
      </c>
      <c r="AA40" s="65">
        <v>1524</v>
      </c>
      <c r="AB40" s="65">
        <v>1130</v>
      </c>
      <c r="AC40" s="66"/>
      <c r="AD40" s="67">
        <f t="shared" si="9"/>
        <v>0.20800660338423441</v>
      </c>
      <c r="AE40" s="67">
        <f t="shared" si="10"/>
        <v>0.11184482047049113</v>
      </c>
      <c r="AF40" s="67">
        <f t="shared" si="11"/>
        <v>1.0111432108955839E-2</v>
      </c>
      <c r="AG40" s="67">
        <f t="shared" si="12"/>
        <v>0.20119686339248866</v>
      </c>
      <c r="AH40" s="67">
        <f t="shared" si="13"/>
        <v>0.31448617416425917</v>
      </c>
      <c r="AI40" s="67">
        <f t="shared" si="14"/>
        <v>0.23318200577796119</v>
      </c>
      <c r="AJ40" s="66"/>
      <c r="AK40" s="68">
        <v>2197.3699999999981</v>
      </c>
      <c r="AL40" s="69">
        <v>2838.0699999999933</v>
      </c>
      <c r="AM40" s="69">
        <v>2838.0699999999929</v>
      </c>
      <c r="AN40" s="69">
        <v>2158.219999999998</v>
      </c>
      <c r="AO40" s="70">
        <v>42398.230000000098</v>
      </c>
      <c r="AP40" s="70">
        <v>16181.12</v>
      </c>
      <c r="AQ40" s="66"/>
      <c r="AR40" s="70" t="s">
        <v>779</v>
      </c>
      <c r="AS40" s="66"/>
      <c r="AT40" s="108">
        <v>5674.5</v>
      </c>
      <c r="AU40" s="109">
        <v>0</v>
      </c>
      <c r="AV40" s="109">
        <v>17369.150000000001</v>
      </c>
      <c r="AW40" s="109">
        <v>10195.200000000001</v>
      </c>
      <c r="AX40" s="110">
        <v>34846.550000000003</v>
      </c>
      <c r="AY40" s="110">
        <v>33335.5</v>
      </c>
    </row>
    <row r="41" spans="1:51" x14ac:dyDescent="0.25">
      <c r="A41" s="8">
        <v>5427</v>
      </c>
      <c r="B41" s="5" t="s">
        <v>16</v>
      </c>
      <c r="C41" s="2">
        <v>18.11</v>
      </c>
      <c r="D41" s="24">
        <v>58.2</v>
      </c>
      <c r="E41" s="26">
        <f t="shared" si="6"/>
        <v>29.1</v>
      </c>
      <c r="F41" s="26">
        <v>291</v>
      </c>
      <c r="G41" s="30">
        <f t="shared" si="7"/>
        <v>0.1</v>
      </c>
      <c r="H41" s="11"/>
      <c r="I41" s="9">
        <v>0</v>
      </c>
      <c r="J41" s="3">
        <v>0</v>
      </c>
      <c r="K41" s="3">
        <v>0</v>
      </c>
      <c r="L41" s="3">
        <v>0</v>
      </c>
      <c r="M41" s="6"/>
      <c r="N41" s="6">
        <v>0</v>
      </c>
      <c r="O41" s="13"/>
      <c r="P41" s="60">
        <f t="shared" si="20"/>
        <v>0</v>
      </c>
      <c r="Q41" s="61">
        <f t="shared" si="21"/>
        <v>0</v>
      </c>
      <c r="R41" s="61">
        <f t="shared" si="22"/>
        <v>0</v>
      </c>
      <c r="S41" s="62">
        <f t="shared" si="23"/>
        <v>0</v>
      </c>
      <c r="T41" s="63">
        <f t="shared" si="24"/>
        <v>0</v>
      </c>
      <c r="U41" s="63">
        <f t="shared" si="8"/>
        <v>0</v>
      </c>
      <c r="V41" s="64"/>
      <c r="W41" s="60">
        <v>0</v>
      </c>
      <c r="X41" s="61">
        <v>0</v>
      </c>
      <c r="Y41" s="61">
        <v>0</v>
      </c>
      <c r="Z41" s="61">
        <v>0</v>
      </c>
      <c r="AA41" s="65">
        <v>0</v>
      </c>
      <c r="AB41" s="65">
        <v>0</v>
      </c>
      <c r="AC41" s="66"/>
      <c r="AD41" s="67">
        <f t="shared" si="9"/>
        <v>0</v>
      </c>
      <c r="AE41" s="67">
        <f t="shared" si="10"/>
        <v>0</v>
      </c>
      <c r="AF41" s="67">
        <f t="shared" si="11"/>
        <v>0</v>
      </c>
      <c r="AG41" s="67">
        <f t="shared" si="12"/>
        <v>0</v>
      </c>
      <c r="AH41" s="67">
        <f t="shared" si="13"/>
        <v>0</v>
      </c>
      <c r="AI41" s="67">
        <f t="shared" si="14"/>
        <v>0</v>
      </c>
      <c r="AJ41" s="66"/>
      <c r="AK41" s="68">
        <v>0</v>
      </c>
      <c r="AL41" s="69">
        <v>0</v>
      </c>
      <c r="AM41" s="69">
        <v>0</v>
      </c>
      <c r="AN41" s="69">
        <v>0</v>
      </c>
      <c r="AO41" s="70">
        <v>0</v>
      </c>
      <c r="AP41" s="70">
        <v>0</v>
      </c>
      <c r="AQ41" s="66"/>
      <c r="AR41" s="70" t="s">
        <v>779</v>
      </c>
      <c r="AS41" s="66"/>
      <c r="AT41" s="108">
        <v>0</v>
      </c>
      <c r="AU41" s="109">
        <v>0</v>
      </c>
      <c r="AV41" s="109">
        <v>0</v>
      </c>
      <c r="AW41" s="109">
        <v>0</v>
      </c>
      <c r="AX41" s="110">
        <v>0</v>
      </c>
      <c r="AY41" s="110">
        <v>0</v>
      </c>
    </row>
    <row r="42" spans="1:51" x14ac:dyDescent="0.25">
      <c r="A42" s="8" t="s">
        <v>281</v>
      </c>
      <c r="B42" s="5" t="s">
        <v>282</v>
      </c>
      <c r="C42" s="2">
        <v>17.670000000000002</v>
      </c>
      <c r="D42" s="24">
        <v>500</v>
      </c>
      <c r="E42" s="26">
        <f t="shared" si="6"/>
        <v>250</v>
      </c>
      <c r="F42" s="26">
        <v>469</v>
      </c>
      <c r="G42" s="30">
        <f t="shared" si="7"/>
        <v>0.53304904051172708</v>
      </c>
      <c r="H42" s="11"/>
      <c r="I42" s="9">
        <v>0</v>
      </c>
      <c r="J42" s="3">
        <v>0</v>
      </c>
      <c r="K42" s="3">
        <v>50</v>
      </c>
      <c r="L42" s="3">
        <v>192</v>
      </c>
      <c r="M42" s="6"/>
      <c r="N42" s="6">
        <v>0</v>
      </c>
      <c r="O42" s="13"/>
      <c r="P42" s="60">
        <f t="shared" si="20"/>
        <v>0</v>
      </c>
      <c r="Q42" s="61">
        <f t="shared" si="21"/>
        <v>0</v>
      </c>
      <c r="R42" s="61">
        <f t="shared" si="22"/>
        <v>883.50000000000011</v>
      </c>
      <c r="S42" s="62">
        <f t="shared" si="23"/>
        <v>3392.6400000000003</v>
      </c>
      <c r="T42" s="63">
        <f t="shared" si="24"/>
        <v>0</v>
      </c>
      <c r="U42" s="63">
        <f t="shared" si="8"/>
        <v>0</v>
      </c>
      <c r="V42" s="64"/>
      <c r="W42" s="60">
        <v>134</v>
      </c>
      <c r="X42" s="61">
        <v>168</v>
      </c>
      <c r="Y42" s="61">
        <v>138</v>
      </c>
      <c r="Z42" s="61">
        <v>147</v>
      </c>
      <c r="AA42" s="65">
        <v>106</v>
      </c>
      <c r="AB42" s="65">
        <v>196</v>
      </c>
      <c r="AC42" s="66"/>
      <c r="AD42" s="67">
        <f t="shared" si="9"/>
        <v>0.2857142857142857</v>
      </c>
      <c r="AE42" s="67">
        <f t="shared" si="10"/>
        <v>0.35820895522388058</v>
      </c>
      <c r="AF42" s="67">
        <f t="shared" si="11"/>
        <v>0.29424307036247332</v>
      </c>
      <c r="AG42" s="67">
        <f t="shared" si="12"/>
        <v>0.31343283582089554</v>
      </c>
      <c r="AH42" s="67">
        <f t="shared" si="13"/>
        <v>0.22601279317697229</v>
      </c>
      <c r="AI42" s="67">
        <f t="shared" si="14"/>
        <v>0.41791044776119401</v>
      </c>
      <c r="AJ42" s="66"/>
      <c r="AK42" s="68">
        <v>626.54999999999961</v>
      </c>
      <c r="AL42" s="69">
        <v>767.83999999999969</v>
      </c>
      <c r="AM42" s="69">
        <v>767.83999999999958</v>
      </c>
      <c r="AN42" s="69">
        <v>875.42999999999972</v>
      </c>
      <c r="AO42" s="70">
        <v>824.520000000001</v>
      </c>
      <c r="AP42" s="70">
        <v>3350</v>
      </c>
      <c r="AQ42" s="66"/>
      <c r="AR42" s="70" t="s">
        <v>779</v>
      </c>
      <c r="AS42" s="66"/>
      <c r="AT42" s="108">
        <v>0</v>
      </c>
      <c r="AU42" s="109">
        <v>0</v>
      </c>
      <c r="AV42" s="109">
        <v>3009</v>
      </c>
      <c r="AW42" s="109">
        <v>11554.56</v>
      </c>
      <c r="AX42" s="110">
        <v>0</v>
      </c>
      <c r="AY42" s="110">
        <v>0</v>
      </c>
    </row>
    <row r="43" spans="1:51" x14ac:dyDescent="0.25">
      <c r="A43" s="8">
        <v>1050</v>
      </c>
      <c r="B43" s="5" t="s">
        <v>145</v>
      </c>
      <c r="C43" s="2">
        <v>17.12</v>
      </c>
      <c r="D43" s="24">
        <v>1946.4</v>
      </c>
      <c r="E43" s="26">
        <f t="shared" si="6"/>
        <v>973.2</v>
      </c>
      <c r="F43" s="26">
        <v>2199</v>
      </c>
      <c r="G43" s="30">
        <f t="shared" si="7"/>
        <v>0.44256480218281041</v>
      </c>
      <c r="H43" s="11"/>
      <c r="I43" s="9">
        <v>0</v>
      </c>
      <c r="J43" s="3">
        <v>0</v>
      </c>
      <c r="K43" s="3">
        <v>0</v>
      </c>
      <c r="L43" s="3">
        <v>0</v>
      </c>
      <c r="M43" s="6">
        <v>160</v>
      </c>
      <c r="N43" s="6">
        <v>1016</v>
      </c>
      <c r="O43" s="13"/>
      <c r="P43" s="60">
        <f t="shared" si="20"/>
        <v>0</v>
      </c>
      <c r="Q43" s="61">
        <f t="shared" si="21"/>
        <v>0</v>
      </c>
      <c r="R43" s="61">
        <f t="shared" si="22"/>
        <v>0</v>
      </c>
      <c r="S43" s="62">
        <f t="shared" si="23"/>
        <v>0</v>
      </c>
      <c r="T43" s="63">
        <f t="shared" si="24"/>
        <v>2739.2000000000003</v>
      </c>
      <c r="U43" s="63">
        <f t="shared" si="8"/>
        <v>17393.920000000002</v>
      </c>
      <c r="V43" s="64"/>
      <c r="W43" s="60">
        <v>587</v>
      </c>
      <c r="X43" s="61">
        <v>912</v>
      </c>
      <c r="Y43" s="61">
        <v>412</v>
      </c>
      <c r="Z43" s="61">
        <v>1995</v>
      </c>
      <c r="AA43" s="65">
        <v>960</v>
      </c>
      <c r="AB43" s="65">
        <v>633</v>
      </c>
      <c r="AC43" s="66"/>
      <c r="AD43" s="67">
        <f t="shared" si="9"/>
        <v>0.26693951796271032</v>
      </c>
      <c r="AE43" s="67">
        <f t="shared" si="10"/>
        <v>0.41473396998635742</v>
      </c>
      <c r="AF43" s="67">
        <f t="shared" si="11"/>
        <v>0.18735788994997726</v>
      </c>
      <c r="AG43" s="67">
        <f t="shared" si="12"/>
        <v>0.90723055934515684</v>
      </c>
      <c r="AH43" s="67">
        <f t="shared" si="13"/>
        <v>0.43656207366984995</v>
      </c>
      <c r="AI43" s="67">
        <f t="shared" si="14"/>
        <v>0.28785811732605732</v>
      </c>
      <c r="AJ43" s="66"/>
      <c r="AK43" s="68">
        <v>2676</v>
      </c>
      <c r="AL43" s="69">
        <v>1728.6599999999996</v>
      </c>
      <c r="AM43" s="69">
        <v>1728.66</v>
      </c>
      <c r="AN43" s="69">
        <v>111.3799999999999</v>
      </c>
      <c r="AO43" s="70">
        <v>16435.2</v>
      </c>
      <c r="AP43" s="70">
        <v>6418.41</v>
      </c>
      <c r="AQ43" s="66"/>
      <c r="AR43" s="70" t="s">
        <v>779</v>
      </c>
      <c r="AS43" s="66"/>
      <c r="AT43" s="108">
        <v>0</v>
      </c>
      <c r="AU43" s="109">
        <v>0</v>
      </c>
      <c r="AV43" s="109">
        <v>0</v>
      </c>
      <c r="AW43" s="109">
        <v>0</v>
      </c>
      <c r="AX43" s="110">
        <v>803.2</v>
      </c>
      <c r="AY43" s="110">
        <v>5169.51</v>
      </c>
    </row>
    <row r="44" spans="1:51" x14ac:dyDescent="0.25">
      <c r="A44" s="8">
        <v>360</v>
      </c>
      <c r="B44" s="5" t="s">
        <v>313</v>
      </c>
      <c r="C44" s="2">
        <v>16.689999999999998</v>
      </c>
      <c r="D44" s="24">
        <v>1000</v>
      </c>
      <c r="E44" s="26">
        <f t="shared" si="6"/>
        <v>500</v>
      </c>
      <c r="F44" s="26">
        <v>2287</v>
      </c>
      <c r="G44" s="30">
        <f t="shared" si="7"/>
        <v>0.21862702229995629</v>
      </c>
      <c r="H44" s="11"/>
      <c r="I44" s="9">
        <v>0</v>
      </c>
      <c r="J44" s="3">
        <v>0</v>
      </c>
      <c r="K44" s="3">
        <v>0</v>
      </c>
      <c r="L44" s="3">
        <v>0</v>
      </c>
      <c r="M44" s="6">
        <v>60</v>
      </c>
      <c r="N44" s="6">
        <v>161</v>
      </c>
      <c r="O44" s="13"/>
      <c r="P44" s="60">
        <f t="shared" si="20"/>
        <v>0</v>
      </c>
      <c r="Q44" s="61">
        <f t="shared" si="21"/>
        <v>0</v>
      </c>
      <c r="R44" s="61">
        <f t="shared" si="22"/>
        <v>0</v>
      </c>
      <c r="S44" s="62">
        <f t="shared" si="23"/>
        <v>0</v>
      </c>
      <c r="T44" s="63">
        <f t="shared" si="24"/>
        <v>1001.3999999999999</v>
      </c>
      <c r="U44" s="63">
        <f t="shared" si="8"/>
        <v>2687.0899999999997</v>
      </c>
      <c r="V44" s="64"/>
      <c r="W44" s="60">
        <v>0</v>
      </c>
      <c r="X44" s="61">
        <v>0</v>
      </c>
      <c r="Y44" s="61">
        <v>0</v>
      </c>
      <c r="Z44" s="61">
        <v>0</v>
      </c>
      <c r="AA44" s="65">
        <v>0</v>
      </c>
      <c r="AB44" s="65">
        <v>0</v>
      </c>
      <c r="AC44" s="66"/>
      <c r="AD44" s="67">
        <f t="shared" si="9"/>
        <v>0</v>
      </c>
      <c r="AE44" s="67">
        <f t="shared" si="10"/>
        <v>0</v>
      </c>
      <c r="AF44" s="67">
        <f t="shared" si="11"/>
        <v>0</v>
      </c>
      <c r="AG44" s="67">
        <f t="shared" si="12"/>
        <v>0</v>
      </c>
      <c r="AH44" s="67">
        <f t="shared" si="13"/>
        <v>0</v>
      </c>
      <c r="AI44" s="67">
        <f t="shared" si="14"/>
        <v>0</v>
      </c>
      <c r="AJ44" s="66"/>
      <c r="AK44" s="68">
        <v>0</v>
      </c>
      <c r="AL44" s="69">
        <v>0</v>
      </c>
      <c r="AM44" s="69">
        <v>0</v>
      </c>
      <c r="AN44" s="69">
        <v>0</v>
      </c>
      <c r="AO44" s="70">
        <v>0</v>
      </c>
      <c r="AP44" s="70">
        <v>0</v>
      </c>
      <c r="AQ44" s="66"/>
      <c r="AR44" s="70" t="s">
        <v>780</v>
      </c>
      <c r="AS44" s="66"/>
      <c r="AT44" s="108">
        <v>0</v>
      </c>
      <c r="AU44" s="109">
        <v>0</v>
      </c>
      <c r="AV44" s="109">
        <v>0</v>
      </c>
      <c r="AW44" s="109">
        <v>0</v>
      </c>
      <c r="AX44" s="110">
        <v>4194.6000000000004</v>
      </c>
      <c r="AY44" s="110">
        <v>11265.98</v>
      </c>
    </row>
    <row r="45" spans="1:51" x14ac:dyDescent="0.25">
      <c r="A45" s="8" t="s">
        <v>804</v>
      </c>
      <c r="B45" s="5" t="s">
        <v>847</v>
      </c>
      <c r="C45" s="2">
        <v>15.938361916026018</v>
      </c>
      <c r="D45" s="24">
        <v>50</v>
      </c>
      <c r="E45" s="26">
        <f t="shared" si="6"/>
        <v>25</v>
      </c>
      <c r="F45" s="26">
        <v>14</v>
      </c>
      <c r="G45" s="30">
        <f t="shared" si="7"/>
        <v>1.7857142857142858</v>
      </c>
      <c r="H45" s="11"/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6">
        <v>90</v>
      </c>
      <c r="O45" s="13"/>
      <c r="P45" s="60"/>
      <c r="Q45" s="61"/>
      <c r="R45" s="61"/>
      <c r="S45" s="62"/>
      <c r="T45" s="63"/>
      <c r="U45" s="63">
        <f t="shared" si="8"/>
        <v>1434.4525724423415</v>
      </c>
      <c r="V45" s="64"/>
      <c r="W45" s="60"/>
      <c r="X45" s="61"/>
      <c r="Y45" s="61"/>
      <c r="Z45" s="61"/>
      <c r="AA45" s="65"/>
      <c r="AB45" s="65"/>
      <c r="AC45" s="66"/>
      <c r="AD45" s="67">
        <f t="shared" si="9"/>
        <v>0</v>
      </c>
      <c r="AE45" s="67">
        <f t="shared" si="10"/>
        <v>0</v>
      </c>
      <c r="AF45" s="67">
        <f t="shared" si="11"/>
        <v>0</v>
      </c>
      <c r="AG45" s="67">
        <f t="shared" si="12"/>
        <v>0</v>
      </c>
      <c r="AH45" s="67">
        <f t="shared" si="13"/>
        <v>0</v>
      </c>
      <c r="AI45" s="67">
        <f t="shared" si="14"/>
        <v>0</v>
      </c>
      <c r="AJ45" s="66"/>
      <c r="AK45" s="68"/>
      <c r="AL45" s="69"/>
      <c r="AM45" s="69"/>
      <c r="AN45" s="69"/>
      <c r="AO45" s="70"/>
      <c r="AP45" s="70"/>
      <c r="AQ45" s="66"/>
      <c r="AR45" s="70" t="s">
        <v>779</v>
      </c>
      <c r="AS45" s="66"/>
      <c r="AT45" s="108">
        <v>0</v>
      </c>
      <c r="AU45" s="109">
        <v>0</v>
      </c>
      <c r="AV45" s="109">
        <v>0</v>
      </c>
      <c r="AW45" s="109">
        <v>0</v>
      </c>
      <c r="AX45" s="110">
        <v>0</v>
      </c>
      <c r="AY45" s="110">
        <v>1017</v>
      </c>
    </row>
    <row r="46" spans="1:51" x14ac:dyDescent="0.25">
      <c r="A46" s="8" t="s">
        <v>226</v>
      </c>
      <c r="B46" s="5" t="s">
        <v>227</v>
      </c>
      <c r="C46" s="2">
        <v>14.07</v>
      </c>
      <c r="D46" s="24">
        <v>1000</v>
      </c>
      <c r="E46" s="26">
        <f t="shared" si="6"/>
        <v>500</v>
      </c>
      <c r="F46" s="26">
        <v>1313</v>
      </c>
      <c r="G46" s="30">
        <f t="shared" si="7"/>
        <v>0.38080731150038083</v>
      </c>
      <c r="H46" s="11"/>
      <c r="I46" s="9">
        <v>183</v>
      </c>
      <c r="J46" s="3">
        <v>564</v>
      </c>
      <c r="K46" s="3">
        <v>397</v>
      </c>
      <c r="L46" s="3">
        <v>243</v>
      </c>
      <c r="M46" s="6">
        <v>53</v>
      </c>
      <c r="N46" s="6">
        <v>127</v>
      </c>
      <c r="O46" s="13"/>
      <c r="P46" s="60">
        <f>+I46*C46</f>
        <v>2574.81</v>
      </c>
      <c r="Q46" s="61">
        <f>+J46*C46</f>
        <v>7935.4800000000005</v>
      </c>
      <c r="R46" s="61">
        <f>+K46*C46</f>
        <v>5585.79</v>
      </c>
      <c r="S46" s="62">
        <f>+L46*C46</f>
        <v>3419.01</v>
      </c>
      <c r="T46" s="63">
        <f>+M46*C46</f>
        <v>745.71</v>
      </c>
      <c r="U46" s="63">
        <f t="shared" si="8"/>
        <v>1786.89</v>
      </c>
      <c r="V46" s="64"/>
      <c r="W46" s="60">
        <v>172</v>
      </c>
      <c r="X46" s="61">
        <v>506</v>
      </c>
      <c r="Y46" s="61">
        <v>487</v>
      </c>
      <c r="Z46" s="61">
        <v>249</v>
      </c>
      <c r="AA46" s="65">
        <v>608</v>
      </c>
      <c r="AB46" s="65">
        <v>168</v>
      </c>
      <c r="AC46" s="66"/>
      <c r="AD46" s="67">
        <f t="shared" si="9"/>
        <v>0.13099771515613101</v>
      </c>
      <c r="AE46" s="67">
        <f t="shared" si="10"/>
        <v>0.38537699923838536</v>
      </c>
      <c r="AF46" s="67">
        <f t="shared" si="11"/>
        <v>0.37090632140137092</v>
      </c>
      <c r="AG46" s="67">
        <f t="shared" si="12"/>
        <v>0.18964204112718963</v>
      </c>
      <c r="AH46" s="67">
        <f t="shared" si="13"/>
        <v>0.46306169078446308</v>
      </c>
      <c r="AI46" s="67">
        <f t="shared" si="14"/>
        <v>0.12795125666412796</v>
      </c>
      <c r="AJ46" s="66"/>
      <c r="AK46" s="68">
        <v>1868.82</v>
      </c>
      <c r="AL46" s="69">
        <v>4865.3199999999961</v>
      </c>
      <c r="AM46" s="69">
        <v>4865.3199999999952</v>
      </c>
      <c r="AN46" s="69">
        <v>4468.5599999999886</v>
      </c>
      <c r="AO46" s="70">
        <v>2282.35</v>
      </c>
      <c r="AP46" s="70">
        <v>2377.31</v>
      </c>
      <c r="AQ46" s="66"/>
      <c r="AR46" s="70" t="s">
        <v>779</v>
      </c>
      <c r="AS46" s="66"/>
      <c r="AT46" s="108">
        <v>8301.66</v>
      </c>
      <c r="AU46" s="109">
        <v>26103.71</v>
      </c>
      <c r="AV46" s="109">
        <v>17782.46</v>
      </c>
      <c r="AW46" s="109">
        <v>9450.7999999999993</v>
      </c>
      <c r="AX46" s="110">
        <v>2110.46</v>
      </c>
      <c r="AY46" s="110">
        <v>5062.0200000000004</v>
      </c>
    </row>
    <row r="47" spans="1:51" x14ac:dyDescent="0.25">
      <c r="A47" s="8" t="s">
        <v>90</v>
      </c>
      <c r="B47" s="5" t="s">
        <v>91</v>
      </c>
      <c r="C47" s="2">
        <v>14.02</v>
      </c>
      <c r="D47" s="24">
        <v>120</v>
      </c>
      <c r="E47" s="26">
        <f t="shared" si="6"/>
        <v>60</v>
      </c>
      <c r="F47" s="26">
        <v>27</v>
      </c>
      <c r="G47" s="30">
        <f t="shared" si="7"/>
        <v>2.2222222222222223</v>
      </c>
      <c r="H47" s="11"/>
      <c r="I47" s="9">
        <v>0</v>
      </c>
      <c r="J47" s="3">
        <v>0</v>
      </c>
      <c r="K47" s="3">
        <v>100</v>
      </c>
      <c r="L47" s="3">
        <v>95</v>
      </c>
      <c r="M47" s="6"/>
      <c r="N47" s="6">
        <v>0</v>
      </c>
      <c r="O47" s="13"/>
      <c r="P47" s="60">
        <f>+I47*C47</f>
        <v>0</v>
      </c>
      <c r="Q47" s="61">
        <f>+J47*C47</f>
        <v>0</v>
      </c>
      <c r="R47" s="61">
        <f>+K47*C47</f>
        <v>1402</v>
      </c>
      <c r="S47" s="62">
        <f>+L47*C47</f>
        <v>1331.8999999999999</v>
      </c>
      <c r="T47" s="63">
        <f>+M47*C47</f>
        <v>0</v>
      </c>
      <c r="U47" s="63">
        <f t="shared" si="8"/>
        <v>0</v>
      </c>
      <c r="V47" s="64"/>
      <c r="W47" s="60">
        <v>9</v>
      </c>
      <c r="X47" s="61">
        <v>11</v>
      </c>
      <c r="Y47" s="61">
        <v>3</v>
      </c>
      <c r="Z47" s="61">
        <v>3</v>
      </c>
      <c r="AA47" s="65">
        <v>9</v>
      </c>
      <c r="AB47" s="65">
        <v>30</v>
      </c>
      <c r="AC47" s="66"/>
      <c r="AD47" s="67">
        <f t="shared" si="9"/>
        <v>0.33333333333333331</v>
      </c>
      <c r="AE47" s="67">
        <f t="shared" si="10"/>
        <v>0.40740740740740738</v>
      </c>
      <c r="AF47" s="67">
        <f t="shared" si="11"/>
        <v>0.1111111111111111</v>
      </c>
      <c r="AG47" s="67">
        <f t="shared" si="12"/>
        <v>0.1111111111111111</v>
      </c>
      <c r="AH47" s="67">
        <f t="shared" si="13"/>
        <v>0.33333333333333331</v>
      </c>
      <c r="AI47" s="67">
        <f t="shared" si="14"/>
        <v>1.1111111111111112</v>
      </c>
      <c r="AJ47" s="66"/>
      <c r="AK47" s="68">
        <v>122.14</v>
      </c>
      <c r="AL47" s="69">
        <v>117.83</v>
      </c>
      <c r="AM47" s="69">
        <v>117.82999999999998</v>
      </c>
      <c r="AN47" s="69">
        <v>55.8</v>
      </c>
      <c r="AO47" s="70">
        <v>32.659999999999997</v>
      </c>
      <c r="AP47" s="70">
        <v>325.33999999999997</v>
      </c>
      <c r="AQ47" s="66"/>
      <c r="AR47" s="70" t="s">
        <v>779</v>
      </c>
      <c r="AS47" s="66"/>
      <c r="AT47" s="108">
        <v>0</v>
      </c>
      <c r="AU47" s="109">
        <v>0</v>
      </c>
      <c r="AV47" s="109">
        <v>1687</v>
      </c>
      <c r="AW47" s="109">
        <v>1608.35</v>
      </c>
      <c r="AX47" s="110">
        <v>0</v>
      </c>
      <c r="AY47" s="110">
        <v>0</v>
      </c>
    </row>
    <row r="48" spans="1:51" x14ac:dyDescent="0.25">
      <c r="A48" s="8" t="s">
        <v>304</v>
      </c>
      <c r="B48" s="5" t="s">
        <v>305</v>
      </c>
      <c r="C48" s="2">
        <v>13.899999999999999</v>
      </c>
      <c r="D48" s="24">
        <v>600</v>
      </c>
      <c r="E48" s="26">
        <f t="shared" si="6"/>
        <v>300</v>
      </c>
      <c r="F48" s="26">
        <v>1585</v>
      </c>
      <c r="G48" s="30">
        <f t="shared" si="7"/>
        <v>0.1892744479495268</v>
      </c>
      <c r="H48" s="11"/>
      <c r="I48" s="9">
        <v>0</v>
      </c>
      <c r="J48" s="3">
        <v>50</v>
      </c>
      <c r="K48" s="3">
        <v>123</v>
      </c>
      <c r="L48" s="3">
        <v>149</v>
      </c>
      <c r="M48" s="6"/>
      <c r="N48" s="6">
        <v>400</v>
      </c>
      <c r="O48" s="13"/>
      <c r="P48" s="60">
        <f>+I48*C48</f>
        <v>0</v>
      </c>
      <c r="Q48" s="61">
        <f>+J48*C48</f>
        <v>694.99999999999989</v>
      </c>
      <c r="R48" s="61">
        <f>+K48*C48</f>
        <v>1709.6999999999998</v>
      </c>
      <c r="S48" s="62">
        <f>+L48*C48</f>
        <v>2071.1</v>
      </c>
      <c r="T48" s="63">
        <f>+M48*C48</f>
        <v>0</v>
      </c>
      <c r="U48" s="63">
        <f t="shared" si="8"/>
        <v>5559.9999999999991</v>
      </c>
      <c r="V48" s="64"/>
      <c r="W48" s="60">
        <v>172</v>
      </c>
      <c r="X48" s="61">
        <v>191</v>
      </c>
      <c r="Y48" s="61">
        <v>14</v>
      </c>
      <c r="Z48" s="61">
        <v>137</v>
      </c>
      <c r="AA48" s="65">
        <v>12</v>
      </c>
      <c r="AB48" s="65">
        <v>49</v>
      </c>
      <c r="AC48" s="66"/>
      <c r="AD48" s="67">
        <f t="shared" si="9"/>
        <v>0.1085173501577287</v>
      </c>
      <c r="AE48" s="67">
        <f t="shared" si="10"/>
        <v>0.12050473186119874</v>
      </c>
      <c r="AF48" s="67">
        <f t="shared" si="11"/>
        <v>8.8328075709779175E-3</v>
      </c>
      <c r="AG48" s="67">
        <f t="shared" si="12"/>
        <v>8.6435331230283907E-2</v>
      </c>
      <c r="AH48" s="67">
        <f t="shared" si="13"/>
        <v>7.5709779179810727E-3</v>
      </c>
      <c r="AI48" s="67">
        <f t="shared" si="14"/>
        <v>3.0914826498422712E-2</v>
      </c>
      <c r="AJ48" s="66"/>
      <c r="AK48" s="68">
        <v>1779.1</v>
      </c>
      <c r="AL48" s="69">
        <v>2145.449999999998</v>
      </c>
      <c r="AM48" s="69">
        <v>2145.4499999999985</v>
      </c>
      <c r="AN48" s="69">
        <v>199.95000000000002</v>
      </c>
      <c r="AO48" s="70">
        <v>1751.26</v>
      </c>
      <c r="AP48" s="70">
        <v>695.979999999999</v>
      </c>
      <c r="AQ48" s="66"/>
      <c r="AR48" s="70" t="s">
        <v>779</v>
      </c>
      <c r="AS48" s="66"/>
      <c r="AT48" s="108">
        <v>0</v>
      </c>
      <c r="AU48" s="109">
        <v>3141.5</v>
      </c>
      <c r="AV48" s="109">
        <v>7722.38</v>
      </c>
      <c r="AW48" s="109">
        <v>8757.02</v>
      </c>
      <c r="AX48" s="110">
        <v>0</v>
      </c>
      <c r="AY48" s="110">
        <v>23108.5</v>
      </c>
    </row>
    <row r="49" spans="1:51" x14ac:dyDescent="0.25">
      <c r="A49" s="8">
        <v>5040</v>
      </c>
      <c r="B49" s="5" t="s">
        <v>829</v>
      </c>
      <c r="C49" s="2">
        <v>13.603611971104232</v>
      </c>
      <c r="D49" s="24">
        <v>500</v>
      </c>
      <c r="E49" s="26">
        <f t="shared" si="6"/>
        <v>250</v>
      </c>
      <c r="F49" s="26">
        <v>1202</v>
      </c>
      <c r="G49" s="30">
        <f t="shared" si="7"/>
        <v>0.20798668885191349</v>
      </c>
      <c r="H49" s="11"/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6">
        <v>235</v>
      </c>
      <c r="O49" s="13"/>
      <c r="P49" s="60"/>
      <c r="Q49" s="61"/>
      <c r="R49" s="61"/>
      <c r="S49" s="62"/>
      <c r="T49" s="63"/>
      <c r="U49" s="63">
        <f t="shared" si="8"/>
        <v>3196.8488132094944</v>
      </c>
      <c r="V49" s="64"/>
      <c r="W49" s="60"/>
      <c r="X49" s="61"/>
      <c r="Y49" s="61"/>
      <c r="Z49" s="61"/>
      <c r="AA49" s="65"/>
      <c r="AB49" s="65"/>
      <c r="AC49" s="66"/>
      <c r="AD49" s="67">
        <f t="shared" si="9"/>
        <v>0</v>
      </c>
      <c r="AE49" s="67">
        <f t="shared" si="10"/>
        <v>0</v>
      </c>
      <c r="AF49" s="67">
        <f t="shared" si="11"/>
        <v>0</v>
      </c>
      <c r="AG49" s="67">
        <f t="shared" si="12"/>
        <v>0</v>
      </c>
      <c r="AH49" s="67">
        <f t="shared" si="13"/>
        <v>0</v>
      </c>
      <c r="AI49" s="67">
        <f t="shared" si="14"/>
        <v>0</v>
      </c>
      <c r="AJ49" s="66"/>
      <c r="AK49" s="68"/>
      <c r="AL49" s="69"/>
      <c r="AM49" s="69"/>
      <c r="AN49" s="69"/>
      <c r="AO49" s="70"/>
      <c r="AP49" s="70"/>
      <c r="AQ49" s="66"/>
      <c r="AR49" s="70" t="s">
        <v>779</v>
      </c>
      <c r="AS49" s="66"/>
      <c r="AT49" s="108">
        <v>0</v>
      </c>
      <c r="AU49" s="109">
        <v>0</v>
      </c>
      <c r="AV49" s="109">
        <v>0</v>
      </c>
      <c r="AW49" s="109">
        <v>0</v>
      </c>
      <c r="AX49" s="110">
        <v>0</v>
      </c>
      <c r="AY49" s="110">
        <v>3211.36</v>
      </c>
    </row>
    <row r="50" spans="1:51" x14ac:dyDescent="0.25">
      <c r="A50" s="8">
        <v>5949</v>
      </c>
      <c r="B50" s="5" t="s">
        <v>9</v>
      </c>
      <c r="C50" s="2">
        <v>13.29</v>
      </c>
      <c r="D50" s="24">
        <v>500</v>
      </c>
      <c r="E50" s="26">
        <f t="shared" si="6"/>
        <v>250</v>
      </c>
      <c r="F50" s="26">
        <v>704</v>
      </c>
      <c r="G50" s="30">
        <f t="shared" si="7"/>
        <v>0.35511363636363635</v>
      </c>
      <c r="H50" s="11"/>
      <c r="I50" s="9">
        <v>0</v>
      </c>
      <c r="J50" s="3">
        <v>0</v>
      </c>
      <c r="K50" s="3">
        <v>0</v>
      </c>
      <c r="L50" s="3">
        <v>0</v>
      </c>
      <c r="M50" s="6">
        <v>500</v>
      </c>
      <c r="N50" s="6">
        <v>0</v>
      </c>
      <c r="O50" s="13"/>
      <c r="P50" s="60">
        <f t="shared" ref="P50:P70" si="25">+I50*C50</f>
        <v>0</v>
      </c>
      <c r="Q50" s="61">
        <f t="shared" ref="Q50:Q70" si="26">+J50*C50</f>
        <v>0</v>
      </c>
      <c r="R50" s="61">
        <f t="shared" ref="R50:R70" si="27">+K50*C50</f>
        <v>0</v>
      </c>
      <c r="S50" s="62">
        <f t="shared" ref="S50:S70" si="28">+L50*C50</f>
        <v>0</v>
      </c>
      <c r="T50" s="63">
        <f t="shared" ref="T50:T70" si="29">+M50*C50</f>
        <v>6645</v>
      </c>
      <c r="U50" s="63">
        <f t="shared" si="8"/>
        <v>0</v>
      </c>
      <c r="V50" s="64"/>
      <c r="W50" s="60">
        <v>113</v>
      </c>
      <c r="X50" s="61">
        <v>18</v>
      </c>
      <c r="Y50" s="61">
        <v>105</v>
      </c>
      <c r="Z50" s="61">
        <v>77</v>
      </c>
      <c r="AA50" s="65">
        <v>0</v>
      </c>
      <c r="AB50" s="65">
        <v>108</v>
      </c>
      <c r="AC50" s="66"/>
      <c r="AD50" s="67">
        <f t="shared" si="9"/>
        <v>0.16051136363636365</v>
      </c>
      <c r="AE50" s="67">
        <f t="shared" si="10"/>
        <v>2.556818181818182E-2</v>
      </c>
      <c r="AF50" s="67">
        <f t="shared" si="11"/>
        <v>0.14914772727272727</v>
      </c>
      <c r="AG50" s="67">
        <f t="shared" si="12"/>
        <v>0.109375</v>
      </c>
      <c r="AH50" s="67">
        <f t="shared" si="13"/>
        <v>0</v>
      </c>
      <c r="AI50" s="67">
        <f t="shared" si="14"/>
        <v>0.15340909090909091</v>
      </c>
      <c r="AJ50" s="66"/>
      <c r="AK50" s="68">
        <v>299.48</v>
      </c>
      <c r="AL50" s="69">
        <v>140.30999999999989</v>
      </c>
      <c r="AM50" s="69">
        <v>140.30999999999989</v>
      </c>
      <c r="AN50" s="69">
        <v>1182.1099999999999</v>
      </c>
      <c r="AO50" s="70">
        <v>372.1</v>
      </c>
      <c r="AP50" s="70">
        <v>1393.45999999999</v>
      </c>
      <c r="AQ50" s="66"/>
      <c r="AR50" s="70" t="s">
        <v>779</v>
      </c>
      <c r="AS50" s="66"/>
      <c r="AT50" s="108">
        <v>0</v>
      </c>
      <c r="AU50" s="109">
        <v>0</v>
      </c>
      <c r="AV50" s="109">
        <v>0</v>
      </c>
      <c r="AW50" s="109">
        <v>0</v>
      </c>
      <c r="AX50" s="110">
        <v>1190</v>
      </c>
      <c r="AY50" s="110">
        <v>0</v>
      </c>
    </row>
    <row r="51" spans="1:51" x14ac:dyDescent="0.25">
      <c r="A51" s="8">
        <v>5591</v>
      </c>
      <c r="B51" s="5" t="s">
        <v>519</v>
      </c>
      <c r="C51" s="2">
        <v>12.759999999999991</v>
      </c>
      <c r="D51" s="24">
        <v>400</v>
      </c>
      <c r="E51" s="26">
        <f t="shared" si="6"/>
        <v>200</v>
      </c>
      <c r="F51" s="26">
        <v>265</v>
      </c>
      <c r="G51" s="30">
        <f t="shared" si="7"/>
        <v>0.75471698113207553</v>
      </c>
      <c r="H51" s="11"/>
      <c r="I51" s="9">
        <v>0</v>
      </c>
      <c r="J51" s="3">
        <v>0</v>
      </c>
      <c r="K51" s="3">
        <v>0</v>
      </c>
      <c r="L51" s="3">
        <v>0</v>
      </c>
      <c r="M51" s="6">
        <v>11</v>
      </c>
      <c r="N51" s="6">
        <v>0</v>
      </c>
      <c r="O51" s="13"/>
      <c r="P51" s="60">
        <f t="shared" si="25"/>
        <v>0</v>
      </c>
      <c r="Q51" s="61">
        <f t="shared" si="26"/>
        <v>0</v>
      </c>
      <c r="R51" s="61">
        <f t="shared" si="27"/>
        <v>0</v>
      </c>
      <c r="S51" s="62">
        <f t="shared" si="28"/>
        <v>0</v>
      </c>
      <c r="T51" s="63">
        <f t="shared" si="29"/>
        <v>140.3599999999999</v>
      </c>
      <c r="U51" s="63">
        <f t="shared" si="8"/>
        <v>0</v>
      </c>
      <c r="V51" s="64"/>
      <c r="W51" s="60">
        <v>62</v>
      </c>
      <c r="X51" s="61">
        <v>107</v>
      </c>
      <c r="Y51" s="61">
        <v>-4</v>
      </c>
      <c r="Z51" s="61">
        <v>-5</v>
      </c>
      <c r="AA51" s="65">
        <v>20</v>
      </c>
      <c r="AB51" s="65">
        <v>0</v>
      </c>
      <c r="AC51" s="66"/>
      <c r="AD51" s="67">
        <f t="shared" si="9"/>
        <v>0.2339622641509434</v>
      </c>
      <c r="AE51" s="67">
        <f t="shared" si="10"/>
        <v>0.4037735849056604</v>
      </c>
      <c r="AF51" s="67">
        <f t="shared" si="11"/>
        <v>-1.509433962264151E-2</v>
      </c>
      <c r="AG51" s="67">
        <f t="shared" si="12"/>
        <v>-1.8867924528301886E-2</v>
      </c>
      <c r="AH51" s="67">
        <f t="shared" si="13"/>
        <v>7.5471698113207544E-2</v>
      </c>
      <c r="AI51" s="67">
        <f t="shared" si="14"/>
        <v>0</v>
      </c>
      <c r="AJ51" s="66"/>
      <c r="AK51" s="68">
        <v>375.09</v>
      </c>
      <c r="AL51" s="69">
        <v>328.99999999999994</v>
      </c>
      <c r="AM51" s="69">
        <v>328.99999999999994</v>
      </c>
      <c r="AN51" s="69">
        <v>0</v>
      </c>
      <c r="AO51" s="70">
        <v>255.19999999999982</v>
      </c>
      <c r="AP51" s="70">
        <v>0</v>
      </c>
      <c r="AQ51" s="66"/>
      <c r="AR51" s="70" t="s">
        <v>780</v>
      </c>
      <c r="AS51" s="66"/>
      <c r="AT51" s="108">
        <v>0</v>
      </c>
      <c r="AU51" s="109">
        <v>0</v>
      </c>
      <c r="AV51" s="109">
        <v>0</v>
      </c>
      <c r="AW51" s="109">
        <v>0</v>
      </c>
      <c r="AX51" s="110">
        <v>181.72</v>
      </c>
      <c r="AY51" s="110">
        <v>0</v>
      </c>
    </row>
    <row r="52" spans="1:51" x14ac:dyDescent="0.25">
      <c r="A52" s="8" t="s">
        <v>142</v>
      </c>
      <c r="B52" s="5" t="s">
        <v>143</v>
      </c>
      <c r="C52" s="2">
        <v>12.7</v>
      </c>
      <c r="D52" s="24">
        <v>1000</v>
      </c>
      <c r="E52" s="26">
        <f t="shared" si="6"/>
        <v>500</v>
      </c>
      <c r="F52" s="26">
        <v>1449</v>
      </c>
      <c r="G52" s="30">
        <f t="shared" si="7"/>
        <v>0.34506556245686681</v>
      </c>
      <c r="H52" s="11"/>
      <c r="I52" s="9">
        <v>1699.1999999999998</v>
      </c>
      <c r="J52" s="3">
        <v>1620</v>
      </c>
      <c r="K52" s="3">
        <v>1022.8</v>
      </c>
      <c r="L52" s="3">
        <v>1000</v>
      </c>
      <c r="M52" s="6">
        <v>2000</v>
      </c>
      <c r="N52" s="6">
        <v>4000</v>
      </c>
      <c r="O52" s="13"/>
      <c r="P52" s="60">
        <f t="shared" si="25"/>
        <v>21579.839999999997</v>
      </c>
      <c r="Q52" s="61">
        <f t="shared" si="26"/>
        <v>20574</v>
      </c>
      <c r="R52" s="61">
        <f t="shared" si="27"/>
        <v>12989.56</v>
      </c>
      <c r="S52" s="62">
        <f t="shared" si="28"/>
        <v>12700</v>
      </c>
      <c r="T52" s="63">
        <f t="shared" si="29"/>
        <v>25400</v>
      </c>
      <c r="U52" s="63">
        <f t="shared" si="8"/>
        <v>50800</v>
      </c>
      <c r="V52" s="64"/>
      <c r="W52" s="60">
        <v>90</v>
      </c>
      <c r="X52" s="61">
        <v>49</v>
      </c>
      <c r="Y52" s="61">
        <v>0</v>
      </c>
      <c r="Z52" s="61">
        <v>399</v>
      </c>
      <c r="AA52" s="65">
        <v>297</v>
      </c>
      <c r="AB52" s="65">
        <v>712</v>
      </c>
      <c r="AC52" s="66"/>
      <c r="AD52" s="67">
        <f t="shared" si="9"/>
        <v>6.2111801242236024E-2</v>
      </c>
      <c r="AE52" s="67">
        <f t="shared" si="10"/>
        <v>3.3816425120772944E-2</v>
      </c>
      <c r="AF52" s="67">
        <f t="shared" si="11"/>
        <v>0</v>
      </c>
      <c r="AG52" s="67">
        <f t="shared" si="12"/>
        <v>0.27536231884057971</v>
      </c>
      <c r="AH52" s="67">
        <f t="shared" si="13"/>
        <v>0.20496894409937888</v>
      </c>
      <c r="AI52" s="67">
        <f t="shared" si="14"/>
        <v>0.49137336093857831</v>
      </c>
      <c r="AJ52" s="66"/>
      <c r="AK52" s="68">
        <v>715.62999999999988</v>
      </c>
      <c r="AL52" s="69">
        <v>372.71</v>
      </c>
      <c r="AM52" s="69">
        <v>372.71</v>
      </c>
      <c r="AN52" s="69">
        <v>5067.2999999999993</v>
      </c>
      <c r="AO52" s="70">
        <v>2399.1999999999998</v>
      </c>
      <c r="AP52" s="70">
        <v>5935.84</v>
      </c>
      <c r="AQ52" s="66"/>
      <c r="AR52" s="70" t="s">
        <v>779</v>
      </c>
      <c r="AS52" s="66"/>
      <c r="AT52" s="108">
        <v>0</v>
      </c>
      <c r="AU52" s="109">
        <v>0</v>
      </c>
      <c r="AV52" s="109">
        <v>0</v>
      </c>
      <c r="AW52" s="109">
        <v>0</v>
      </c>
      <c r="AX52" s="110">
        <v>0</v>
      </c>
      <c r="AY52" s="110">
        <v>0</v>
      </c>
    </row>
    <row r="53" spans="1:51" x14ac:dyDescent="0.25">
      <c r="A53" s="8" t="s">
        <v>5</v>
      </c>
      <c r="B53" s="5" t="s">
        <v>6</v>
      </c>
      <c r="C53" s="2">
        <v>12.020000000000001</v>
      </c>
      <c r="D53" s="24">
        <v>2000</v>
      </c>
      <c r="E53" s="26">
        <f t="shared" si="6"/>
        <v>1000</v>
      </c>
      <c r="F53" s="26">
        <v>8803</v>
      </c>
      <c r="G53" s="30">
        <f t="shared" si="7"/>
        <v>0.11359763716914688</v>
      </c>
      <c r="H53" s="11"/>
      <c r="I53" s="9">
        <v>0</v>
      </c>
      <c r="J53" s="3">
        <v>2778.7878787878785</v>
      </c>
      <c r="K53" s="3">
        <v>2906.060606060606</v>
      </c>
      <c r="L53" s="3">
        <v>3960.6060606060601</v>
      </c>
      <c r="M53" s="6">
        <v>4057.5757575757575</v>
      </c>
      <c r="N53" s="6">
        <v>750</v>
      </c>
      <c r="O53" s="13"/>
      <c r="P53" s="60">
        <f t="shared" si="25"/>
        <v>0</v>
      </c>
      <c r="Q53" s="61">
        <f t="shared" si="26"/>
        <v>33401.030303030304</v>
      </c>
      <c r="R53" s="61">
        <f t="shared" si="27"/>
        <v>34930.848484848488</v>
      </c>
      <c r="S53" s="62">
        <f t="shared" si="28"/>
        <v>47606.484848484848</v>
      </c>
      <c r="T53" s="63">
        <f t="shared" si="29"/>
        <v>48772.060606060608</v>
      </c>
      <c r="U53" s="63">
        <f t="shared" si="8"/>
        <v>9015.0000000000018</v>
      </c>
      <c r="V53" s="64"/>
      <c r="W53" s="60">
        <v>0</v>
      </c>
      <c r="X53" s="61">
        <v>0</v>
      </c>
      <c r="Y53" s="61">
        <v>0</v>
      </c>
      <c r="Z53" s="61">
        <v>0</v>
      </c>
      <c r="AA53" s="65">
        <v>0</v>
      </c>
      <c r="AB53" s="65">
        <v>0</v>
      </c>
      <c r="AC53" s="66"/>
      <c r="AD53" s="67">
        <f t="shared" si="9"/>
        <v>0</v>
      </c>
      <c r="AE53" s="67">
        <f t="shared" si="10"/>
        <v>0</v>
      </c>
      <c r="AF53" s="67">
        <f t="shared" si="11"/>
        <v>0</v>
      </c>
      <c r="AG53" s="67">
        <f t="shared" si="12"/>
        <v>0</v>
      </c>
      <c r="AH53" s="67">
        <f t="shared" si="13"/>
        <v>0</v>
      </c>
      <c r="AI53" s="67">
        <f t="shared" si="14"/>
        <v>0</v>
      </c>
      <c r="AJ53" s="66"/>
      <c r="AK53" s="68">
        <v>0</v>
      </c>
      <c r="AL53" s="69">
        <v>0</v>
      </c>
      <c r="AM53" s="69">
        <v>0</v>
      </c>
      <c r="AN53" s="69">
        <v>0</v>
      </c>
      <c r="AO53" s="70">
        <v>0</v>
      </c>
      <c r="AP53" s="70">
        <v>0</v>
      </c>
      <c r="AQ53" s="66"/>
      <c r="AR53" s="70" t="s">
        <v>779</v>
      </c>
      <c r="AS53" s="66"/>
      <c r="AT53" s="108">
        <v>1262.56</v>
      </c>
      <c r="AU53" s="109">
        <v>4259.8</v>
      </c>
      <c r="AV53" s="109">
        <v>4614.0499999999993</v>
      </c>
      <c r="AW53" s="109">
        <v>6252.79</v>
      </c>
      <c r="AX53" s="110">
        <v>6440.4500000000007</v>
      </c>
      <c r="AY53" s="110">
        <v>3624.1400000000003</v>
      </c>
    </row>
    <row r="54" spans="1:51" x14ac:dyDescent="0.25">
      <c r="A54" s="8">
        <v>5945</v>
      </c>
      <c r="B54" s="5" t="s">
        <v>4</v>
      </c>
      <c r="C54" s="2">
        <v>11.879999999999999</v>
      </c>
      <c r="D54" s="24">
        <v>1000</v>
      </c>
      <c r="E54" s="26">
        <f t="shared" si="6"/>
        <v>500</v>
      </c>
      <c r="F54" s="26">
        <v>364</v>
      </c>
      <c r="G54" s="30">
        <f t="shared" si="7"/>
        <v>1.3736263736263736</v>
      </c>
      <c r="H54" s="11"/>
      <c r="I54" s="9">
        <v>0</v>
      </c>
      <c r="J54" s="3">
        <v>0</v>
      </c>
      <c r="K54" s="3">
        <v>0</v>
      </c>
      <c r="L54" s="3">
        <v>301</v>
      </c>
      <c r="M54" s="6"/>
      <c r="N54" s="6">
        <v>542</v>
      </c>
      <c r="O54" s="13"/>
      <c r="P54" s="60">
        <f t="shared" si="25"/>
        <v>0</v>
      </c>
      <c r="Q54" s="61">
        <f t="shared" si="26"/>
        <v>0</v>
      </c>
      <c r="R54" s="61">
        <f t="shared" si="27"/>
        <v>0</v>
      </c>
      <c r="S54" s="62">
        <f t="shared" si="28"/>
        <v>3575.8799999999997</v>
      </c>
      <c r="T54" s="63">
        <f t="shared" si="29"/>
        <v>0</v>
      </c>
      <c r="U54" s="63">
        <f t="shared" si="8"/>
        <v>6438.9599999999991</v>
      </c>
      <c r="V54" s="64"/>
      <c r="W54" s="60">
        <v>0</v>
      </c>
      <c r="X54" s="61">
        <v>8</v>
      </c>
      <c r="Y54" s="61">
        <v>0</v>
      </c>
      <c r="Z54" s="61">
        <v>0</v>
      </c>
      <c r="AA54" s="65">
        <v>7</v>
      </c>
      <c r="AB54" s="65">
        <v>100</v>
      </c>
      <c r="AC54" s="66"/>
      <c r="AD54" s="67">
        <f t="shared" si="9"/>
        <v>0</v>
      </c>
      <c r="AE54" s="67">
        <f t="shared" si="10"/>
        <v>2.197802197802198E-2</v>
      </c>
      <c r="AF54" s="67">
        <f t="shared" si="11"/>
        <v>0</v>
      </c>
      <c r="AG54" s="67">
        <f t="shared" si="12"/>
        <v>0</v>
      </c>
      <c r="AH54" s="67">
        <f t="shared" si="13"/>
        <v>1.9230769230769232E-2</v>
      </c>
      <c r="AI54" s="67">
        <f t="shared" si="14"/>
        <v>0.27472527472527475</v>
      </c>
      <c r="AJ54" s="66"/>
      <c r="AK54" s="68">
        <v>0</v>
      </c>
      <c r="AL54" s="69">
        <v>14.16</v>
      </c>
      <c r="AM54" s="69">
        <v>14.16</v>
      </c>
      <c r="AN54" s="69">
        <v>0</v>
      </c>
      <c r="AO54" s="70">
        <v>83.16</v>
      </c>
      <c r="AP54" s="70">
        <v>354.93</v>
      </c>
      <c r="AQ54" s="66"/>
      <c r="AR54" s="70" t="s">
        <v>779</v>
      </c>
      <c r="AS54" s="66"/>
      <c r="AT54" s="108">
        <v>0</v>
      </c>
      <c r="AU54" s="109">
        <v>0</v>
      </c>
      <c r="AV54" s="109">
        <v>0</v>
      </c>
      <c r="AW54" s="109">
        <v>370.23</v>
      </c>
      <c r="AX54" s="110">
        <v>0</v>
      </c>
      <c r="AY54" s="110">
        <v>659.32</v>
      </c>
    </row>
    <row r="55" spans="1:51" ht="30" x14ac:dyDescent="0.25">
      <c r="A55" s="8">
        <v>5031</v>
      </c>
      <c r="B55" s="5" t="s">
        <v>399</v>
      </c>
      <c r="C55" s="2">
        <v>11.870000000000005</v>
      </c>
      <c r="D55" s="24">
        <v>400</v>
      </c>
      <c r="E55" s="26">
        <f t="shared" si="6"/>
        <v>200</v>
      </c>
      <c r="F55" s="26">
        <v>849</v>
      </c>
      <c r="G55" s="30">
        <f t="shared" si="7"/>
        <v>0.23557126030624265</v>
      </c>
      <c r="H55" s="11"/>
      <c r="I55" s="9">
        <v>0</v>
      </c>
      <c r="J55" s="3">
        <v>0</v>
      </c>
      <c r="K55" s="3">
        <v>120</v>
      </c>
      <c r="L55" s="3">
        <v>1000</v>
      </c>
      <c r="M55" s="6">
        <v>600</v>
      </c>
      <c r="N55" s="6">
        <v>0</v>
      </c>
      <c r="O55" s="13"/>
      <c r="P55" s="60">
        <f t="shared" si="25"/>
        <v>0</v>
      </c>
      <c r="Q55" s="61">
        <f t="shared" si="26"/>
        <v>0</v>
      </c>
      <c r="R55" s="61">
        <f t="shared" si="27"/>
        <v>1424.4000000000005</v>
      </c>
      <c r="S55" s="62">
        <f t="shared" si="28"/>
        <v>11870.000000000004</v>
      </c>
      <c r="T55" s="63">
        <f t="shared" si="29"/>
        <v>7122.0000000000027</v>
      </c>
      <c r="U55" s="63">
        <f t="shared" si="8"/>
        <v>0</v>
      </c>
      <c r="V55" s="64"/>
      <c r="W55" s="60">
        <v>0</v>
      </c>
      <c r="X55" s="61">
        <v>79</v>
      </c>
      <c r="Y55" s="61">
        <v>255</v>
      </c>
      <c r="Z55" s="61">
        <v>274</v>
      </c>
      <c r="AA55" s="65">
        <v>956</v>
      </c>
      <c r="AB55" s="65">
        <v>206</v>
      </c>
      <c r="AC55" s="66"/>
      <c r="AD55" s="67">
        <f t="shared" si="9"/>
        <v>0</v>
      </c>
      <c r="AE55" s="67">
        <f t="shared" si="10"/>
        <v>9.3050647820965837E-2</v>
      </c>
      <c r="AF55" s="67">
        <f t="shared" si="11"/>
        <v>0.30035335689045939</v>
      </c>
      <c r="AG55" s="67">
        <f t="shared" si="12"/>
        <v>0.32273262661955243</v>
      </c>
      <c r="AH55" s="67">
        <f t="shared" si="13"/>
        <v>1.1260306242638398</v>
      </c>
      <c r="AI55" s="67">
        <f t="shared" si="14"/>
        <v>0.24263839811542992</v>
      </c>
      <c r="AJ55" s="66"/>
      <c r="AK55" s="68">
        <v>0</v>
      </c>
      <c r="AL55" s="69">
        <v>230.5999999999998</v>
      </c>
      <c r="AM55" s="69">
        <v>230.59999999999982</v>
      </c>
      <c r="AN55" s="69">
        <v>800.47999999999922</v>
      </c>
      <c r="AO55" s="70">
        <v>866.45999999999799</v>
      </c>
      <c r="AP55" s="70">
        <v>1857.22999999999</v>
      </c>
      <c r="AQ55" s="66"/>
      <c r="AR55" s="70" t="s">
        <v>779</v>
      </c>
      <c r="AS55" s="66"/>
      <c r="AT55" s="108">
        <v>0</v>
      </c>
      <c r="AU55" s="109">
        <v>0</v>
      </c>
      <c r="AV55" s="109">
        <v>9643.2000000000007</v>
      </c>
      <c r="AW55" s="109">
        <v>79650</v>
      </c>
      <c r="AX55" s="110">
        <v>48216</v>
      </c>
      <c r="AY55" s="110">
        <v>0</v>
      </c>
    </row>
    <row r="56" spans="1:51" x14ac:dyDescent="0.25">
      <c r="A56" s="8" t="s">
        <v>379</v>
      </c>
      <c r="B56" s="5" t="s">
        <v>380</v>
      </c>
      <c r="C56" s="2">
        <v>11.75</v>
      </c>
      <c r="D56" s="24">
        <v>300</v>
      </c>
      <c r="E56" s="26">
        <f t="shared" si="6"/>
        <v>150</v>
      </c>
      <c r="F56" s="26">
        <v>367</v>
      </c>
      <c r="G56" s="30">
        <f t="shared" si="7"/>
        <v>0.40871934604904631</v>
      </c>
      <c r="H56" s="11"/>
      <c r="I56" s="9">
        <v>100</v>
      </c>
      <c r="J56" s="3">
        <v>0</v>
      </c>
      <c r="K56" s="3">
        <v>50</v>
      </c>
      <c r="L56" s="3">
        <v>135</v>
      </c>
      <c r="M56" s="6"/>
      <c r="N56" s="6">
        <v>0</v>
      </c>
      <c r="O56" s="13"/>
      <c r="P56" s="60">
        <f t="shared" si="25"/>
        <v>1175</v>
      </c>
      <c r="Q56" s="61">
        <f t="shared" si="26"/>
        <v>0</v>
      </c>
      <c r="R56" s="61">
        <f t="shared" si="27"/>
        <v>587.5</v>
      </c>
      <c r="S56" s="62">
        <f t="shared" si="28"/>
        <v>1586.25</v>
      </c>
      <c r="T56" s="63">
        <f t="shared" si="29"/>
        <v>0</v>
      </c>
      <c r="U56" s="63">
        <f t="shared" si="8"/>
        <v>0</v>
      </c>
      <c r="V56" s="64"/>
      <c r="W56" s="60">
        <v>174</v>
      </c>
      <c r="X56" s="61">
        <v>235</v>
      </c>
      <c r="Y56" s="61">
        <v>123</v>
      </c>
      <c r="Z56" s="61">
        <v>166</v>
      </c>
      <c r="AA56" s="65">
        <v>187</v>
      </c>
      <c r="AB56" s="65">
        <v>184</v>
      </c>
      <c r="AC56" s="66"/>
      <c r="AD56" s="67">
        <f t="shared" si="9"/>
        <v>0.47411444141689374</v>
      </c>
      <c r="AE56" s="67">
        <f t="shared" si="10"/>
        <v>0.64032697547683926</v>
      </c>
      <c r="AF56" s="67">
        <f t="shared" si="11"/>
        <v>0.33514986376021799</v>
      </c>
      <c r="AG56" s="67">
        <f t="shared" si="12"/>
        <v>0.45231607629427795</v>
      </c>
      <c r="AH56" s="67">
        <f t="shared" si="13"/>
        <v>0.50953678474114439</v>
      </c>
      <c r="AI56" s="67">
        <f t="shared" si="14"/>
        <v>0.50136239782016345</v>
      </c>
      <c r="AJ56" s="66"/>
      <c r="AK56" s="68">
        <v>822.51000000000022</v>
      </c>
      <c r="AL56" s="69">
        <v>1075.57</v>
      </c>
      <c r="AM56" s="69">
        <v>1075.5699999999997</v>
      </c>
      <c r="AN56" s="69">
        <v>418.40999999999968</v>
      </c>
      <c r="AO56" s="70">
        <v>1379.46</v>
      </c>
      <c r="AP56" s="70">
        <v>2109.4899999999998</v>
      </c>
      <c r="AQ56" s="66"/>
      <c r="AR56" s="70" t="s">
        <v>779</v>
      </c>
      <c r="AS56" s="66"/>
      <c r="AT56" s="108">
        <v>7589</v>
      </c>
      <c r="AU56" s="109">
        <v>0</v>
      </c>
      <c r="AV56" s="109">
        <v>3009</v>
      </c>
      <c r="AW56" s="109">
        <v>8124.3</v>
      </c>
      <c r="AX56" s="110">
        <v>0</v>
      </c>
      <c r="AY56" s="110">
        <v>0</v>
      </c>
    </row>
    <row r="57" spans="1:51" x14ac:dyDescent="0.25">
      <c r="A57" s="8" t="s">
        <v>47</v>
      </c>
      <c r="B57" s="5" t="s">
        <v>48</v>
      </c>
      <c r="C57" s="2">
        <v>11.520000000000001</v>
      </c>
      <c r="D57" s="24">
        <v>66.8</v>
      </c>
      <c r="E57" s="26">
        <f t="shared" si="6"/>
        <v>33.4</v>
      </c>
      <c r="F57" s="26">
        <v>109</v>
      </c>
      <c r="G57" s="30">
        <f t="shared" si="7"/>
        <v>0.30642201834862381</v>
      </c>
      <c r="H57" s="11"/>
      <c r="I57" s="9">
        <v>78</v>
      </c>
      <c r="J57" s="3">
        <v>0</v>
      </c>
      <c r="K57" s="3">
        <v>0</v>
      </c>
      <c r="L57" s="3">
        <v>0</v>
      </c>
      <c r="M57" s="6"/>
      <c r="N57" s="6">
        <v>0</v>
      </c>
      <c r="O57" s="13"/>
      <c r="P57" s="60">
        <f t="shared" si="25"/>
        <v>898.56000000000006</v>
      </c>
      <c r="Q57" s="61">
        <f t="shared" si="26"/>
        <v>0</v>
      </c>
      <c r="R57" s="61">
        <f t="shared" si="27"/>
        <v>0</v>
      </c>
      <c r="S57" s="62">
        <f t="shared" si="28"/>
        <v>0</v>
      </c>
      <c r="T57" s="63">
        <f t="shared" si="29"/>
        <v>0</v>
      </c>
      <c r="U57" s="63">
        <f t="shared" si="8"/>
        <v>0</v>
      </c>
      <c r="V57" s="64"/>
      <c r="W57" s="60">
        <v>0</v>
      </c>
      <c r="X57" s="61">
        <v>102</v>
      </c>
      <c r="Y57" s="61">
        <v>65</v>
      </c>
      <c r="Z57" s="61">
        <v>0</v>
      </c>
      <c r="AA57" s="65">
        <v>0</v>
      </c>
      <c r="AB57" s="65">
        <v>0</v>
      </c>
      <c r="AC57" s="66"/>
      <c r="AD57" s="67">
        <f t="shared" si="9"/>
        <v>0</v>
      </c>
      <c r="AE57" s="67">
        <f t="shared" si="10"/>
        <v>0.93577981651376152</v>
      </c>
      <c r="AF57" s="67">
        <f t="shared" si="11"/>
        <v>0.59633027522935778</v>
      </c>
      <c r="AG57" s="67">
        <f t="shared" si="12"/>
        <v>0</v>
      </c>
      <c r="AH57" s="67">
        <f t="shared" si="13"/>
        <v>0</v>
      </c>
      <c r="AI57" s="67">
        <f t="shared" si="14"/>
        <v>0</v>
      </c>
      <c r="AJ57" s="66"/>
      <c r="AK57" s="68">
        <v>0</v>
      </c>
      <c r="AL57" s="69">
        <v>293.53999999999974</v>
      </c>
      <c r="AM57" s="69">
        <v>293.53999999999979</v>
      </c>
      <c r="AN57" s="69">
        <v>686.4599999999997</v>
      </c>
      <c r="AO57" s="70">
        <v>0</v>
      </c>
      <c r="AP57" s="70">
        <v>0</v>
      </c>
      <c r="AQ57" s="66"/>
      <c r="AR57" s="70" t="s">
        <v>779</v>
      </c>
      <c r="AS57" s="66"/>
      <c r="AT57" s="108">
        <v>673.48</v>
      </c>
      <c r="AU57" s="109">
        <v>0</v>
      </c>
      <c r="AV57" s="109">
        <v>0</v>
      </c>
      <c r="AW57" s="109">
        <v>0</v>
      </c>
      <c r="AX57" s="110">
        <v>0</v>
      </c>
      <c r="AY57" s="110">
        <v>0</v>
      </c>
    </row>
    <row r="58" spans="1:51" x14ac:dyDescent="0.25">
      <c r="A58" s="8" t="s">
        <v>204</v>
      </c>
      <c r="B58" s="5" t="s">
        <v>205</v>
      </c>
      <c r="C58" s="2">
        <v>11.52</v>
      </c>
      <c r="D58" s="24">
        <v>700</v>
      </c>
      <c r="E58" s="26">
        <f t="shared" si="6"/>
        <v>350</v>
      </c>
      <c r="F58" s="26">
        <v>695</v>
      </c>
      <c r="G58" s="30">
        <f t="shared" si="7"/>
        <v>0.50359712230215825</v>
      </c>
      <c r="H58" s="11"/>
      <c r="I58" s="9">
        <v>1285.7142857142858</v>
      </c>
      <c r="J58" s="3">
        <v>178.57142857142856</v>
      </c>
      <c r="K58" s="3">
        <v>0</v>
      </c>
      <c r="L58" s="3">
        <v>0</v>
      </c>
      <c r="M58" s="6"/>
      <c r="N58" s="6">
        <v>450</v>
      </c>
      <c r="O58" s="13"/>
      <c r="P58" s="60">
        <f t="shared" si="25"/>
        <v>14811.428571428572</v>
      </c>
      <c r="Q58" s="61">
        <f t="shared" si="26"/>
        <v>2057.1428571428569</v>
      </c>
      <c r="R58" s="61">
        <f t="shared" si="27"/>
        <v>0</v>
      </c>
      <c r="S58" s="62">
        <f t="shared" si="28"/>
        <v>0</v>
      </c>
      <c r="T58" s="63">
        <f t="shared" si="29"/>
        <v>0</v>
      </c>
      <c r="U58" s="63">
        <f t="shared" si="8"/>
        <v>5184</v>
      </c>
      <c r="V58" s="64"/>
      <c r="W58" s="60">
        <v>116</v>
      </c>
      <c r="X58" s="61">
        <v>238</v>
      </c>
      <c r="Y58" s="61">
        <v>546</v>
      </c>
      <c r="Z58" s="61">
        <v>337</v>
      </c>
      <c r="AA58" s="65">
        <v>760</v>
      </c>
      <c r="AB58" s="65">
        <v>461</v>
      </c>
      <c r="AC58" s="66"/>
      <c r="AD58" s="67">
        <f t="shared" si="9"/>
        <v>0.1669064748201439</v>
      </c>
      <c r="AE58" s="67">
        <f t="shared" si="10"/>
        <v>0.34244604316546762</v>
      </c>
      <c r="AF58" s="67">
        <f t="shared" si="11"/>
        <v>0.78561151079136693</v>
      </c>
      <c r="AG58" s="67">
        <f t="shared" si="12"/>
        <v>0.48489208633093528</v>
      </c>
      <c r="AH58" s="67">
        <f t="shared" si="13"/>
        <v>1.0935251798561152</v>
      </c>
      <c r="AI58" s="67">
        <f t="shared" si="14"/>
        <v>0.66330935251798562</v>
      </c>
      <c r="AJ58" s="66"/>
      <c r="AK58" s="68">
        <v>293.85000000000002</v>
      </c>
      <c r="AL58" s="69">
        <v>2579.7899999999972</v>
      </c>
      <c r="AM58" s="69">
        <v>2579.7899999999972</v>
      </c>
      <c r="AN58" s="69">
        <v>5996.6199999999926</v>
      </c>
      <c r="AO58" s="70">
        <v>3958.26999999999</v>
      </c>
      <c r="AP58" s="70">
        <v>5051.3900000000003</v>
      </c>
      <c r="AQ58" s="66"/>
      <c r="AR58" s="70" t="s">
        <v>779</v>
      </c>
      <c r="AS58" s="66"/>
      <c r="AT58" s="108">
        <v>41169.56</v>
      </c>
      <c r="AU58" s="109">
        <v>4464.5</v>
      </c>
      <c r="AV58" s="109">
        <v>0</v>
      </c>
      <c r="AW58" s="109">
        <v>0</v>
      </c>
      <c r="AX58" s="110">
        <v>0</v>
      </c>
      <c r="AY58" s="110">
        <v>11842.5</v>
      </c>
    </row>
    <row r="59" spans="1:51" x14ac:dyDescent="0.25">
      <c r="A59" s="8" t="s">
        <v>110</v>
      </c>
      <c r="B59" s="5" t="s">
        <v>111</v>
      </c>
      <c r="C59" s="2">
        <v>11.01</v>
      </c>
      <c r="D59" s="24">
        <v>200</v>
      </c>
      <c r="E59" s="26">
        <f t="shared" si="6"/>
        <v>100</v>
      </c>
      <c r="F59" s="26">
        <v>547</v>
      </c>
      <c r="G59" s="30">
        <f t="shared" si="7"/>
        <v>0.18281535648994515</v>
      </c>
      <c r="H59" s="11"/>
      <c r="I59" s="9">
        <v>0</v>
      </c>
      <c r="J59" s="3">
        <v>500</v>
      </c>
      <c r="K59" s="3">
        <v>594</v>
      </c>
      <c r="L59" s="3">
        <v>0</v>
      </c>
      <c r="M59" s="6"/>
      <c r="N59" s="6">
        <v>0</v>
      </c>
      <c r="O59" s="13"/>
      <c r="P59" s="60">
        <f t="shared" si="25"/>
        <v>0</v>
      </c>
      <c r="Q59" s="61">
        <f t="shared" si="26"/>
        <v>5505</v>
      </c>
      <c r="R59" s="61">
        <f t="shared" si="27"/>
        <v>6539.94</v>
      </c>
      <c r="S59" s="62">
        <f t="shared" si="28"/>
        <v>0</v>
      </c>
      <c r="T59" s="63">
        <f t="shared" si="29"/>
        <v>0</v>
      </c>
      <c r="U59" s="63">
        <f t="shared" si="8"/>
        <v>0</v>
      </c>
      <c r="V59" s="64"/>
      <c r="W59" s="60">
        <v>93</v>
      </c>
      <c r="X59" s="61">
        <v>0</v>
      </c>
      <c r="Y59" s="61">
        <v>98</v>
      </c>
      <c r="Z59" s="61">
        <v>107</v>
      </c>
      <c r="AA59" s="65">
        <v>90</v>
      </c>
      <c r="AB59" s="65">
        <v>85</v>
      </c>
      <c r="AC59" s="66"/>
      <c r="AD59" s="67">
        <f t="shared" si="9"/>
        <v>0.17001828153564899</v>
      </c>
      <c r="AE59" s="67">
        <f t="shared" si="10"/>
        <v>0</v>
      </c>
      <c r="AF59" s="67">
        <f t="shared" si="11"/>
        <v>0.17915904936014626</v>
      </c>
      <c r="AG59" s="67">
        <f t="shared" si="12"/>
        <v>0.19561243144424131</v>
      </c>
      <c r="AH59" s="67">
        <f t="shared" si="13"/>
        <v>0.16453382084095064</v>
      </c>
      <c r="AI59" s="67">
        <f t="shared" si="14"/>
        <v>0.15539305301645337</v>
      </c>
      <c r="AJ59" s="66"/>
      <c r="AK59" s="68">
        <v>360.89</v>
      </c>
      <c r="AL59" s="69">
        <v>0</v>
      </c>
      <c r="AM59" s="69">
        <v>1078.98</v>
      </c>
      <c r="AN59" s="69">
        <v>341.08999999999889</v>
      </c>
      <c r="AO59" s="70">
        <v>444.39</v>
      </c>
      <c r="AP59" s="70">
        <v>888.57999999999902</v>
      </c>
      <c r="AQ59" s="66"/>
      <c r="AR59" s="70" t="s">
        <v>779</v>
      </c>
      <c r="AS59" s="66"/>
      <c r="AT59" s="108">
        <v>0</v>
      </c>
      <c r="AU59" s="109">
        <v>7810</v>
      </c>
      <c r="AV59" s="109">
        <v>9201.06</v>
      </c>
      <c r="AW59" s="109">
        <v>0</v>
      </c>
      <c r="AX59" s="110">
        <v>0</v>
      </c>
      <c r="AY59" s="110">
        <v>0</v>
      </c>
    </row>
    <row r="60" spans="1:51" x14ac:dyDescent="0.25">
      <c r="A60" s="8">
        <v>5754</v>
      </c>
      <c r="B60" s="5" t="s">
        <v>81</v>
      </c>
      <c r="C60" s="2">
        <v>10.959999999999999</v>
      </c>
      <c r="D60" s="24">
        <v>70</v>
      </c>
      <c r="E60" s="26">
        <f t="shared" si="6"/>
        <v>35</v>
      </c>
      <c r="F60" s="26">
        <v>148</v>
      </c>
      <c r="G60" s="30">
        <f t="shared" si="7"/>
        <v>0.23648648648648649</v>
      </c>
      <c r="H60" s="11"/>
      <c r="I60" s="9">
        <v>100</v>
      </c>
      <c r="J60" s="3">
        <v>0</v>
      </c>
      <c r="K60" s="3">
        <v>0</v>
      </c>
      <c r="L60" s="3">
        <v>0</v>
      </c>
      <c r="M60" s="6"/>
      <c r="N60" s="6">
        <v>0</v>
      </c>
      <c r="O60" s="13"/>
      <c r="P60" s="60">
        <f t="shared" si="25"/>
        <v>1096</v>
      </c>
      <c r="Q60" s="61">
        <f t="shared" si="26"/>
        <v>0</v>
      </c>
      <c r="R60" s="61">
        <f t="shared" si="27"/>
        <v>0</v>
      </c>
      <c r="S60" s="62">
        <f t="shared" si="28"/>
        <v>0</v>
      </c>
      <c r="T60" s="63">
        <f t="shared" si="29"/>
        <v>0</v>
      </c>
      <c r="U60" s="63">
        <f t="shared" si="8"/>
        <v>0</v>
      </c>
      <c r="V60" s="64"/>
      <c r="W60" s="60">
        <v>0</v>
      </c>
      <c r="X60" s="61">
        <v>0</v>
      </c>
      <c r="Y60" s="61">
        <v>0</v>
      </c>
      <c r="Z60" s="61">
        <v>0</v>
      </c>
      <c r="AA60" s="65">
        <v>55</v>
      </c>
      <c r="AB60" s="65">
        <v>64</v>
      </c>
      <c r="AC60" s="66"/>
      <c r="AD60" s="67">
        <f t="shared" si="9"/>
        <v>0</v>
      </c>
      <c r="AE60" s="67">
        <f t="shared" si="10"/>
        <v>0</v>
      </c>
      <c r="AF60" s="67">
        <f t="shared" si="11"/>
        <v>0</v>
      </c>
      <c r="AG60" s="67">
        <f t="shared" si="12"/>
        <v>0</v>
      </c>
      <c r="AH60" s="67">
        <f t="shared" si="13"/>
        <v>0.3716216216216216</v>
      </c>
      <c r="AI60" s="67">
        <f t="shared" si="14"/>
        <v>0.43243243243243246</v>
      </c>
      <c r="AJ60" s="66"/>
      <c r="AK60" s="68">
        <v>0</v>
      </c>
      <c r="AL60" s="69">
        <v>0</v>
      </c>
      <c r="AM60" s="69">
        <v>0</v>
      </c>
      <c r="AN60" s="69">
        <v>0</v>
      </c>
      <c r="AO60" s="70">
        <v>602.79999999999995</v>
      </c>
      <c r="AP60" s="70">
        <v>1206.68</v>
      </c>
      <c r="AQ60" s="66"/>
      <c r="AR60" s="70" t="s">
        <v>779</v>
      </c>
      <c r="AS60" s="66"/>
      <c r="AT60" s="108">
        <v>1250</v>
      </c>
      <c r="AU60" s="109">
        <v>0</v>
      </c>
      <c r="AV60" s="109">
        <v>0</v>
      </c>
      <c r="AW60" s="109">
        <v>0</v>
      </c>
      <c r="AX60" s="110">
        <v>0</v>
      </c>
      <c r="AY60" s="110">
        <v>0</v>
      </c>
    </row>
    <row r="61" spans="1:51" x14ac:dyDescent="0.25">
      <c r="A61" s="8">
        <v>5774</v>
      </c>
      <c r="B61" s="5" t="s">
        <v>77</v>
      </c>
      <c r="C61" s="2">
        <v>10.7</v>
      </c>
      <c r="D61" s="24">
        <v>500</v>
      </c>
      <c r="E61" s="26">
        <f t="shared" si="6"/>
        <v>250</v>
      </c>
      <c r="F61" s="26">
        <v>1821</v>
      </c>
      <c r="G61" s="30">
        <f t="shared" si="7"/>
        <v>0.13728720483250961</v>
      </c>
      <c r="H61" s="11"/>
      <c r="I61" s="9">
        <v>0</v>
      </c>
      <c r="J61" s="3">
        <v>100</v>
      </c>
      <c r="K61" s="3">
        <v>0</v>
      </c>
      <c r="L61" s="3">
        <v>0</v>
      </c>
      <c r="M61" s="6">
        <v>89</v>
      </c>
      <c r="N61" s="6">
        <v>0</v>
      </c>
      <c r="O61" s="13"/>
      <c r="P61" s="60">
        <f t="shared" si="25"/>
        <v>0</v>
      </c>
      <c r="Q61" s="61">
        <f t="shared" si="26"/>
        <v>1070</v>
      </c>
      <c r="R61" s="61">
        <f t="shared" si="27"/>
        <v>0</v>
      </c>
      <c r="S61" s="62">
        <f t="shared" si="28"/>
        <v>0</v>
      </c>
      <c r="T61" s="63">
        <f t="shared" si="29"/>
        <v>952.3</v>
      </c>
      <c r="U61" s="63">
        <f t="shared" si="8"/>
        <v>0</v>
      </c>
      <c r="V61" s="64"/>
      <c r="W61" s="60">
        <v>52</v>
      </c>
      <c r="X61" s="61">
        <v>269</v>
      </c>
      <c r="Y61" s="61">
        <v>1</v>
      </c>
      <c r="Z61" s="61">
        <v>0</v>
      </c>
      <c r="AA61" s="65">
        <v>0</v>
      </c>
      <c r="AB61" s="65">
        <v>1</v>
      </c>
      <c r="AC61" s="66"/>
      <c r="AD61" s="67">
        <f t="shared" si="9"/>
        <v>2.8555738605161998E-2</v>
      </c>
      <c r="AE61" s="67">
        <f t="shared" si="10"/>
        <v>0.14772103239978035</v>
      </c>
      <c r="AF61" s="67">
        <f t="shared" si="11"/>
        <v>5.4914881933003845E-4</v>
      </c>
      <c r="AG61" s="67">
        <f t="shared" si="12"/>
        <v>0</v>
      </c>
      <c r="AH61" s="67">
        <f t="shared" si="13"/>
        <v>0</v>
      </c>
      <c r="AI61" s="67">
        <f t="shared" si="14"/>
        <v>5.4914881933003845E-4</v>
      </c>
      <c r="AJ61" s="66"/>
      <c r="AK61" s="68">
        <v>23.55</v>
      </c>
      <c r="AL61" s="69">
        <v>220.64999999999972</v>
      </c>
      <c r="AM61" s="69">
        <v>220.64999999999969</v>
      </c>
      <c r="AN61" s="69">
        <v>7.0000000000000007E-2</v>
      </c>
      <c r="AO61" s="70">
        <v>0</v>
      </c>
      <c r="AP61" s="70">
        <v>10.7</v>
      </c>
      <c r="AQ61" s="66"/>
      <c r="AR61" s="70" t="s">
        <v>779</v>
      </c>
      <c r="AS61" s="66"/>
      <c r="AT61" s="108">
        <v>0</v>
      </c>
      <c r="AU61" s="109">
        <v>1205</v>
      </c>
      <c r="AV61" s="109">
        <v>0</v>
      </c>
      <c r="AW61" s="109">
        <v>0</v>
      </c>
      <c r="AX61" s="110">
        <v>942.68000000000006</v>
      </c>
      <c r="AY61" s="110">
        <v>0</v>
      </c>
    </row>
    <row r="62" spans="1:51" x14ac:dyDescent="0.25">
      <c r="A62" s="8" t="s">
        <v>64</v>
      </c>
      <c r="B62" s="5" t="s">
        <v>65</v>
      </c>
      <c r="C62" s="2">
        <v>10.35</v>
      </c>
      <c r="D62" s="24">
        <v>1000</v>
      </c>
      <c r="E62" s="26">
        <f t="shared" si="6"/>
        <v>500</v>
      </c>
      <c r="F62" s="26">
        <v>782</v>
      </c>
      <c r="G62" s="30">
        <f t="shared" si="7"/>
        <v>0.63938618925831203</v>
      </c>
      <c r="H62" s="11"/>
      <c r="I62" s="9">
        <v>377</v>
      </c>
      <c r="J62" s="3">
        <v>711</v>
      </c>
      <c r="K62" s="3">
        <v>272</v>
      </c>
      <c r="L62" s="3">
        <v>494</v>
      </c>
      <c r="M62" s="6">
        <v>530</v>
      </c>
      <c r="N62" s="6">
        <v>303</v>
      </c>
      <c r="O62" s="13"/>
      <c r="P62" s="60">
        <f t="shared" si="25"/>
        <v>3901.95</v>
      </c>
      <c r="Q62" s="61">
        <f t="shared" si="26"/>
        <v>7358.8499999999995</v>
      </c>
      <c r="R62" s="61">
        <f t="shared" si="27"/>
        <v>2815.2</v>
      </c>
      <c r="S62" s="62">
        <f t="shared" si="28"/>
        <v>5112.8999999999996</v>
      </c>
      <c r="T62" s="63">
        <f t="shared" si="29"/>
        <v>5485.5</v>
      </c>
      <c r="U62" s="63">
        <f t="shared" si="8"/>
        <v>3136.0499999999997</v>
      </c>
      <c r="V62" s="64"/>
      <c r="W62" s="60">
        <v>53</v>
      </c>
      <c r="X62" s="61">
        <v>66</v>
      </c>
      <c r="Y62" s="61">
        <v>273</v>
      </c>
      <c r="Z62" s="61">
        <v>214</v>
      </c>
      <c r="AA62" s="65">
        <v>364</v>
      </c>
      <c r="AB62" s="65">
        <v>492</v>
      </c>
      <c r="AC62" s="66"/>
      <c r="AD62" s="67">
        <f t="shared" si="9"/>
        <v>6.7774936061381075E-2</v>
      </c>
      <c r="AE62" s="67">
        <f t="shared" si="10"/>
        <v>8.4398976982097182E-2</v>
      </c>
      <c r="AF62" s="67">
        <f t="shared" si="11"/>
        <v>0.34910485933503838</v>
      </c>
      <c r="AG62" s="67">
        <f t="shared" si="12"/>
        <v>0.27365728900255754</v>
      </c>
      <c r="AH62" s="67">
        <f t="shared" si="13"/>
        <v>0.46547314578005117</v>
      </c>
      <c r="AI62" s="67">
        <f t="shared" si="14"/>
        <v>0.62915601023017897</v>
      </c>
      <c r="AJ62" s="66"/>
      <c r="AK62" s="68">
        <v>55.770000000000017</v>
      </c>
      <c r="AL62" s="69">
        <v>223.94</v>
      </c>
      <c r="AM62" s="69">
        <v>223.94</v>
      </c>
      <c r="AN62" s="69">
        <v>1342.729999999998</v>
      </c>
      <c r="AO62" s="70">
        <v>1149.67</v>
      </c>
      <c r="AP62" s="70">
        <v>1071.20999999999</v>
      </c>
      <c r="AQ62" s="66"/>
      <c r="AR62" s="70" t="s">
        <v>779</v>
      </c>
      <c r="AS62" s="66"/>
      <c r="AT62" s="108">
        <v>3688.24</v>
      </c>
      <c r="AU62" s="109">
        <v>7008.7000000000007</v>
      </c>
      <c r="AV62" s="109">
        <v>2632.19</v>
      </c>
      <c r="AW62" s="109">
        <v>5097.0600000000004</v>
      </c>
      <c r="AX62" s="110">
        <v>5210.71</v>
      </c>
      <c r="AY62" s="110">
        <v>2956.6800000000003</v>
      </c>
    </row>
    <row r="63" spans="1:51" x14ac:dyDescent="0.25">
      <c r="A63" s="8" t="s">
        <v>38</v>
      </c>
      <c r="B63" s="5" t="s">
        <v>39</v>
      </c>
      <c r="C63" s="2">
        <v>10.299999999999999</v>
      </c>
      <c r="D63" s="24">
        <v>1000</v>
      </c>
      <c r="E63" s="26">
        <f t="shared" si="6"/>
        <v>500</v>
      </c>
      <c r="F63" s="26">
        <v>837</v>
      </c>
      <c r="G63" s="30">
        <f t="shared" si="7"/>
        <v>0.59737156511350065</v>
      </c>
      <c r="H63" s="11"/>
      <c r="I63" s="9">
        <v>0</v>
      </c>
      <c r="J63" s="3">
        <v>520</v>
      </c>
      <c r="K63" s="3">
        <v>50</v>
      </c>
      <c r="L63" s="3">
        <v>0</v>
      </c>
      <c r="M63" s="6"/>
      <c r="N63" s="6">
        <v>100</v>
      </c>
      <c r="O63" s="13"/>
      <c r="P63" s="60">
        <f t="shared" si="25"/>
        <v>0</v>
      </c>
      <c r="Q63" s="61">
        <f t="shared" si="26"/>
        <v>5355.9999999999991</v>
      </c>
      <c r="R63" s="61">
        <f t="shared" si="27"/>
        <v>515</v>
      </c>
      <c r="S63" s="62">
        <f t="shared" si="28"/>
        <v>0</v>
      </c>
      <c r="T63" s="63">
        <f t="shared" si="29"/>
        <v>0</v>
      </c>
      <c r="U63" s="63">
        <f t="shared" si="8"/>
        <v>1030</v>
      </c>
      <c r="V63" s="64"/>
      <c r="W63" s="60">
        <v>199</v>
      </c>
      <c r="X63" s="61">
        <v>4</v>
      </c>
      <c r="Y63" s="61">
        <v>0</v>
      </c>
      <c r="Z63" s="61">
        <v>0</v>
      </c>
      <c r="AA63" s="65">
        <v>0</v>
      </c>
      <c r="AB63" s="65">
        <v>0</v>
      </c>
      <c r="AC63" s="66"/>
      <c r="AD63" s="67">
        <f t="shared" si="9"/>
        <v>0.23775388291517324</v>
      </c>
      <c r="AE63" s="67">
        <f t="shared" si="10"/>
        <v>4.7789725209080045E-3</v>
      </c>
      <c r="AF63" s="67">
        <f t="shared" si="11"/>
        <v>0</v>
      </c>
      <c r="AG63" s="67">
        <f t="shared" si="12"/>
        <v>0</v>
      </c>
      <c r="AH63" s="67">
        <f t="shared" si="13"/>
        <v>0</v>
      </c>
      <c r="AI63" s="67">
        <f t="shared" si="14"/>
        <v>0</v>
      </c>
      <c r="AJ63" s="66"/>
      <c r="AK63" s="68">
        <v>240.35</v>
      </c>
      <c r="AL63" s="69">
        <v>5.44</v>
      </c>
      <c r="AM63" s="69">
        <v>5.44</v>
      </c>
      <c r="AN63" s="69">
        <v>0</v>
      </c>
      <c r="AO63" s="70">
        <v>0</v>
      </c>
      <c r="AP63" s="70">
        <v>0</v>
      </c>
      <c r="AQ63" s="66"/>
      <c r="AR63" s="70" t="s">
        <v>779</v>
      </c>
      <c r="AS63" s="66"/>
      <c r="AT63" s="108">
        <v>1744</v>
      </c>
      <c r="AU63" s="109">
        <v>2983</v>
      </c>
      <c r="AV63" s="109">
        <v>221</v>
      </c>
      <c r="AW63" s="109">
        <v>0</v>
      </c>
      <c r="AX63" s="110">
        <v>0</v>
      </c>
      <c r="AY63" s="110">
        <v>439</v>
      </c>
    </row>
    <row r="64" spans="1:51" x14ac:dyDescent="0.25">
      <c r="A64" s="8">
        <v>5879</v>
      </c>
      <c r="B64" s="5" t="s">
        <v>195</v>
      </c>
      <c r="C64" s="2">
        <v>10.07</v>
      </c>
      <c r="D64" s="24">
        <v>279.60000000000002</v>
      </c>
      <c r="E64" s="26">
        <f t="shared" si="6"/>
        <v>139.80000000000001</v>
      </c>
      <c r="F64" s="26">
        <v>1290</v>
      </c>
      <c r="G64" s="30">
        <f t="shared" si="7"/>
        <v>0.10837209302325582</v>
      </c>
      <c r="H64" s="11"/>
      <c r="I64" s="9">
        <v>200</v>
      </c>
      <c r="J64" s="3">
        <v>0</v>
      </c>
      <c r="K64" s="3">
        <v>0</v>
      </c>
      <c r="L64" s="3">
        <v>0</v>
      </c>
      <c r="M64" s="6"/>
      <c r="N64" s="6">
        <v>0</v>
      </c>
      <c r="O64" s="13"/>
      <c r="P64" s="60">
        <f t="shared" si="25"/>
        <v>2014</v>
      </c>
      <c r="Q64" s="61">
        <f t="shared" si="26"/>
        <v>0</v>
      </c>
      <c r="R64" s="61">
        <f t="shared" si="27"/>
        <v>0</v>
      </c>
      <c r="S64" s="62">
        <f t="shared" si="28"/>
        <v>0</v>
      </c>
      <c r="T64" s="63">
        <f t="shared" si="29"/>
        <v>0</v>
      </c>
      <c r="U64" s="63">
        <f t="shared" si="8"/>
        <v>0</v>
      </c>
      <c r="V64" s="64"/>
      <c r="W64" s="60">
        <v>139</v>
      </c>
      <c r="X64" s="61">
        <v>184</v>
      </c>
      <c r="Y64" s="61">
        <v>125</v>
      </c>
      <c r="Z64" s="61">
        <v>40</v>
      </c>
      <c r="AA64" s="65">
        <v>211</v>
      </c>
      <c r="AB64" s="65">
        <v>84</v>
      </c>
      <c r="AC64" s="66"/>
      <c r="AD64" s="67">
        <f t="shared" si="9"/>
        <v>0.10775193798449613</v>
      </c>
      <c r="AE64" s="67">
        <f t="shared" si="10"/>
        <v>0.14263565891472868</v>
      </c>
      <c r="AF64" s="67">
        <f t="shared" si="11"/>
        <v>9.6899224806201556E-2</v>
      </c>
      <c r="AG64" s="67">
        <f t="shared" si="12"/>
        <v>3.1007751937984496E-2</v>
      </c>
      <c r="AH64" s="67">
        <f t="shared" si="13"/>
        <v>0.16356589147286821</v>
      </c>
      <c r="AI64" s="67">
        <f t="shared" si="14"/>
        <v>6.5116279069767441E-2</v>
      </c>
      <c r="AJ64" s="66"/>
      <c r="AK64" s="68">
        <v>611.49</v>
      </c>
      <c r="AL64" s="69">
        <v>1375.2000000000003</v>
      </c>
      <c r="AM64" s="69">
        <v>1375.2</v>
      </c>
      <c r="AN64" s="69">
        <v>1292.8900000000001</v>
      </c>
      <c r="AO64" s="70">
        <v>418</v>
      </c>
      <c r="AP64" s="70">
        <v>-1021</v>
      </c>
      <c r="AQ64" s="66"/>
      <c r="AR64" s="70" t="s">
        <v>780</v>
      </c>
      <c r="AS64" s="66"/>
      <c r="AT64" s="108">
        <v>4780</v>
      </c>
      <c r="AU64" s="109">
        <v>0</v>
      </c>
      <c r="AV64" s="109">
        <v>0</v>
      </c>
      <c r="AW64" s="109">
        <v>0</v>
      </c>
      <c r="AX64" s="110">
        <v>0</v>
      </c>
      <c r="AY64" s="110">
        <v>0</v>
      </c>
    </row>
    <row r="65" spans="1:51" x14ac:dyDescent="0.25">
      <c r="A65" s="8">
        <v>5854</v>
      </c>
      <c r="B65" s="5" t="s">
        <v>53</v>
      </c>
      <c r="C65" s="2">
        <v>10.010000000000002</v>
      </c>
      <c r="D65" s="24">
        <v>200</v>
      </c>
      <c r="E65" s="26">
        <f t="shared" si="6"/>
        <v>100</v>
      </c>
      <c r="F65" s="26">
        <v>68</v>
      </c>
      <c r="G65" s="30">
        <f t="shared" si="7"/>
        <v>1.4705882352941178</v>
      </c>
      <c r="H65" s="11"/>
      <c r="I65" s="9">
        <v>0</v>
      </c>
      <c r="J65" s="3">
        <v>0</v>
      </c>
      <c r="K65" s="3">
        <v>0</v>
      </c>
      <c r="L65" s="3">
        <v>0</v>
      </c>
      <c r="M65" s="6"/>
      <c r="N65" s="6">
        <v>0</v>
      </c>
      <c r="O65" s="13"/>
      <c r="P65" s="60">
        <f t="shared" si="25"/>
        <v>0</v>
      </c>
      <c r="Q65" s="61">
        <f t="shared" si="26"/>
        <v>0</v>
      </c>
      <c r="R65" s="61">
        <f t="shared" si="27"/>
        <v>0</v>
      </c>
      <c r="S65" s="62">
        <f t="shared" si="28"/>
        <v>0</v>
      </c>
      <c r="T65" s="63">
        <f t="shared" si="29"/>
        <v>0</v>
      </c>
      <c r="U65" s="63">
        <f t="shared" si="8"/>
        <v>0</v>
      </c>
      <c r="V65" s="64"/>
      <c r="W65" s="60">
        <v>0</v>
      </c>
      <c r="X65" s="61">
        <v>0</v>
      </c>
      <c r="Y65" s="61">
        <v>0</v>
      </c>
      <c r="Z65" s="61">
        <v>0</v>
      </c>
      <c r="AA65" s="65">
        <v>0</v>
      </c>
      <c r="AB65" s="65">
        <v>0</v>
      </c>
      <c r="AC65" s="66"/>
      <c r="AD65" s="67">
        <f t="shared" si="9"/>
        <v>0</v>
      </c>
      <c r="AE65" s="67">
        <f t="shared" si="10"/>
        <v>0</v>
      </c>
      <c r="AF65" s="67">
        <f t="shared" si="11"/>
        <v>0</v>
      </c>
      <c r="AG65" s="67">
        <f t="shared" si="12"/>
        <v>0</v>
      </c>
      <c r="AH65" s="67">
        <f t="shared" si="13"/>
        <v>0</v>
      </c>
      <c r="AI65" s="67">
        <f t="shared" si="14"/>
        <v>0</v>
      </c>
      <c r="AJ65" s="66"/>
      <c r="AK65" s="68">
        <v>0</v>
      </c>
      <c r="AL65" s="69">
        <v>0</v>
      </c>
      <c r="AM65" s="69">
        <v>0</v>
      </c>
      <c r="AN65" s="69">
        <v>0</v>
      </c>
      <c r="AO65" s="70">
        <v>0</v>
      </c>
      <c r="AP65" s="70">
        <v>0</v>
      </c>
      <c r="AQ65" s="66"/>
      <c r="AR65" s="70" t="s">
        <v>779</v>
      </c>
      <c r="AS65" s="66"/>
      <c r="AT65" s="108">
        <v>0</v>
      </c>
      <c r="AU65" s="109">
        <v>0</v>
      </c>
      <c r="AV65" s="109">
        <v>0</v>
      </c>
      <c r="AW65" s="109">
        <v>0</v>
      </c>
      <c r="AX65" s="110">
        <v>0</v>
      </c>
      <c r="AY65" s="110">
        <v>0</v>
      </c>
    </row>
    <row r="66" spans="1:51" x14ac:dyDescent="0.25">
      <c r="A66" s="8">
        <v>5832</v>
      </c>
      <c r="B66" s="5" t="s">
        <v>269</v>
      </c>
      <c r="C66" s="2">
        <v>9.9599999999999937</v>
      </c>
      <c r="D66" s="24">
        <v>400</v>
      </c>
      <c r="E66" s="26">
        <f t="shared" si="6"/>
        <v>200</v>
      </c>
      <c r="F66" s="26">
        <v>334</v>
      </c>
      <c r="G66" s="30">
        <f t="shared" si="7"/>
        <v>0.59880239520958078</v>
      </c>
      <c r="H66" s="11"/>
      <c r="I66" s="9">
        <v>90</v>
      </c>
      <c r="J66" s="3">
        <v>0</v>
      </c>
      <c r="K66" s="3">
        <v>0</v>
      </c>
      <c r="L66" s="3">
        <v>0</v>
      </c>
      <c r="M66" s="6"/>
      <c r="N66" s="6">
        <v>31</v>
      </c>
      <c r="O66" s="13"/>
      <c r="P66" s="60">
        <f t="shared" si="25"/>
        <v>896.39999999999941</v>
      </c>
      <c r="Q66" s="61">
        <f t="shared" si="26"/>
        <v>0</v>
      </c>
      <c r="R66" s="61">
        <f t="shared" si="27"/>
        <v>0</v>
      </c>
      <c r="S66" s="62">
        <f t="shared" si="28"/>
        <v>0</v>
      </c>
      <c r="T66" s="63">
        <f t="shared" si="29"/>
        <v>0</v>
      </c>
      <c r="U66" s="63">
        <f t="shared" si="8"/>
        <v>308.75999999999982</v>
      </c>
      <c r="V66" s="64"/>
      <c r="W66" s="60">
        <v>13</v>
      </c>
      <c r="X66" s="61">
        <v>36</v>
      </c>
      <c r="Y66" s="61">
        <v>0</v>
      </c>
      <c r="Z66" s="61">
        <v>0</v>
      </c>
      <c r="AA66" s="65">
        <v>168</v>
      </c>
      <c r="AB66" s="65">
        <v>0</v>
      </c>
      <c r="AC66" s="66"/>
      <c r="AD66" s="67">
        <f t="shared" si="9"/>
        <v>3.8922155688622756E-2</v>
      </c>
      <c r="AE66" s="67">
        <f t="shared" si="10"/>
        <v>0.10778443113772455</v>
      </c>
      <c r="AF66" s="67">
        <f t="shared" si="11"/>
        <v>0</v>
      </c>
      <c r="AG66" s="67">
        <f t="shared" si="12"/>
        <v>0</v>
      </c>
      <c r="AH66" s="67">
        <f t="shared" si="13"/>
        <v>0.50299401197604787</v>
      </c>
      <c r="AI66" s="67">
        <f t="shared" si="14"/>
        <v>0</v>
      </c>
      <c r="AJ66" s="66"/>
      <c r="AK66" s="68">
        <v>94.15</v>
      </c>
      <c r="AL66" s="69">
        <v>284.89999999999986</v>
      </c>
      <c r="AM66" s="69">
        <v>284.89999999999992</v>
      </c>
      <c r="AN66" s="69">
        <v>0</v>
      </c>
      <c r="AO66" s="70">
        <v>1673.2799999999988</v>
      </c>
      <c r="AP66" s="70">
        <v>0</v>
      </c>
      <c r="AQ66" s="66"/>
      <c r="AR66" s="70" t="s">
        <v>779</v>
      </c>
      <c r="AS66" s="66"/>
      <c r="AT66" s="108">
        <v>3294.9</v>
      </c>
      <c r="AU66" s="109">
        <v>0</v>
      </c>
      <c r="AV66" s="109">
        <v>0</v>
      </c>
      <c r="AW66" s="109">
        <v>0</v>
      </c>
      <c r="AX66" s="110">
        <v>0</v>
      </c>
      <c r="AY66" s="110">
        <v>1152.27</v>
      </c>
    </row>
    <row r="67" spans="1:51" x14ac:dyDescent="0.25">
      <c r="A67" s="8" t="s">
        <v>103</v>
      </c>
      <c r="B67" s="5" t="s">
        <v>104</v>
      </c>
      <c r="C67" s="2">
        <v>9.91</v>
      </c>
      <c r="D67" s="24">
        <v>50</v>
      </c>
      <c r="E67" s="26">
        <f t="shared" ref="E67:E130" si="30">D67/2</f>
        <v>25</v>
      </c>
      <c r="F67" s="26">
        <v>27</v>
      </c>
      <c r="G67" s="30">
        <f t="shared" ref="G67:G130" si="31">+E67/F67</f>
        <v>0.92592592592592593</v>
      </c>
      <c r="H67" s="11"/>
      <c r="I67" s="9">
        <v>0</v>
      </c>
      <c r="J67" s="3">
        <v>0</v>
      </c>
      <c r="K67" s="3">
        <v>0</v>
      </c>
      <c r="L67" s="3">
        <v>0</v>
      </c>
      <c r="M67" s="6">
        <v>50</v>
      </c>
      <c r="N67" s="6">
        <v>0</v>
      </c>
      <c r="O67" s="13"/>
      <c r="P67" s="60">
        <f t="shared" si="25"/>
        <v>0</v>
      </c>
      <c r="Q67" s="61">
        <f t="shared" si="26"/>
        <v>0</v>
      </c>
      <c r="R67" s="61">
        <f t="shared" si="27"/>
        <v>0</v>
      </c>
      <c r="S67" s="62">
        <f t="shared" si="28"/>
        <v>0</v>
      </c>
      <c r="T67" s="63">
        <f t="shared" si="29"/>
        <v>495.5</v>
      </c>
      <c r="U67" s="63">
        <f t="shared" si="8"/>
        <v>0</v>
      </c>
      <c r="V67" s="64"/>
      <c r="W67" s="60">
        <v>13</v>
      </c>
      <c r="X67" s="61">
        <v>22</v>
      </c>
      <c r="Y67" s="61">
        <v>13</v>
      </c>
      <c r="Z67" s="61">
        <v>9</v>
      </c>
      <c r="AA67" s="65">
        <v>12</v>
      </c>
      <c r="AB67" s="65">
        <v>11</v>
      </c>
      <c r="AC67" s="66"/>
      <c r="AD67" s="67">
        <f t="shared" si="9"/>
        <v>0.48148148148148145</v>
      </c>
      <c r="AE67" s="67">
        <f t="shared" si="10"/>
        <v>0.81481481481481477</v>
      </c>
      <c r="AF67" s="67">
        <f t="shared" si="11"/>
        <v>0.48148148148148145</v>
      </c>
      <c r="AG67" s="67">
        <f t="shared" si="12"/>
        <v>0.33333333333333331</v>
      </c>
      <c r="AH67" s="67">
        <f t="shared" si="13"/>
        <v>0.44444444444444442</v>
      </c>
      <c r="AI67" s="67">
        <f t="shared" si="14"/>
        <v>0.40740740740740738</v>
      </c>
      <c r="AJ67" s="66"/>
      <c r="AK67" s="68">
        <v>280.87</v>
      </c>
      <c r="AL67" s="69">
        <v>427.23</v>
      </c>
      <c r="AM67" s="69">
        <v>427.23</v>
      </c>
      <c r="AN67" s="69">
        <v>254.04000000000002</v>
      </c>
      <c r="AO67" s="70">
        <v>154.16</v>
      </c>
      <c r="AP67" s="70">
        <v>151.45999999999901</v>
      </c>
      <c r="AQ67" s="66"/>
      <c r="AR67" s="70" t="s">
        <v>779</v>
      </c>
      <c r="AS67" s="66"/>
      <c r="AT67" s="108">
        <v>0</v>
      </c>
      <c r="AU67" s="109">
        <v>0</v>
      </c>
      <c r="AV67" s="109">
        <v>0</v>
      </c>
      <c r="AW67" s="109">
        <v>0</v>
      </c>
      <c r="AX67" s="110">
        <v>661</v>
      </c>
      <c r="AY67" s="110">
        <v>0</v>
      </c>
    </row>
    <row r="68" spans="1:51" x14ac:dyDescent="0.25">
      <c r="A68" s="8" t="s">
        <v>253</v>
      </c>
      <c r="B68" s="5" t="s">
        <v>254</v>
      </c>
      <c r="C68" s="2">
        <v>9.740000000000002</v>
      </c>
      <c r="D68" s="24">
        <v>2000</v>
      </c>
      <c r="E68" s="26">
        <f t="shared" si="30"/>
        <v>1000</v>
      </c>
      <c r="F68" s="26">
        <v>2620</v>
      </c>
      <c r="G68" s="30">
        <f t="shared" si="31"/>
        <v>0.38167938931297712</v>
      </c>
      <c r="H68" s="11"/>
      <c r="I68" s="9">
        <v>0</v>
      </c>
      <c r="J68" s="3">
        <v>0</v>
      </c>
      <c r="K68" s="3">
        <v>0</v>
      </c>
      <c r="L68" s="3">
        <v>500</v>
      </c>
      <c r="M68" s="6"/>
      <c r="N68" s="6">
        <v>0</v>
      </c>
      <c r="O68" s="13"/>
      <c r="P68" s="60">
        <f t="shared" si="25"/>
        <v>0</v>
      </c>
      <c r="Q68" s="61">
        <f t="shared" si="26"/>
        <v>0</v>
      </c>
      <c r="R68" s="61">
        <f t="shared" si="27"/>
        <v>0</v>
      </c>
      <c r="S68" s="62">
        <f t="shared" si="28"/>
        <v>4870.0000000000009</v>
      </c>
      <c r="T68" s="63">
        <f t="shared" si="29"/>
        <v>0</v>
      </c>
      <c r="U68" s="63">
        <f t="shared" ref="U68:U131" si="32">+N68*C68</f>
        <v>0</v>
      </c>
      <c r="V68" s="64"/>
      <c r="W68" s="60">
        <v>559</v>
      </c>
      <c r="X68" s="61">
        <v>435</v>
      </c>
      <c r="Y68" s="61">
        <v>300</v>
      </c>
      <c r="Z68" s="61">
        <v>485</v>
      </c>
      <c r="AA68" s="65">
        <v>624</v>
      </c>
      <c r="AB68" s="65">
        <v>185</v>
      </c>
      <c r="AC68" s="66"/>
      <c r="AD68" s="67">
        <f t="shared" ref="AD68:AD131" si="33">+IFERROR(W68/F68,"")</f>
        <v>0.2133587786259542</v>
      </c>
      <c r="AE68" s="67">
        <f t="shared" ref="AE68:AE131" si="34">+IFERROR(X68/F68,"")</f>
        <v>0.16603053435114504</v>
      </c>
      <c r="AF68" s="67">
        <f t="shared" ref="AF68:AF131" si="35">+IFERROR(Y68/F68,"")</f>
        <v>0.11450381679389313</v>
      </c>
      <c r="AG68" s="67">
        <f t="shared" ref="AG68:AG131" si="36">+IFERROR(Z68/F68,"")</f>
        <v>0.1851145038167939</v>
      </c>
      <c r="AH68" s="67">
        <f t="shared" ref="AH68:AH131" si="37">+IFERROR(AA68/F68,"")</f>
        <v>0.2381679389312977</v>
      </c>
      <c r="AI68" s="67">
        <f t="shared" ref="AI68:AI131" si="38">+IFERROR(AB68/F68,"")</f>
        <v>7.061068702290077E-2</v>
      </c>
      <c r="AJ68" s="66"/>
      <c r="AK68" s="68">
        <v>4955.0000000000045</v>
      </c>
      <c r="AL68" s="69">
        <v>3707.1399999999931</v>
      </c>
      <c r="AM68" s="69">
        <v>3707.1399999999931</v>
      </c>
      <c r="AN68" s="69">
        <v>1689.6999999999962</v>
      </c>
      <c r="AO68" s="70">
        <v>2627.08</v>
      </c>
      <c r="AP68" s="70">
        <v>1474.3799999999901</v>
      </c>
      <c r="AQ68" s="66"/>
      <c r="AR68" s="70" t="s">
        <v>779</v>
      </c>
      <c r="AS68" s="66"/>
      <c r="AT68" s="108">
        <v>0</v>
      </c>
      <c r="AU68" s="109">
        <v>0</v>
      </c>
      <c r="AV68" s="109">
        <v>0</v>
      </c>
      <c r="AW68" s="109">
        <v>14980</v>
      </c>
      <c r="AX68" s="110">
        <v>0</v>
      </c>
      <c r="AY68" s="110">
        <v>0</v>
      </c>
    </row>
    <row r="69" spans="1:51" x14ac:dyDescent="0.25">
      <c r="A69" s="8" t="s">
        <v>335</v>
      </c>
      <c r="B69" s="5" t="s">
        <v>336</v>
      </c>
      <c r="C69" s="2">
        <v>9.5500000000000043</v>
      </c>
      <c r="D69" s="24">
        <v>8000</v>
      </c>
      <c r="E69" s="26">
        <f t="shared" si="30"/>
        <v>4000</v>
      </c>
      <c r="F69" s="26">
        <v>11469</v>
      </c>
      <c r="G69" s="30">
        <f t="shared" si="31"/>
        <v>0.34876623942802337</v>
      </c>
      <c r="H69" s="11"/>
      <c r="I69" s="9">
        <v>4752</v>
      </c>
      <c r="J69" s="3">
        <v>3929.3333333333335</v>
      </c>
      <c r="K69" s="3">
        <v>1810</v>
      </c>
      <c r="L69" s="3">
        <v>2188.666666666667</v>
      </c>
      <c r="M69" s="6">
        <v>1991.666666666667</v>
      </c>
      <c r="N69" s="6">
        <v>5225</v>
      </c>
      <c r="O69" s="13"/>
      <c r="P69" s="60">
        <f t="shared" si="25"/>
        <v>45381.60000000002</v>
      </c>
      <c r="Q69" s="61">
        <f t="shared" si="26"/>
        <v>37525.133333333353</v>
      </c>
      <c r="R69" s="61">
        <f t="shared" si="27"/>
        <v>17285.500000000007</v>
      </c>
      <c r="S69" s="62">
        <f t="shared" si="28"/>
        <v>20901.766666666677</v>
      </c>
      <c r="T69" s="63">
        <f t="shared" si="29"/>
        <v>19020.416666666679</v>
      </c>
      <c r="U69" s="63">
        <f t="shared" si="32"/>
        <v>49898.750000000022</v>
      </c>
      <c r="V69" s="64"/>
      <c r="W69" s="60">
        <v>3278</v>
      </c>
      <c r="X69" s="61">
        <v>3971</v>
      </c>
      <c r="Y69" s="61">
        <v>4841</v>
      </c>
      <c r="Z69" s="61">
        <v>3803</v>
      </c>
      <c r="AA69" s="65">
        <v>4738</v>
      </c>
      <c r="AB69" s="65">
        <v>2167</v>
      </c>
      <c r="AC69" s="66"/>
      <c r="AD69" s="67">
        <f t="shared" si="33"/>
        <v>0.28581393321126514</v>
      </c>
      <c r="AE69" s="67">
        <f t="shared" si="34"/>
        <v>0.34623768419217021</v>
      </c>
      <c r="AF69" s="67">
        <f t="shared" si="35"/>
        <v>0.42209434126776529</v>
      </c>
      <c r="AG69" s="67">
        <f t="shared" si="36"/>
        <v>0.3315895021361932</v>
      </c>
      <c r="AH69" s="67">
        <f t="shared" si="37"/>
        <v>0.41311361060249369</v>
      </c>
      <c r="AI69" s="67">
        <f t="shared" si="38"/>
        <v>0.18894411021013166</v>
      </c>
      <c r="AJ69" s="66"/>
      <c r="AK69" s="68">
        <v>14254.780000000021</v>
      </c>
      <c r="AL69" s="69">
        <v>20459.72999999997</v>
      </c>
      <c r="AM69" s="69">
        <v>20459.729999999974</v>
      </c>
      <c r="AN69" s="69">
        <v>20469.459999999977</v>
      </c>
      <c r="AO69" s="70">
        <v>20059.82</v>
      </c>
      <c r="AP69" s="70">
        <v>12138.559999999899</v>
      </c>
      <c r="AQ69" s="66"/>
      <c r="AR69" s="70" t="s">
        <v>779</v>
      </c>
      <c r="AS69" s="66"/>
      <c r="AT69" s="108">
        <v>225834.16</v>
      </c>
      <c r="AU69" s="109">
        <v>188556.34000000003</v>
      </c>
      <c r="AV69" s="109">
        <v>85269.16</v>
      </c>
      <c r="AW69" s="109">
        <v>97971.14</v>
      </c>
      <c r="AX69" s="110">
        <v>87916.15</v>
      </c>
      <c r="AY69" s="110">
        <v>374562.95</v>
      </c>
    </row>
    <row r="70" spans="1:51" x14ac:dyDescent="0.25">
      <c r="A70" s="8">
        <v>6000</v>
      </c>
      <c r="B70" s="5" t="s">
        <v>384</v>
      </c>
      <c r="C70" s="2">
        <v>9.2800000000000011</v>
      </c>
      <c r="D70" s="24">
        <v>6000</v>
      </c>
      <c r="E70" s="26">
        <f t="shared" si="30"/>
        <v>3000</v>
      </c>
      <c r="F70" s="26">
        <v>14695</v>
      </c>
      <c r="G70" s="30">
        <f t="shared" si="31"/>
        <v>0.20415107179312691</v>
      </c>
      <c r="H70" s="11"/>
      <c r="I70" s="9">
        <v>363.5</v>
      </c>
      <c r="J70" s="3">
        <v>1319.6666666666667</v>
      </c>
      <c r="K70" s="3">
        <v>2668.166666666667</v>
      </c>
      <c r="L70" s="3">
        <v>1760.5</v>
      </c>
      <c r="M70" s="6">
        <v>564.16666666666674</v>
      </c>
      <c r="N70" s="6">
        <v>796</v>
      </c>
      <c r="O70" s="13"/>
      <c r="P70" s="60">
        <f t="shared" si="25"/>
        <v>3373.28</v>
      </c>
      <c r="Q70" s="61">
        <f t="shared" si="26"/>
        <v>12246.506666666668</v>
      </c>
      <c r="R70" s="61">
        <f t="shared" si="27"/>
        <v>24760.586666666673</v>
      </c>
      <c r="S70" s="62">
        <f t="shared" si="28"/>
        <v>16337.440000000002</v>
      </c>
      <c r="T70" s="63">
        <f t="shared" si="29"/>
        <v>5235.4666666666681</v>
      </c>
      <c r="U70" s="63">
        <f t="shared" si="32"/>
        <v>7386.880000000001</v>
      </c>
      <c r="V70" s="64"/>
      <c r="W70" s="60">
        <v>292</v>
      </c>
      <c r="X70" s="61">
        <v>496</v>
      </c>
      <c r="Y70" s="61">
        <v>1338</v>
      </c>
      <c r="Z70" s="61">
        <v>1990</v>
      </c>
      <c r="AA70" s="65">
        <v>1996</v>
      </c>
      <c r="AB70" s="65">
        <v>918</v>
      </c>
      <c r="AC70" s="66"/>
      <c r="AD70" s="67">
        <f t="shared" si="33"/>
        <v>1.9870704321197686E-2</v>
      </c>
      <c r="AE70" s="67">
        <f t="shared" si="34"/>
        <v>3.3752977203130315E-2</v>
      </c>
      <c r="AF70" s="67">
        <f t="shared" si="35"/>
        <v>9.1051378019734605E-2</v>
      </c>
      <c r="AG70" s="67">
        <f t="shared" si="36"/>
        <v>0.13542021095610751</v>
      </c>
      <c r="AH70" s="67">
        <f t="shared" si="37"/>
        <v>0.13582851309969377</v>
      </c>
      <c r="AI70" s="67">
        <f t="shared" si="38"/>
        <v>6.2470227968696834E-2</v>
      </c>
      <c r="AJ70" s="66"/>
      <c r="AK70" s="68">
        <v>3198.04</v>
      </c>
      <c r="AL70" s="69">
        <v>4259.4799999999932</v>
      </c>
      <c r="AM70" s="69">
        <v>4259.479999999995</v>
      </c>
      <c r="AN70" s="69">
        <v>8919.9999999999836</v>
      </c>
      <c r="AO70" s="70">
        <v>11165.92</v>
      </c>
      <c r="AP70" s="70">
        <v>5532.0999999999904</v>
      </c>
      <c r="AQ70" s="66"/>
      <c r="AR70" s="70" t="s">
        <v>779</v>
      </c>
      <c r="AS70" s="66"/>
      <c r="AT70" s="108">
        <v>21439.009999999995</v>
      </c>
      <c r="AU70" s="109">
        <v>80436.379999999976</v>
      </c>
      <c r="AV70" s="109">
        <v>165871.6</v>
      </c>
      <c r="AW70" s="109">
        <v>105600.83999999997</v>
      </c>
      <c r="AX70" s="110">
        <v>34411.81</v>
      </c>
      <c r="AY70" s="110">
        <v>12905.240000000002</v>
      </c>
    </row>
    <row r="71" spans="1:51" x14ac:dyDescent="0.25">
      <c r="A71" s="8" t="s">
        <v>799</v>
      </c>
      <c r="B71" s="5" t="s">
        <v>842</v>
      </c>
      <c r="C71" s="2">
        <v>9.2777948880216563</v>
      </c>
      <c r="D71" s="24">
        <v>600</v>
      </c>
      <c r="E71" s="26">
        <f t="shared" si="30"/>
        <v>300</v>
      </c>
      <c r="F71" s="26">
        <v>933</v>
      </c>
      <c r="G71" s="30">
        <f t="shared" si="31"/>
        <v>0.32154340836012862</v>
      </c>
      <c r="H71" s="11"/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6">
        <v>0</v>
      </c>
      <c r="O71" s="13"/>
      <c r="P71" s="60"/>
      <c r="Q71" s="61"/>
      <c r="R71" s="61"/>
      <c r="S71" s="62"/>
      <c r="T71" s="63"/>
      <c r="U71" s="63">
        <f t="shared" si="32"/>
        <v>0</v>
      </c>
      <c r="V71" s="64"/>
      <c r="W71" s="60"/>
      <c r="X71" s="61"/>
      <c r="Y71" s="61"/>
      <c r="Z71" s="61"/>
      <c r="AA71" s="65"/>
      <c r="AB71" s="65"/>
      <c r="AC71" s="66"/>
      <c r="AD71" s="67">
        <f t="shared" si="33"/>
        <v>0</v>
      </c>
      <c r="AE71" s="67">
        <f t="shared" si="34"/>
        <v>0</v>
      </c>
      <c r="AF71" s="67">
        <f t="shared" si="35"/>
        <v>0</v>
      </c>
      <c r="AG71" s="67">
        <f t="shared" si="36"/>
        <v>0</v>
      </c>
      <c r="AH71" s="67">
        <f t="shared" si="37"/>
        <v>0</v>
      </c>
      <c r="AI71" s="67">
        <f t="shared" si="38"/>
        <v>0</v>
      </c>
      <c r="AJ71" s="66"/>
      <c r="AK71" s="68"/>
      <c r="AL71" s="69"/>
      <c r="AM71" s="69"/>
      <c r="AN71" s="69"/>
      <c r="AO71" s="70"/>
      <c r="AP71" s="70"/>
      <c r="AQ71" s="66"/>
      <c r="AR71" s="70" t="s">
        <v>780</v>
      </c>
      <c r="AS71" s="66"/>
      <c r="AT71" s="108">
        <v>0</v>
      </c>
      <c r="AU71" s="109">
        <v>0</v>
      </c>
      <c r="AV71" s="109">
        <v>0</v>
      </c>
      <c r="AW71" s="109">
        <v>0</v>
      </c>
      <c r="AX71" s="110">
        <v>0</v>
      </c>
      <c r="AY71" s="110">
        <v>0</v>
      </c>
    </row>
    <row r="72" spans="1:51" x14ac:dyDescent="0.25">
      <c r="A72" s="8">
        <v>5300</v>
      </c>
      <c r="B72" s="5" t="s">
        <v>102</v>
      </c>
      <c r="C72" s="2">
        <v>9.1599999999999984</v>
      </c>
      <c r="D72" s="24">
        <v>500</v>
      </c>
      <c r="E72" s="26">
        <f t="shared" si="30"/>
        <v>250</v>
      </c>
      <c r="F72" s="26">
        <v>508</v>
      </c>
      <c r="G72" s="30">
        <f t="shared" si="31"/>
        <v>0.49212598425196852</v>
      </c>
      <c r="H72" s="11"/>
      <c r="I72" s="9">
        <v>0</v>
      </c>
      <c r="J72" s="3">
        <v>0</v>
      </c>
      <c r="K72" s="3">
        <v>0</v>
      </c>
      <c r="L72" s="3">
        <v>0</v>
      </c>
      <c r="M72" s="6">
        <v>31</v>
      </c>
      <c r="N72" s="6">
        <v>120</v>
      </c>
      <c r="O72" s="13"/>
      <c r="P72" s="60">
        <f t="shared" ref="P72:P92" si="39">+I72*C72</f>
        <v>0</v>
      </c>
      <c r="Q72" s="61">
        <f t="shared" ref="Q72:Q92" si="40">+J72*C72</f>
        <v>0</v>
      </c>
      <c r="R72" s="61">
        <f t="shared" ref="R72:R92" si="41">+K72*C72</f>
        <v>0</v>
      </c>
      <c r="S72" s="62">
        <f t="shared" ref="S72:S92" si="42">+L72*C72</f>
        <v>0</v>
      </c>
      <c r="T72" s="63">
        <f t="shared" ref="T72:T92" si="43">+M72*C72</f>
        <v>283.95999999999992</v>
      </c>
      <c r="U72" s="63">
        <f t="shared" si="32"/>
        <v>1099.1999999999998</v>
      </c>
      <c r="V72" s="64"/>
      <c r="W72" s="60">
        <v>0</v>
      </c>
      <c r="X72" s="61">
        <v>0</v>
      </c>
      <c r="Y72" s="61">
        <v>0</v>
      </c>
      <c r="Z72" s="61">
        <v>0</v>
      </c>
      <c r="AA72" s="65">
        <v>0</v>
      </c>
      <c r="AB72" s="65">
        <v>30</v>
      </c>
      <c r="AC72" s="66"/>
      <c r="AD72" s="67">
        <f t="shared" si="33"/>
        <v>0</v>
      </c>
      <c r="AE72" s="67">
        <f t="shared" si="34"/>
        <v>0</v>
      </c>
      <c r="AF72" s="67">
        <f t="shared" si="35"/>
        <v>0</v>
      </c>
      <c r="AG72" s="67">
        <f t="shared" si="36"/>
        <v>0</v>
      </c>
      <c r="AH72" s="67">
        <f t="shared" si="37"/>
        <v>0</v>
      </c>
      <c r="AI72" s="67">
        <f t="shared" si="38"/>
        <v>5.905511811023622E-2</v>
      </c>
      <c r="AJ72" s="66"/>
      <c r="AK72" s="68">
        <v>0</v>
      </c>
      <c r="AL72" s="69">
        <v>0</v>
      </c>
      <c r="AM72" s="69">
        <v>0</v>
      </c>
      <c r="AN72" s="69">
        <v>0</v>
      </c>
      <c r="AO72" s="70">
        <v>0</v>
      </c>
      <c r="AP72" s="70">
        <v>281</v>
      </c>
      <c r="AQ72" s="66"/>
      <c r="AR72" s="70" t="s">
        <v>779</v>
      </c>
      <c r="AS72" s="66"/>
      <c r="AT72" s="108">
        <v>0</v>
      </c>
      <c r="AU72" s="109">
        <v>0</v>
      </c>
      <c r="AV72" s="109">
        <v>0</v>
      </c>
      <c r="AW72" s="109">
        <v>0</v>
      </c>
      <c r="AX72" s="110">
        <v>382.23</v>
      </c>
      <c r="AY72" s="110">
        <v>1402.8</v>
      </c>
    </row>
    <row r="73" spans="1:51" x14ac:dyDescent="0.25">
      <c r="A73" s="8">
        <v>5266</v>
      </c>
      <c r="B73" s="5" t="s">
        <v>51</v>
      </c>
      <c r="C73" s="2">
        <v>9.11</v>
      </c>
      <c r="D73" s="24">
        <v>500</v>
      </c>
      <c r="E73" s="26">
        <f t="shared" si="30"/>
        <v>250</v>
      </c>
      <c r="F73" s="26">
        <v>6203</v>
      </c>
      <c r="G73" s="30">
        <f t="shared" si="31"/>
        <v>4.0303079155247459E-2</v>
      </c>
      <c r="H73" s="11"/>
      <c r="I73" s="9">
        <v>1700</v>
      </c>
      <c r="J73" s="3">
        <v>0</v>
      </c>
      <c r="K73" s="3">
        <v>0</v>
      </c>
      <c r="L73" s="3">
        <v>0</v>
      </c>
      <c r="M73" s="6"/>
      <c r="N73" s="6">
        <v>0</v>
      </c>
      <c r="O73" s="13"/>
      <c r="P73" s="60">
        <f t="shared" si="39"/>
        <v>15486.999999999998</v>
      </c>
      <c r="Q73" s="61">
        <f t="shared" si="40"/>
        <v>0</v>
      </c>
      <c r="R73" s="61">
        <f t="shared" si="41"/>
        <v>0</v>
      </c>
      <c r="S73" s="62">
        <f t="shared" si="42"/>
        <v>0</v>
      </c>
      <c r="T73" s="63">
        <f t="shared" si="43"/>
        <v>0</v>
      </c>
      <c r="U73" s="63">
        <f t="shared" si="32"/>
        <v>0</v>
      </c>
      <c r="V73" s="64"/>
      <c r="W73" s="60">
        <v>0</v>
      </c>
      <c r="X73" s="61">
        <v>99</v>
      </c>
      <c r="Y73" s="61">
        <v>158</v>
      </c>
      <c r="Z73" s="61">
        <v>311</v>
      </c>
      <c r="AA73" s="65">
        <v>591</v>
      </c>
      <c r="AB73" s="65">
        <v>455</v>
      </c>
      <c r="AC73" s="66"/>
      <c r="AD73" s="67">
        <f t="shared" si="33"/>
        <v>0</v>
      </c>
      <c r="AE73" s="67">
        <f t="shared" si="34"/>
        <v>1.5960019345477996E-2</v>
      </c>
      <c r="AF73" s="67">
        <f t="shared" si="35"/>
        <v>2.5471546026116395E-2</v>
      </c>
      <c r="AG73" s="67">
        <f t="shared" si="36"/>
        <v>5.013703046912784E-2</v>
      </c>
      <c r="AH73" s="67">
        <f t="shared" si="37"/>
        <v>9.5276479123004992E-2</v>
      </c>
      <c r="AI73" s="67">
        <f t="shared" si="38"/>
        <v>7.3351604062550382E-2</v>
      </c>
      <c r="AJ73" s="66"/>
      <c r="AK73" s="68">
        <v>0</v>
      </c>
      <c r="AL73" s="69">
        <v>914.22999999999695</v>
      </c>
      <c r="AM73" s="69">
        <v>914.22999999999695</v>
      </c>
      <c r="AN73" s="69">
        <v>1304.7199999999978</v>
      </c>
      <c r="AO73" s="70">
        <v>1934.0999999999899</v>
      </c>
      <c r="AP73" s="70">
        <v>2656.88</v>
      </c>
      <c r="AQ73" s="66"/>
      <c r="AR73" s="70" t="s">
        <v>779</v>
      </c>
      <c r="AS73" s="66"/>
      <c r="AT73" s="108">
        <v>0</v>
      </c>
      <c r="AU73" s="109">
        <v>0</v>
      </c>
      <c r="AV73" s="109">
        <v>0</v>
      </c>
      <c r="AW73" s="109">
        <v>0</v>
      </c>
      <c r="AX73" s="110">
        <v>0</v>
      </c>
      <c r="AY73" s="110">
        <v>0</v>
      </c>
    </row>
    <row r="74" spans="1:51" x14ac:dyDescent="0.25">
      <c r="A74" s="8" t="s">
        <v>202</v>
      </c>
      <c r="B74" s="5" t="s">
        <v>203</v>
      </c>
      <c r="C74" s="2">
        <v>8.9499999999999993</v>
      </c>
      <c r="D74" s="24">
        <v>300</v>
      </c>
      <c r="E74" s="26">
        <f t="shared" si="30"/>
        <v>150</v>
      </c>
      <c r="F74" s="26">
        <v>452</v>
      </c>
      <c r="G74" s="30">
        <f t="shared" si="31"/>
        <v>0.33185840707964603</v>
      </c>
      <c r="H74" s="11"/>
      <c r="I74" s="9">
        <v>84</v>
      </c>
      <c r="J74" s="3">
        <v>0</v>
      </c>
      <c r="K74" s="3">
        <v>40</v>
      </c>
      <c r="L74" s="3">
        <v>0</v>
      </c>
      <c r="M74" s="6">
        <v>50</v>
      </c>
      <c r="N74" s="6">
        <v>340</v>
      </c>
      <c r="O74" s="13"/>
      <c r="P74" s="60">
        <f t="shared" si="39"/>
        <v>751.8</v>
      </c>
      <c r="Q74" s="61">
        <f t="shared" si="40"/>
        <v>0</v>
      </c>
      <c r="R74" s="61">
        <f t="shared" si="41"/>
        <v>358</v>
      </c>
      <c r="S74" s="62">
        <f t="shared" si="42"/>
        <v>0</v>
      </c>
      <c r="T74" s="63">
        <f t="shared" si="43"/>
        <v>447.49999999999994</v>
      </c>
      <c r="U74" s="63">
        <f t="shared" si="32"/>
        <v>3042.9999999999995</v>
      </c>
      <c r="V74" s="64"/>
      <c r="W74" s="60">
        <v>212</v>
      </c>
      <c r="X74" s="61">
        <v>52</v>
      </c>
      <c r="Y74" s="61">
        <v>101</v>
      </c>
      <c r="Z74" s="61">
        <v>190</v>
      </c>
      <c r="AA74" s="65">
        <v>0</v>
      </c>
      <c r="AB74" s="65">
        <v>49</v>
      </c>
      <c r="AC74" s="66"/>
      <c r="AD74" s="67">
        <f t="shared" si="33"/>
        <v>0.46902654867256638</v>
      </c>
      <c r="AE74" s="67">
        <f t="shared" si="34"/>
        <v>0.11504424778761062</v>
      </c>
      <c r="AF74" s="67">
        <f t="shared" si="35"/>
        <v>0.22345132743362831</v>
      </c>
      <c r="AG74" s="67">
        <f t="shared" si="36"/>
        <v>0.42035398230088494</v>
      </c>
      <c r="AH74" s="67">
        <f t="shared" si="37"/>
        <v>0</v>
      </c>
      <c r="AI74" s="67">
        <f t="shared" si="38"/>
        <v>0.1084070796460177</v>
      </c>
      <c r="AJ74" s="66"/>
      <c r="AK74" s="68">
        <v>1103.56</v>
      </c>
      <c r="AL74" s="69">
        <v>322.40999999999985</v>
      </c>
      <c r="AM74" s="69">
        <v>322.40999999999991</v>
      </c>
      <c r="AN74" s="69">
        <v>436.99999999999989</v>
      </c>
      <c r="AO74" s="70">
        <v>789.83999999999901</v>
      </c>
      <c r="AP74" s="70">
        <v>358.7</v>
      </c>
      <c r="AQ74" s="66"/>
      <c r="AR74" s="70" t="s">
        <v>779</v>
      </c>
      <c r="AS74" s="66"/>
      <c r="AT74" s="108">
        <v>1789.96</v>
      </c>
      <c r="AU74" s="109">
        <v>0</v>
      </c>
      <c r="AV74" s="109">
        <v>890.8</v>
      </c>
      <c r="AW74" s="109">
        <v>0</v>
      </c>
      <c r="AX74" s="110">
        <v>1145.5</v>
      </c>
      <c r="AY74" s="110">
        <v>13973.679999999998</v>
      </c>
    </row>
    <row r="75" spans="1:51" x14ac:dyDescent="0.25">
      <c r="A75" s="8" t="s">
        <v>229</v>
      </c>
      <c r="B75" s="5" t="s">
        <v>230</v>
      </c>
      <c r="C75" s="2">
        <v>8.759999999999998</v>
      </c>
      <c r="D75" s="24">
        <v>41.6</v>
      </c>
      <c r="E75" s="26">
        <f t="shared" si="30"/>
        <v>20.8</v>
      </c>
      <c r="F75" s="26">
        <v>1097</v>
      </c>
      <c r="G75" s="30">
        <f t="shared" si="31"/>
        <v>1.896080218778487E-2</v>
      </c>
      <c r="H75" s="11"/>
      <c r="I75" s="9">
        <v>0</v>
      </c>
      <c r="J75" s="3">
        <v>0</v>
      </c>
      <c r="K75" s="3">
        <v>0</v>
      </c>
      <c r="L75" s="3">
        <v>0</v>
      </c>
      <c r="M75" s="6"/>
      <c r="N75" s="6">
        <v>0</v>
      </c>
      <c r="O75" s="13"/>
      <c r="P75" s="60">
        <f t="shared" si="39"/>
        <v>0</v>
      </c>
      <c r="Q75" s="61">
        <f t="shared" si="40"/>
        <v>0</v>
      </c>
      <c r="R75" s="61">
        <f t="shared" si="41"/>
        <v>0</v>
      </c>
      <c r="S75" s="62">
        <f t="shared" si="42"/>
        <v>0</v>
      </c>
      <c r="T75" s="63">
        <f t="shared" si="43"/>
        <v>0</v>
      </c>
      <c r="U75" s="63">
        <f t="shared" si="32"/>
        <v>0</v>
      </c>
      <c r="V75" s="64"/>
      <c r="W75" s="60">
        <v>30</v>
      </c>
      <c r="X75" s="61">
        <v>28</v>
      </c>
      <c r="Y75" s="61">
        <v>33</v>
      </c>
      <c r="Z75" s="61">
        <v>11</v>
      </c>
      <c r="AA75" s="65">
        <v>2</v>
      </c>
      <c r="AB75" s="65">
        <v>11</v>
      </c>
      <c r="AC75" s="66"/>
      <c r="AD75" s="67">
        <f t="shared" si="33"/>
        <v>2.7347310847766638E-2</v>
      </c>
      <c r="AE75" s="67">
        <f t="shared" si="34"/>
        <v>2.5524156791248861E-2</v>
      </c>
      <c r="AF75" s="67">
        <f t="shared" si="35"/>
        <v>3.00820419325433E-2</v>
      </c>
      <c r="AG75" s="67">
        <f t="shared" si="36"/>
        <v>1.0027347310847767E-2</v>
      </c>
      <c r="AH75" s="67">
        <f t="shared" si="37"/>
        <v>1.8231540565177757E-3</v>
      </c>
      <c r="AI75" s="67">
        <f t="shared" si="38"/>
        <v>1.0027347310847767E-2</v>
      </c>
      <c r="AJ75" s="66"/>
      <c r="AK75" s="68">
        <v>193.14</v>
      </c>
      <c r="AL75" s="69">
        <v>136.06</v>
      </c>
      <c r="AM75" s="69">
        <v>136.06</v>
      </c>
      <c r="AN75" s="69">
        <v>78.34999999999998</v>
      </c>
      <c r="AO75" s="70">
        <v>13.58</v>
      </c>
      <c r="AP75" s="70">
        <v>-15.87</v>
      </c>
      <c r="AQ75" s="66"/>
      <c r="AR75" s="70" t="s">
        <v>780</v>
      </c>
      <c r="AS75" s="66"/>
      <c r="AT75" s="108">
        <v>0</v>
      </c>
      <c r="AU75" s="109">
        <v>0</v>
      </c>
      <c r="AV75" s="109">
        <v>0</v>
      </c>
      <c r="AW75" s="109">
        <v>0</v>
      </c>
      <c r="AX75" s="110">
        <v>0</v>
      </c>
      <c r="AY75" s="110">
        <v>0</v>
      </c>
    </row>
    <row r="76" spans="1:51" x14ac:dyDescent="0.25">
      <c r="A76" s="8" t="s">
        <v>257</v>
      </c>
      <c r="B76" s="5" t="s">
        <v>258</v>
      </c>
      <c r="C76" s="2">
        <v>8.6500000000000021</v>
      </c>
      <c r="D76" s="24">
        <v>800</v>
      </c>
      <c r="E76" s="26">
        <f t="shared" si="30"/>
        <v>400</v>
      </c>
      <c r="F76" s="26">
        <v>813</v>
      </c>
      <c r="G76" s="30">
        <f t="shared" si="31"/>
        <v>0.49200492004920049</v>
      </c>
      <c r="H76" s="11"/>
      <c r="I76" s="9">
        <v>148</v>
      </c>
      <c r="J76" s="3">
        <v>408</v>
      </c>
      <c r="K76" s="3">
        <v>339</v>
      </c>
      <c r="L76" s="3">
        <v>920</v>
      </c>
      <c r="M76" s="6"/>
      <c r="N76" s="6">
        <v>0</v>
      </c>
      <c r="O76" s="13"/>
      <c r="P76" s="60">
        <f t="shared" si="39"/>
        <v>1280.2000000000003</v>
      </c>
      <c r="Q76" s="61">
        <f t="shared" si="40"/>
        <v>3529.2000000000007</v>
      </c>
      <c r="R76" s="61">
        <f t="shared" si="41"/>
        <v>2932.3500000000008</v>
      </c>
      <c r="S76" s="62">
        <f t="shared" si="42"/>
        <v>7958.0000000000018</v>
      </c>
      <c r="T76" s="63">
        <f t="shared" si="43"/>
        <v>0</v>
      </c>
      <c r="U76" s="63">
        <f t="shared" si="32"/>
        <v>0</v>
      </c>
      <c r="V76" s="64"/>
      <c r="W76" s="60">
        <v>654</v>
      </c>
      <c r="X76" s="61">
        <v>273</v>
      </c>
      <c r="Y76" s="61">
        <v>126</v>
      </c>
      <c r="Z76" s="61">
        <v>159</v>
      </c>
      <c r="AA76" s="65">
        <v>445</v>
      </c>
      <c r="AB76" s="65">
        <v>265</v>
      </c>
      <c r="AC76" s="66"/>
      <c r="AD76" s="67">
        <f t="shared" si="33"/>
        <v>0.80442804428044279</v>
      </c>
      <c r="AE76" s="67">
        <f t="shared" si="34"/>
        <v>0.33579335793357934</v>
      </c>
      <c r="AF76" s="67">
        <f t="shared" si="35"/>
        <v>0.15498154981549817</v>
      </c>
      <c r="AG76" s="67">
        <f t="shared" si="36"/>
        <v>0.19557195571955718</v>
      </c>
      <c r="AH76" s="67">
        <f t="shared" si="37"/>
        <v>0.54735547355473557</v>
      </c>
      <c r="AI76" s="67">
        <f t="shared" si="38"/>
        <v>0.32595325953259535</v>
      </c>
      <c r="AJ76" s="66"/>
      <c r="AK76" s="68">
        <v>1521.309999999999</v>
      </c>
      <c r="AL76" s="69">
        <v>1911.2899999999959</v>
      </c>
      <c r="AM76" s="69">
        <v>1911.2899999999954</v>
      </c>
      <c r="AN76" s="69">
        <v>1275.7199999999998</v>
      </c>
      <c r="AO76" s="70">
        <v>1294.3999999999901</v>
      </c>
      <c r="AP76" s="70">
        <v>1646.09</v>
      </c>
      <c r="AQ76" s="66"/>
      <c r="AR76" s="70" t="s">
        <v>779</v>
      </c>
      <c r="AS76" s="66"/>
      <c r="AT76" s="108">
        <v>4042.88</v>
      </c>
      <c r="AU76" s="109">
        <v>11206.95</v>
      </c>
      <c r="AV76" s="109">
        <v>9255.5400000000009</v>
      </c>
      <c r="AW76" s="109">
        <v>25245.21</v>
      </c>
      <c r="AX76" s="110">
        <v>0</v>
      </c>
      <c r="AY76" s="110">
        <v>0</v>
      </c>
    </row>
    <row r="77" spans="1:51" x14ac:dyDescent="0.25">
      <c r="A77" s="8" t="s">
        <v>138</v>
      </c>
      <c r="B77" s="5" t="s">
        <v>139</v>
      </c>
      <c r="C77" s="2">
        <v>8.61</v>
      </c>
      <c r="D77" s="24">
        <v>2000</v>
      </c>
      <c r="E77" s="26">
        <f t="shared" si="30"/>
        <v>1000</v>
      </c>
      <c r="F77" s="26">
        <v>10120</v>
      </c>
      <c r="G77" s="30">
        <f t="shared" si="31"/>
        <v>9.8814229249011856E-2</v>
      </c>
      <c r="H77" s="11"/>
      <c r="I77" s="9">
        <v>400</v>
      </c>
      <c r="J77" s="3">
        <v>0</v>
      </c>
      <c r="K77" s="3">
        <v>275</v>
      </c>
      <c r="L77" s="3">
        <v>0</v>
      </c>
      <c r="M77" s="6">
        <v>980</v>
      </c>
      <c r="N77" s="6">
        <v>0</v>
      </c>
      <c r="O77" s="13"/>
      <c r="P77" s="60">
        <f t="shared" si="39"/>
        <v>3444</v>
      </c>
      <c r="Q77" s="61">
        <f t="shared" si="40"/>
        <v>0</v>
      </c>
      <c r="R77" s="61">
        <f t="shared" si="41"/>
        <v>2367.75</v>
      </c>
      <c r="S77" s="62">
        <f t="shared" si="42"/>
        <v>0</v>
      </c>
      <c r="T77" s="63">
        <f t="shared" si="43"/>
        <v>8437.7999999999993</v>
      </c>
      <c r="U77" s="63">
        <f t="shared" si="32"/>
        <v>0</v>
      </c>
      <c r="V77" s="64"/>
      <c r="W77" s="60">
        <v>0</v>
      </c>
      <c r="X77" s="61">
        <v>149</v>
      </c>
      <c r="Y77" s="61">
        <v>580</v>
      </c>
      <c r="Z77" s="61">
        <v>219</v>
      </c>
      <c r="AA77" s="65">
        <v>272</v>
      </c>
      <c r="AB77" s="65">
        <v>977</v>
      </c>
      <c r="AC77" s="66"/>
      <c r="AD77" s="67">
        <f t="shared" si="33"/>
        <v>0</v>
      </c>
      <c r="AE77" s="67">
        <f t="shared" si="34"/>
        <v>1.4723320158102767E-2</v>
      </c>
      <c r="AF77" s="67">
        <f t="shared" si="35"/>
        <v>5.731225296442688E-2</v>
      </c>
      <c r="AG77" s="67">
        <f t="shared" si="36"/>
        <v>2.1640316205533597E-2</v>
      </c>
      <c r="AH77" s="67">
        <f t="shared" si="37"/>
        <v>2.6877470355731226E-2</v>
      </c>
      <c r="AI77" s="67">
        <f t="shared" si="38"/>
        <v>9.6541501976284583E-2</v>
      </c>
      <c r="AJ77" s="66"/>
      <c r="AK77" s="68">
        <v>0</v>
      </c>
      <c r="AL77" s="69">
        <v>131.66000000000011</v>
      </c>
      <c r="AM77" s="69">
        <v>131.66000000000011</v>
      </c>
      <c r="AN77" s="69">
        <v>2972.1899999999891</v>
      </c>
      <c r="AO77" s="70">
        <v>689.530000000001</v>
      </c>
      <c r="AP77" s="70">
        <v>7861.0799999999299</v>
      </c>
      <c r="AQ77" s="66"/>
      <c r="AR77" s="70" t="s">
        <v>779</v>
      </c>
      <c r="AS77" s="66"/>
      <c r="AT77" s="108">
        <v>6372</v>
      </c>
      <c r="AU77" s="109">
        <v>0</v>
      </c>
      <c r="AV77" s="109">
        <v>3894</v>
      </c>
      <c r="AW77" s="109">
        <v>0</v>
      </c>
      <c r="AX77" s="110">
        <v>14680.4</v>
      </c>
      <c r="AY77" s="110">
        <v>0</v>
      </c>
    </row>
    <row r="78" spans="1:51" x14ac:dyDescent="0.25">
      <c r="A78" s="8" t="s">
        <v>28</v>
      </c>
      <c r="B78" s="5" t="s">
        <v>29</v>
      </c>
      <c r="C78" s="2">
        <v>8.370000000000001</v>
      </c>
      <c r="D78" s="24">
        <v>220</v>
      </c>
      <c r="E78" s="26">
        <f t="shared" si="30"/>
        <v>110</v>
      </c>
      <c r="F78" s="26">
        <v>454</v>
      </c>
      <c r="G78" s="30">
        <f t="shared" si="31"/>
        <v>0.24229074889867841</v>
      </c>
      <c r="H78" s="11"/>
      <c r="I78" s="9">
        <v>556</v>
      </c>
      <c r="J78" s="3">
        <v>100</v>
      </c>
      <c r="K78" s="3">
        <v>200</v>
      </c>
      <c r="L78" s="3">
        <v>276</v>
      </c>
      <c r="M78" s="6">
        <v>254</v>
      </c>
      <c r="N78" s="6">
        <v>100</v>
      </c>
      <c r="O78" s="13"/>
      <c r="P78" s="60">
        <f t="shared" si="39"/>
        <v>4653.72</v>
      </c>
      <c r="Q78" s="61">
        <f t="shared" si="40"/>
        <v>837.00000000000011</v>
      </c>
      <c r="R78" s="61">
        <f t="shared" si="41"/>
        <v>1674.0000000000002</v>
      </c>
      <c r="S78" s="62">
        <f t="shared" si="42"/>
        <v>2310.1200000000003</v>
      </c>
      <c r="T78" s="63">
        <f t="shared" si="43"/>
        <v>2125.9800000000005</v>
      </c>
      <c r="U78" s="63">
        <f t="shared" si="32"/>
        <v>837.00000000000011</v>
      </c>
      <c r="V78" s="64"/>
      <c r="W78" s="60">
        <v>0</v>
      </c>
      <c r="X78" s="61">
        <v>0</v>
      </c>
      <c r="Y78" s="61">
        <v>206</v>
      </c>
      <c r="Z78" s="61">
        <v>275</v>
      </c>
      <c r="AA78" s="65">
        <v>229</v>
      </c>
      <c r="AB78" s="65">
        <v>146</v>
      </c>
      <c r="AC78" s="66"/>
      <c r="AD78" s="67">
        <f t="shared" si="33"/>
        <v>0</v>
      </c>
      <c r="AE78" s="67">
        <f t="shared" si="34"/>
        <v>0</v>
      </c>
      <c r="AF78" s="67">
        <f t="shared" si="35"/>
        <v>0.45374449339207046</v>
      </c>
      <c r="AG78" s="67">
        <f t="shared" si="36"/>
        <v>0.60572687224669608</v>
      </c>
      <c r="AH78" s="67">
        <f t="shared" si="37"/>
        <v>0.50440528634361237</v>
      </c>
      <c r="AI78" s="67">
        <f t="shared" si="38"/>
        <v>0.32158590308370044</v>
      </c>
      <c r="AJ78" s="66"/>
      <c r="AK78" s="68">
        <v>0</v>
      </c>
      <c r="AL78" s="69">
        <v>0</v>
      </c>
      <c r="AM78" s="69">
        <v>1724.2200000000003</v>
      </c>
      <c r="AN78" s="69">
        <v>1534.49</v>
      </c>
      <c r="AO78" s="70">
        <v>1813.22999999999</v>
      </c>
      <c r="AP78" s="70">
        <v>1165.8399999999899</v>
      </c>
      <c r="AQ78" s="66"/>
      <c r="AR78" s="70" t="s">
        <v>779</v>
      </c>
      <c r="AS78" s="66"/>
      <c r="AT78" s="108">
        <v>2807.2799999999997</v>
      </c>
      <c r="AU78" s="109">
        <v>491</v>
      </c>
      <c r="AV78" s="109">
        <v>1032.5</v>
      </c>
      <c r="AW78" s="109">
        <v>1536.44</v>
      </c>
      <c r="AX78" s="110">
        <v>1300.06</v>
      </c>
      <c r="AY78" s="110">
        <v>516.5</v>
      </c>
    </row>
    <row r="79" spans="1:51" x14ac:dyDescent="0.25">
      <c r="A79" s="8" t="s">
        <v>82</v>
      </c>
      <c r="B79" s="5" t="s">
        <v>83</v>
      </c>
      <c r="C79" s="2">
        <v>7.759999999999998</v>
      </c>
      <c r="D79" s="24">
        <v>300</v>
      </c>
      <c r="E79" s="26">
        <f t="shared" si="30"/>
        <v>150</v>
      </c>
      <c r="F79" s="26">
        <v>263</v>
      </c>
      <c r="G79" s="30">
        <f t="shared" si="31"/>
        <v>0.57034220532319391</v>
      </c>
      <c r="H79" s="11"/>
      <c r="I79" s="9">
        <v>50</v>
      </c>
      <c r="J79" s="3">
        <v>50</v>
      </c>
      <c r="K79" s="3">
        <v>100</v>
      </c>
      <c r="L79" s="3">
        <v>49</v>
      </c>
      <c r="M79" s="6"/>
      <c r="N79" s="6">
        <v>50</v>
      </c>
      <c r="O79" s="13"/>
      <c r="P79" s="60">
        <f t="shared" si="39"/>
        <v>387.99999999999989</v>
      </c>
      <c r="Q79" s="61">
        <f t="shared" si="40"/>
        <v>387.99999999999989</v>
      </c>
      <c r="R79" s="61">
        <f t="shared" si="41"/>
        <v>775.99999999999977</v>
      </c>
      <c r="S79" s="62">
        <f t="shared" si="42"/>
        <v>380.2399999999999</v>
      </c>
      <c r="T79" s="63">
        <f t="shared" si="43"/>
        <v>0</v>
      </c>
      <c r="U79" s="63">
        <f t="shared" si="32"/>
        <v>387.99999999999989</v>
      </c>
      <c r="V79" s="64"/>
      <c r="W79" s="60">
        <v>36</v>
      </c>
      <c r="X79" s="61">
        <v>117</v>
      </c>
      <c r="Y79" s="61">
        <v>98</v>
      </c>
      <c r="Z79" s="61">
        <v>72</v>
      </c>
      <c r="AA79" s="65">
        <v>65</v>
      </c>
      <c r="AB79" s="65">
        <v>35</v>
      </c>
      <c r="AC79" s="66"/>
      <c r="AD79" s="67">
        <f t="shared" si="33"/>
        <v>0.13688212927756654</v>
      </c>
      <c r="AE79" s="67">
        <f t="shared" si="34"/>
        <v>0.44486692015209123</v>
      </c>
      <c r="AF79" s="67">
        <f t="shared" si="35"/>
        <v>0.37262357414448671</v>
      </c>
      <c r="AG79" s="67">
        <f t="shared" si="36"/>
        <v>0.27376425855513309</v>
      </c>
      <c r="AH79" s="67">
        <f t="shared" si="37"/>
        <v>0.24714828897338403</v>
      </c>
      <c r="AI79" s="67">
        <f t="shared" si="38"/>
        <v>0.13307984790874525</v>
      </c>
      <c r="AJ79" s="66"/>
      <c r="AK79" s="68">
        <v>99.109999999999985</v>
      </c>
      <c r="AL79" s="69">
        <v>177.33999999999995</v>
      </c>
      <c r="AM79" s="69">
        <v>177.33999999999989</v>
      </c>
      <c r="AN79" s="69">
        <v>155.04999999999978</v>
      </c>
      <c r="AO79" s="70">
        <v>100.909999999999</v>
      </c>
      <c r="AP79" s="70">
        <v>283.77999999999997</v>
      </c>
      <c r="AQ79" s="66"/>
      <c r="AR79" s="70" t="s">
        <v>779</v>
      </c>
      <c r="AS79" s="66"/>
      <c r="AT79" s="108">
        <v>417.5</v>
      </c>
      <c r="AU79" s="109">
        <v>417.5</v>
      </c>
      <c r="AV79" s="109">
        <v>827</v>
      </c>
      <c r="AW79" s="109">
        <v>408.17</v>
      </c>
      <c r="AX79" s="110">
        <v>0</v>
      </c>
      <c r="AY79" s="110">
        <v>413.5</v>
      </c>
    </row>
    <row r="80" spans="1:51" x14ac:dyDescent="0.25">
      <c r="A80" s="8">
        <v>5224</v>
      </c>
      <c r="B80" s="5" t="s">
        <v>285</v>
      </c>
      <c r="C80" s="2">
        <v>7.6900000000000013</v>
      </c>
      <c r="D80" s="24">
        <v>800</v>
      </c>
      <c r="E80" s="26">
        <f t="shared" si="30"/>
        <v>400</v>
      </c>
      <c r="F80" s="26">
        <v>489</v>
      </c>
      <c r="G80" s="30">
        <f t="shared" si="31"/>
        <v>0.81799591002044991</v>
      </c>
      <c r="H80" s="11"/>
      <c r="I80" s="9">
        <v>473</v>
      </c>
      <c r="J80" s="3">
        <v>0</v>
      </c>
      <c r="K80" s="3">
        <v>0</v>
      </c>
      <c r="L80" s="3">
        <v>354</v>
      </c>
      <c r="M80" s="6">
        <v>483</v>
      </c>
      <c r="N80" s="6">
        <v>516</v>
      </c>
      <c r="O80" s="13"/>
      <c r="P80" s="60">
        <f t="shared" si="39"/>
        <v>3637.3700000000008</v>
      </c>
      <c r="Q80" s="61">
        <f t="shared" si="40"/>
        <v>0</v>
      </c>
      <c r="R80" s="61">
        <f t="shared" si="41"/>
        <v>0</v>
      </c>
      <c r="S80" s="62">
        <f t="shared" si="42"/>
        <v>2722.2600000000007</v>
      </c>
      <c r="T80" s="63">
        <f t="shared" si="43"/>
        <v>3714.2700000000004</v>
      </c>
      <c r="U80" s="63">
        <f t="shared" si="32"/>
        <v>3968.0400000000009</v>
      </c>
      <c r="V80" s="64"/>
      <c r="W80" s="60">
        <v>180</v>
      </c>
      <c r="X80" s="61">
        <v>381</v>
      </c>
      <c r="Y80" s="61">
        <v>310</v>
      </c>
      <c r="Z80" s="61">
        <v>0</v>
      </c>
      <c r="AA80" s="65">
        <v>119</v>
      </c>
      <c r="AB80" s="65">
        <v>152</v>
      </c>
      <c r="AC80" s="66"/>
      <c r="AD80" s="67">
        <f t="shared" si="33"/>
        <v>0.36809815950920244</v>
      </c>
      <c r="AE80" s="67">
        <f t="shared" si="34"/>
        <v>0.77914110429447858</v>
      </c>
      <c r="AF80" s="67">
        <f t="shared" si="35"/>
        <v>0.63394683026584864</v>
      </c>
      <c r="AG80" s="67">
        <f t="shared" si="36"/>
        <v>0</v>
      </c>
      <c r="AH80" s="67">
        <f t="shared" si="37"/>
        <v>0.24335378323108384</v>
      </c>
      <c r="AI80" s="67">
        <f t="shared" si="38"/>
        <v>0.31083844580777098</v>
      </c>
      <c r="AJ80" s="66"/>
      <c r="AK80" s="68">
        <v>1521.28</v>
      </c>
      <c r="AL80" s="69">
        <v>2993.4299999999944</v>
      </c>
      <c r="AM80" s="69">
        <v>2993.4299999999944</v>
      </c>
      <c r="AN80" s="69">
        <v>3209.7899999999959</v>
      </c>
      <c r="AO80" s="70">
        <v>915.11000000000013</v>
      </c>
      <c r="AP80" s="70">
        <v>1055.1600000000001</v>
      </c>
      <c r="AQ80" s="66"/>
      <c r="AR80" s="70" t="s">
        <v>779</v>
      </c>
      <c r="AS80" s="66"/>
      <c r="AT80" s="108">
        <v>13646.96</v>
      </c>
      <c r="AU80" s="109">
        <v>0</v>
      </c>
      <c r="AV80" s="109">
        <v>0</v>
      </c>
      <c r="AW80" s="109">
        <v>10991.33</v>
      </c>
      <c r="AX80" s="110">
        <v>14300.34</v>
      </c>
      <c r="AY80" s="110">
        <v>15174.64</v>
      </c>
    </row>
    <row r="81" spans="1:51" x14ac:dyDescent="0.25">
      <c r="A81" s="8">
        <v>388</v>
      </c>
      <c r="B81" s="5" t="s">
        <v>56</v>
      </c>
      <c r="C81" s="2">
        <v>7.6499999999999995</v>
      </c>
      <c r="D81" s="24">
        <v>149.19999999999999</v>
      </c>
      <c r="E81" s="26">
        <f t="shared" si="30"/>
        <v>74.599999999999994</v>
      </c>
      <c r="F81" s="26">
        <v>57</v>
      </c>
      <c r="G81" s="30">
        <f t="shared" si="31"/>
        <v>1.3087719298245613</v>
      </c>
      <c r="H81" s="11"/>
      <c r="I81" s="9">
        <v>512</v>
      </c>
      <c r="J81" s="3">
        <v>290</v>
      </c>
      <c r="K81" s="3">
        <v>0</v>
      </c>
      <c r="L81" s="3">
        <v>0</v>
      </c>
      <c r="M81" s="6"/>
      <c r="N81" s="6">
        <v>0</v>
      </c>
      <c r="O81" s="13"/>
      <c r="P81" s="60">
        <f t="shared" si="39"/>
        <v>3916.7999999999997</v>
      </c>
      <c r="Q81" s="61">
        <f t="shared" si="40"/>
        <v>2218.5</v>
      </c>
      <c r="R81" s="61">
        <f t="shared" si="41"/>
        <v>0</v>
      </c>
      <c r="S81" s="62">
        <f t="shared" si="42"/>
        <v>0</v>
      </c>
      <c r="T81" s="63">
        <f t="shared" si="43"/>
        <v>0</v>
      </c>
      <c r="U81" s="63">
        <f t="shared" si="32"/>
        <v>0</v>
      </c>
      <c r="V81" s="64"/>
      <c r="W81" s="60">
        <v>10</v>
      </c>
      <c r="X81" s="61">
        <v>35</v>
      </c>
      <c r="Y81" s="61">
        <v>60</v>
      </c>
      <c r="Z81" s="61">
        <v>124</v>
      </c>
      <c r="AA81" s="65">
        <v>144</v>
      </c>
      <c r="AB81" s="65">
        <v>181</v>
      </c>
      <c r="AC81" s="66"/>
      <c r="AD81" s="67">
        <f t="shared" si="33"/>
        <v>0.17543859649122806</v>
      </c>
      <c r="AE81" s="67">
        <f t="shared" si="34"/>
        <v>0.61403508771929827</v>
      </c>
      <c r="AF81" s="67">
        <f t="shared" si="35"/>
        <v>1.0526315789473684</v>
      </c>
      <c r="AG81" s="67">
        <f t="shared" si="36"/>
        <v>2.1754385964912282</v>
      </c>
      <c r="AH81" s="67">
        <f t="shared" si="37"/>
        <v>2.5263157894736841</v>
      </c>
      <c r="AI81" s="67">
        <f t="shared" si="38"/>
        <v>3.1754385964912282</v>
      </c>
      <c r="AJ81" s="66"/>
      <c r="AK81" s="68">
        <v>1214.2</v>
      </c>
      <c r="AL81" s="69">
        <v>3888.4</v>
      </c>
      <c r="AM81" s="69">
        <v>3888.4</v>
      </c>
      <c r="AN81" s="69">
        <v>942</v>
      </c>
      <c r="AO81" s="70">
        <v>3681.67</v>
      </c>
      <c r="AP81" s="70">
        <v>5184.68</v>
      </c>
      <c r="AQ81" s="66"/>
      <c r="AR81" s="70" t="s">
        <v>779</v>
      </c>
      <c r="AS81" s="66"/>
      <c r="AT81" s="108">
        <v>3233.4900000000002</v>
      </c>
      <c r="AU81" s="109">
        <v>1871.7</v>
      </c>
      <c r="AV81" s="109">
        <v>0</v>
      </c>
      <c r="AW81" s="109">
        <v>0</v>
      </c>
      <c r="AX81" s="110">
        <v>0</v>
      </c>
      <c r="AY81" s="110">
        <v>0</v>
      </c>
    </row>
    <row r="82" spans="1:51" x14ac:dyDescent="0.25">
      <c r="A82" s="8" t="s">
        <v>214</v>
      </c>
      <c r="B82" s="5" t="s">
        <v>215</v>
      </c>
      <c r="C82" s="2">
        <v>7.59</v>
      </c>
      <c r="D82" s="24">
        <v>1000</v>
      </c>
      <c r="E82" s="26">
        <f t="shared" si="30"/>
        <v>500</v>
      </c>
      <c r="F82" s="26">
        <v>1209</v>
      </c>
      <c r="G82" s="30">
        <f t="shared" si="31"/>
        <v>0.41356492969396197</v>
      </c>
      <c r="H82" s="11"/>
      <c r="I82" s="9">
        <v>0</v>
      </c>
      <c r="J82" s="3">
        <v>0</v>
      </c>
      <c r="K82" s="3">
        <v>0</v>
      </c>
      <c r="L82" s="3">
        <v>300</v>
      </c>
      <c r="M82" s="6">
        <v>670</v>
      </c>
      <c r="N82" s="6">
        <v>700</v>
      </c>
      <c r="O82" s="13"/>
      <c r="P82" s="60">
        <f t="shared" si="39"/>
        <v>0</v>
      </c>
      <c r="Q82" s="61">
        <f t="shared" si="40"/>
        <v>0</v>
      </c>
      <c r="R82" s="61">
        <f t="shared" si="41"/>
        <v>0</v>
      </c>
      <c r="S82" s="62">
        <f t="shared" si="42"/>
        <v>2277</v>
      </c>
      <c r="T82" s="63">
        <f t="shared" si="43"/>
        <v>5085.3</v>
      </c>
      <c r="U82" s="63">
        <f t="shared" si="32"/>
        <v>5313</v>
      </c>
      <c r="V82" s="64"/>
      <c r="W82" s="60">
        <v>204</v>
      </c>
      <c r="X82" s="61">
        <v>280</v>
      </c>
      <c r="Y82" s="61">
        <v>0</v>
      </c>
      <c r="Z82" s="61">
        <v>0</v>
      </c>
      <c r="AA82" s="65">
        <v>205</v>
      </c>
      <c r="AB82" s="65">
        <v>439</v>
      </c>
      <c r="AC82" s="66"/>
      <c r="AD82" s="67">
        <f t="shared" si="33"/>
        <v>0.16873449131513649</v>
      </c>
      <c r="AE82" s="67">
        <f t="shared" si="34"/>
        <v>0.23159636062861869</v>
      </c>
      <c r="AF82" s="67">
        <f t="shared" si="35"/>
        <v>0</v>
      </c>
      <c r="AG82" s="67">
        <f t="shared" si="36"/>
        <v>0</v>
      </c>
      <c r="AH82" s="67">
        <f t="shared" si="37"/>
        <v>0.16956162117452439</v>
      </c>
      <c r="AI82" s="67">
        <f t="shared" si="38"/>
        <v>0.36311000827129858</v>
      </c>
      <c r="AJ82" s="66"/>
      <c r="AK82" s="68">
        <v>0</v>
      </c>
      <c r="AL82" s="69">
        <v>3989.0399999999986</v>
      </c>
      <c r="AM82" s="69">
        <v>3989.0399999999991</v>
      </c>
      <c r="AN82" s="69">
        <v>0</v>
      </c>
      <c r="AO82" s="70">
        <v>1555.95</v>
      </c>
      <c r="AP82" s="70">
        <v>2998.78999999999</v>
      </c>
      <c r="AQ82" s="66"/>
      <c r="AR82" s="70" t="s">
        <v>779</v>
      </c>
      <c r="AS82" s="66"/>
      <c r="AT82" s="108">
        <v>0</v>
      </c>
      <c r="AU82" s="109">
        <v>0</v>
      </c>
      <c r="AV82" s="109">
        <v>0</v>
      </c>
      <c r="AW82" s="109">
        <v>5833</v>
      </c>
      <c r="AX82" s="110">
        <v>12984.6</v>
      </c>
      <c r="AY82" s="110">
        <v>13483</v>
      </c>
    </row>
    <row r="83" spans="1:51" x14ac:dyDescent="0.25">
      <c r="A83" s="8" t="s">
        <v>45</v>
      </c>
      <c r="B83" s="5" t="s">
        <v>46</v>
      </c>
      <c r="C83" s="2">
        <v>7.5299999999999994</v>
      </c>
      <c r="D83" s="24">
        <v>80</v>
      </c>
      <c r="E83" s="26">
        <f t="shared" si="30"/>
        <v>40</v>
      </c>
      <c r="F83" s="26">
        <v>37</v>
      </c>
      <c r="G83" s="30">
        <f t="shared" si="31"/>
        <v>1.0810810810810811</v>
      </c>
      <c r="H83" s="11"/>
      <c r="I83" s="9">
        <v>100</v>
      </c>
      <c r="J83" s="3">
        <v>250</v>
      </c>
      <c r="K83" s="3">
        <v>0</v>
      </c>
      <c r="L83" s="3">
        <v>0</v>
      </c>
      <c r="M83" s="6"/>
      <c r="N83" s="6">
        <v>0</v>
      </c>
      <c r="O83" s="13"/>
      <c r="P83" s="60">
        <f t="shared" si="39"/>
        <v>752.99999999999989</v>
      </c>
      <c r="Q83" s="61">
        <f t="shared" si="40"/>
        <v>1882.4999999999998</v>
      </c>
      <c r="R83" s="61">
        <f t="shared" si="41"/>
        <v>0</v>
      </c>
      <c r="S83" s="62">
        <f t="shared" si="42"/>
        <v>0</v>
      </c>
      <c r="T83" s="63">
        <f t="shared" si="43"/>
        <v>0</v>
      </c>
      <c r="U83" s="63">
        <f t="shared" si="32"/>
        <v>0</v>
      </c>
      <c r="V83" s="64"/>
      <c r="W83" s="60">
        <v>7</v>
      </c>
      <c r="X83" s="61">
        <v>22</v>
      </c>
      <c r="Y83" s="61">
        <v>20</v>
      </c>
      <c r="Z83" s="61">
        <v>12</v>
      </c>
      <c r="AA83" s="65">
        <v>67</v>
      </c>
      <c r="AB83" s="65">
        <v>31</v>
      </c>
      <c r="AC83" s="66"/>
      <c r="AD83" s="67">
        <f t="shared" si="33"/>
        <v>0.1891891891891892</v>
      </c>
      <c r="AE83" s="67">
        <f t="shared" si="34"/>
        <v>0.59459459459459463</v>
      </c>
      <c r="AF83" s="67">
        <f t="shared" si="35"/>
        <v>0.54054054054054057</v>
      </c>
      <c r="AG83" s="67">
        <f t="shared" si="36"/>
        <v>0.32432432432432434</v>
      </c>
      <c r="AH83" s="67">
        <f t="shared" si="37"/>
        <v>1.8108108108108107</v>
      </c>
      <c r="AI83" s="67">
        <f t="shared" si="38"/>
        <v>0.83783783783783783</v>
      </c>
      <c r="AJ83" s="66"/>
      <c r="AK83" s="68">
        <v>30.11</v>
      </c>
      <c r="AL83" s="69">
        <v>147.78999999999991</v>
      </c>
      <c r="AM83" s="69">
        <v>147.78999999999988</v>
      </c>
      <c r="AN83" s="69">
        <v>177.3</v>
      </c>
      <c r="AO83" s="70">
        <v>98.49</v>
      </c>
      <c r="AP83" s="70">
        <v>124.72</v>
      </c>
      <c r="AQ83" s="66"/>
      <c r="AR83" s="70" t="s">
        <v>779</v>
      </c>
      <c r="AS83" s="66"/>
      <c r="AT83" s="108">
        <v>551.5</v>
      </c>
      <c r="AU83" s="109">
        <v>1383</v>
      </c>
      <c r="AV83" s="109">
        <v>0</v>
      </c>
      <c r="AW83" s="109">
        <v>0</v>
      </c>
      <c r="AX83" s="110">
        <v>0</v>
      </c>
      <c r="AY83" s="110">
        <v>0</v>
      </c>
    </row>
    <row r="84" spans="1:51" x14ac:dyDescent="0.25">
      <c r="A84" s="8" t="s">
        <v>94</v>
      </c>
      <c r="B84" s="5" t="s">
        <v>95</v>
      </c>
      <c r="C84" s="2">
        <v>7.5299999999999976</v>
      </c>
      <c r="D84" s="24">
        <v>600</v>
      </c>
      <c r="E84" s="26">
        <f t="shared" si="30"/>
        <v>300</v>
      </c>
      <c r="F84" s="26">
        <v>386</v>
      </c>
      <c r="G84" s="30">
        <f t="shared" si="31"/>
        <v>0.77720207253886009</v>
      </c>
      <c r="H84" s="11"/>
      <c r="I84" s="9">
        <v>70</v>
      </c>
      <c r="J84" s="3">
        <v>320</v>
      </c>
      <c r="K84" s="3">
        <v>208</v>
      </c>
      <c r="L84" s="3">
        <v>245</v>
      </c>
      <c r="M84" s="6">
        <v>261</v>
      </c>
      <c r="N84" s="6">
        <v>257</v>
      </c>
      <c r="O84" s="13"/>
      <c r="P84" s="60">
        <f t="shared" si="39"/>
        <v>527.0999999999998</v>
      </c>
      <c r="Q84" s="61">
        <f t="shared" si="40"/>
        <v>2409.5999999999995</v>
      </c>
      <c r="R84" s="61">
        <f t="shared" si="41"/>
        <v>1566.2399999999996</v>
      </c>
      <c r="S84" s="62">
        <f t="shared" si="42"/>
        <v>1844.8499999999995</v>
      </c>
      <c r="T84" s="63">
        <f t="shared" si="43"/>
        <v>1965.3299999999995</v>
      </c>
      <c r="U84" s="63">
        <f t="shared" si="32"/>
        <v>1935.2099999999994</v>
      </c>
      <c r="V84" s="64"/>
      <c r="W84" s="60">
        <v>289</v>
      </c>
      <c r="X84" s="61">
        <v>97</v>
      </c>
      <c r="Y84" s="61">
        <v>109</v>
      </c>
      <c r="Z84" s="61">
        <v>412</v>
      </c>
      <c r="AA84" s="65">
        <v>264</v>
      </c>
      <c r="AB84" s="65">
        <v>337</v>
      </c>
      <c r="AC84" s="66"/>
      <c r="AD84" s="67">
        <f t="shared" si="33"/>
        <v>0.74870466321243523</v>
      </c>
      <c r="AE84" s="67">
        <f t="shared" si="34"/>
        <v>0.25129533678756477</v>
      </c>
      <c r="AF84" s="67">
        <f t="shared" si="35"/>
        <v>0.28238341968911918</v>
      </c>
      <c r="AG84" s="67">
        <f t="shared" si="36"/>
        <v>1.0673575129533679</v>
      </c>
      <c r="AH84" s="67">
        <f t="shared" si="37"/>
        <v>0.68393782383419688</v>
      </c>
      <c r="AI84" s="67">
        <f t="shared" si="38"/>
        <v>0.87305699481865284</v>
      </c>
      <c r="AJ84" s="66"/>
      <c r="AK84" s="68">
        <v>1889.9399999999989</v>
      </c>
      <c r="AL84" s="69">
        <v>657.86999999999887</v>
      </c>
      <c r="AM84" s="69">
        <v>657.86999999999898</v>
      </c>
      <c r="AN84" s="69">
        <v>555.3099999999979</v>
      </c>
      <c r="AO84" s="70">
        <v>1956</v>
      </c>
      <c r="AP84" s="70">
        <v>2635.12</v>
      </c>
      <c r="AQ84" s="66"/>
      <c r="AR84" s="70" t="s">
        <v>779</v>
      </c>
      <c r="AS84" s="66"/>
      <c r="AT84" s="108">
        <v>650.29999999999995</v>
      </c>
      <c r="AU84" s="109">
        <v>2992.34</v>
      </c>
      <c r="AV84" s="109">
        <v>2029.1200000000001</v>
      </c>
      <c r="AW84" s="109">
        <v>2345.4700000000003</v>
      </c>
      <c r="AX84" s="110">
        <v>2420.8100000000004</v>
      </c>
      <c r="AY84" s="110">
        <v>2398.25</v>
      </c>
    </row>
    <row r="85" spans="1:51" x14ac:dyDescent="0.25">
      <c r="A85" s="8">
        <v>311</v>
      </c>
      <c r="B85" s="5" t="s">
        <v>52</v>
      </c>
      <c r="C85" s="2">
        <v>7.3699999999999992</v>
      </c>
      <c r="D85" s="24">
        <v>110</v>
      </c>
      <c r="E85" s="26">
        <f t="shared" si="30"/>
        <v>55</v>
      </c>
      <c r="F85" s="26">
        <v>364</v>
      </c>
      <c r="G85" s="30">
        <f t="shared" si="31"/>
        <v>0.15109890109890109</v>
      </c>
      <c r="H85" s="11"/>
      <c r="I85" s="9">
        <v>0</v>
      </c>
      <c r="J85" s="3">
        <v>0</v>
      </c>
      <c r="K85" s="3">
        <v>79</v>
      </c>
      <c r="L85" s="3">
        <v>0</v>
      </c>
      <c r="M85" s="6">
        <v>213</v>
      </c>
      <c r="N85" s="6">
        <v>0</v>
      </c>
      <c r="O85" s="13"/>
      <c r="P85" s="60">
        <f t="shared" si="39"/>
        <v>0</v>
      </c>
      <c r="Q85" s="61">
        <f t="shared" si="40"/>
        <v>0</v>
      </c>
      <c r="R85" s="61">
        <f t="shared" si="41"/>
        <v>582.2299999999999</v>
      </c>
      <c r="S85" s="62">
        <f t="shared" si="42"/>
        <v>0</v>
      </c>
      <c r="T85" s="63">
        <f t="shared" si="43"/>
        <v>1569.81</v>
      </c>
      <c r="U85" s="63">
        <f t="shared" si="32"/>
        <v>0</v>
      </c>
      <c r="V85" s="64"/>
      <c r="W85" s="60">
        <v>126</v>
      </c>
      <c r="X85" s="61">
        <v>109</v>
      </c>
      <c r="Y85" s="61">
        <v>36</v>
      </c>
      <c r="Z85" s="61">
        <v>0</v>
      </c>
      <c r="AA85" s="65">
        <v>4</v>
      </c>
      <c r="AB85" s="65">
        <v>27</v>
      </c>
      <c r="AC85" s="66"/>
      <c r="AD85" s="67">
        <f t="shared" si="33"/>
        <v>0.34615384615384615</v>
      </c>
      <c r="AE85" s="67">
        <f t="shared" si="34"/>
        <v>0.29945054945054944</v>
      </c>
      <c r="AF85" s="67">
        <f t="shared" si="35"/>
        <v>9.8901098901098897E-2</v>
      </c>
      <c r="AG85" s="67">
        <f t="shared" si="36"/>
        <v>0</v>
      </c>
      <c r="AH85" s="67">
        <f t="shared" si="37"/>
        <v>1.098901098901099E-2</v>
      </c>
      <c r="AI85" s="67">
        <f t="shared" si="38"/>
        <v>7.4175824175824176E-2</v>
      </c>
      <c r="AJ85" s="66"/>
      <c r="AK85" s="68">
        <v>127.48</v>
      </c>
      <c r="AL85" s="69">
        <v>130.30999999999992</v>
      </c>
      <c r="AM85" s="69">
        <v>130.30999999999992</v>
      </c>
      <c r="AN85" s="69">
        <v>94.02000000000001</v>
      </c>
      <c r="AO85" s="70">
        <v>29.479999999999997</v>
      </c>
      <c r="AP85" s="70">
        <v>184.02</v>
      </c>
      <c r="AQ85" s="66"/>
      <c r="AR85" s="70" t="s">
        <v>779</v>
      </c>
      <c r="AS85" s="66"/>
      <c r="AT85" s="108">
        <v>0</v>
      </c>
      <c r="AU85" s="109">
        <v>0</v>
      </c>
      <c r="AV85" s="109">
        <v>97.96</v>
      </c>
      <c r="AW85" s="109">
        <v>0</v>
      </c>
      <c r="AX85" s="110">
        <v>261.99</v>
      </c>
      <c r="AY85" s="110">
        <v>0</v>
      </c>
    </row>
    <row r="86" spans="1:51" x14ac:dyDescent="0.25">
      <c r="A86" s="8" t="s">
        <v>210</v>
      </c>
      <c r="B86" s="5" t="s">
        <v>211</v>
      </c>
      <c r="C86" s="2">
        <v>7.3599999999999994</v>
      </c>
      <c r="D86" s="24">
        <v>200</v>
      </c>
      <c r="E86" s="26">
        <f t="shared" si="30"/>
        <v>100</v>
      </c>
      <c r="F86" s="26">
        <v>205</v>
      </c>
      <c r="G86" s="30">
        <f t="shared" si="31"/>
        <v>0.48780487804878048</v>
      </c>
      <c r="H86" s="11"/>
      <c r="I86" s="9">
        <v>100</v>
      </c>
      <c r="J86" s="3">
        <v>400</v>
      </c>
      <c r="K86" s="3">
        <v>150</v>
      </c>
      <c r="L86" s="3">
        <v>50</v>
      </c>
      <c r="M86" s="6">
        <v>50</v>
      </c>
      <c r="N86" s="6">
        <v>100</v>
      </c>
      <c r="O86" s="13"/>
      <c r="P86" s="60">
        <f t="shared" si="39"/>
        <v>736</v>
      </c>
      <c r="Q86" s="61">
        <f t="shared" si="40"/>
        <v>2944</v>
      </c>
      <c r="R86" s="61">
        <f t="shared" si="41"/>
        <v>1104</v>
      </c>
      <c r="S86" s="62">
        <f t="shared" si="42"/>
        <v>368</v>
      </c>
      <c r="T86" s="63">
        <f t="shared" si="43"/>
        <v>368</v>
      </c>
      <c r="U86" s="63">
        <f t="shared" si="32"/>
        <v>736</v>
      </c>
      <c r="V86" s="64"/>
      <c r="W86" s="60">
        <v>7</v>
      </c>
      <c r="X86" s="61">
        <v>0</v>
      </c>
      <c r="Y86" s="61">
        <v>71</v>
      </c>
      <c r="Z86" s="61">
        <v>382</v>
      </c>
      <c r="AA86" s="65">
        <v>97</v>
      </c>
      <c r="AB86" s="65">
        <v>100</v>
      </c>
      <c r="AC86" s="66"/>
      <c r="AD86" s="67">
        <f t="shared" si="33"/>
        <v>3.4146341463414637E-2</v>
      </c>
      <c r="AE86" s="67">
        <f t="shared" si="34"/>
        <v>0</v>
      </c>
      <c r="AF86" s="67">
        <f t="shared" si="35"/>
        <v>0.34634146341463412</v>
      </c>
      <c r="AG86" s="67">
        <f t="shared" si="36"/>
        <v>1.8634146341463416</v>
      </c>
      <c r="AH86" s="67">
        <f t="shared" si="37"/>
        <v>0.47317073170731705</v>
      </c>
      <c r="AI86" s="67">
        <f t="shared" si="38"/>
        <v>0.48780487804878048</v>
      </c>
      <c r="AJ86" s="66"/>
      <c r="AK86" s="68">
        <v>129.5</v>
      </c>
      <c r="AL86" s="69">
        <v>0</v>
      </c>
      <c r="AM86" s="69">
        <v>522.55999999999995</v>
      </c>
      <c r="AN86" s="69">
        <v>999.68999999999789</v>
      </c>
      <c r="AO86" s="70">
        <v>3778.74</v>
      </c>
      <c r="AP86" s="70">
        <v>838.18</v>
      </c>
      <c r="AQ86" s="66"/>
      <c r="AR86" s="70" t="s">
        <v>779</v>
      </c>
      <c r="AS86" s="66"/>
      <c r="AT86" s="108">
        <v>1810</v>
      </c>
      <c r="AU86" s="109">
        <v>7458</v>
      </c>
      <c r="AV86" s="109">
        <v>2791.5</v>
      </c>
      <c r="AW86" s="109">
        <v>935.5</v>
      </c>
      <c r="AX86" s="110">
        <v>925</v>
      </c>
      <c r="AY86" s="110">
        <v>1826</v>
      </c>
    </row>
    <row r="87" spans="1:51" x14ac:dyDescent="0.25">
      <c r="A87" s="8" t="s">
        <v>496</v>
      </c>
      <c r="B87" s="5" t="s">
        <v>497</v>
      </c>
      <c r="C87" s="2">
        <v>7.269999999999996</v>
      </c>
      <c r="D87" s="24">
        <v>1000</v>
      </c>
      <c r="E87" s="26">
        <f t="shared" si="30"/>
        <v>500</v>
      </c>
      <c r="F87" s="26">
        <v>2938</v>
      </c>
      <c r="G87" s="30">
        <f t="shared" si="31"/>
        <v>0.17018379850238258</v>
      </c>
      <c r="H87" s="11"/>
      <c r="I87" s="9">
        <v>0</v>
      </c>
      <c r="J87" s="3">
        <v>0</v>
      </c>
      <c r="K87" s="3">
        <v>0</v>
      </c>
      <c r="L87" s="3">
        <v>92</v>
      </c>
      <c r="M87" s="6"/>
      <c r="N87" s="6">
        <v>0</v>
      </c>
      <c r="O87" s="13"/>
      <c r="P87" s="60">
        <f t="shared" si="39"/>
        <v>0</v>
      </c>
      <c r="Q87" s="61">
        <f t="shared" si="40"/>
        <v>0</v>
      </c>
      <c r="R87" s="61">
        <f t="shared" si="41"/>
        <v>0</v>
      </c>
      <c r="S87" s="62">
        <f t="shared" si="42"/>
        <v>668.83999999999969</v>
      </c>
      <c r="T87" s="63">
        <f t="shared" si="43"/>
        <v>0</v>
      </c>
      <c r="U87" s="63">
        <f t="shared" si="32"/>
        <v>0</v>
      </c>
      <c r="V87" s="64"/>
      <c r="W87" s="60">
        <v>499</v>
      </c>
      <c r="X87" s="61">
        <v>300</v>
      </c>
      <c r="Y87" s="61">
        <v>300</v>
      </c>
      <c r="Z87" s="61">
        <v>19</v>
      </c>
      <c r="AA87" s="65">
        <v>281</v>
      </c>
      <c r="AB87" s="65">
        <v>390</v>
      </c>
      <c r="AC87" s="66"/>
      <c r="AD87" s="67">
        <f t="shared" si="33"/>
        <v>0.16984343090537782</v>
      </c>
      <c r="AE87" s="67">
        <f t="shared" si="34"/>
        <v>0.10211027910142954</v>
      </c>
      <c r="AF87" s="67">
        <f t="shared" si="35"/>
        <v>0.10211027910142954</v>
      </c>
      <c r="AG87" s="67">
        <f t="shared" si="36"/>
        <v>6.466984343090538E-3</v>
      </c>
      <c r="AH87" s="67">
        <f t="shared" si="37"/>
        <v>9.5643294758339006E-2</v>
      </c>
      <c r="AI87" s="67">
        <f t="shared" si="38"/>
        <v>0.13274336283185842</v>
      </c>
      <c r="AJ87" s="66"/>
      <c r="AK87" s="68">
        <v>2355.6699999999992</v>
      </c>
      <c r="AL87" s="69">
        <v>2577.87</v>
      </c>
      <c r="AM87" s="69">
        <v>2577.8700000000003</v>
      </c>
      <c r="AN87" s="69">
        <v>1924.23</v>
      </c>
      <c r="AO87" s="70">
        <v>109.899999999999</v>
      </c>
      <c r="AP87" s="70">
        <v>2560.3399999999901</v>
      </c>
      <c r="AQ87" s="66"/>
      <c r="AR87" s="70" t="s">
        <v>780</v>
      </c>
      <c r="AS87" s="66"/>
      <c r="AT87" s="108">
        <v>0</v>
      </c>
      <c r="AU87" s="109">
        <v>0</v>
      </c>
      <c r="AV87" s="109">
        <v>0</v>
      </c>
      <c r="AW87" s="109">
        <v>7327.8</v>
      </c>
      <c r="AX87" s="110">
        <v>0</v>
      </c>
      <c r="AY87" s="110">
        <v>0</v>
      </c>
    </row>
    <row r="88" spans="1:51" x14ac:dyDescent="0.25">
      <c r="A88" s="8" t="s">
        <v>463</v>
      </c>
      <c r="B88" s="5" t="s">
        <v>464</v>
      </c>
      <c r="C88" s="2">
        <v>7.0999999999999943</v>
      </c>
      <c r="D88" s="24">
        <v>500</v>
      </c>
      <c r="E88" s="26">
        <f t="shared" si="30"/>
        <v>250</v>
      </c>
      <c r="F88" s="26">
        <v>1160</v>
      </c>
      <c r="G88" s="30">
        <f t="shared" si="31"/>
        <v>0.21551724137931033</v>
      </c>
      <c r="H88" s="11"/>
      <c r="I88" s="9">
        <v>0</v>
      </c>
      <c r="J88" s="3">
        <v>0</v>
      </c>
      <c r="K88" s="3">
        <v>154</v>
      </c>
      <c r="L88" s="3">
        <v>322</v>
      </c>
      <c r="M88" s="6">
        <v>422</v>
      </c>
      <c r="N88" s="6">
        <v>62</v>
      </c>
      <c r="O88" s="13"/>
      <c r="P88" s="60">
        <f t="shared" si="39"/>
        <v>0</v>
      </c>
      <c r="Q88" s="61">
        <f t="shared" si="40"/>
        <v>0</v>
      </c>
      <c r="R88" s="61">
        <f t="shared" si="41"/>
        <v>1093.3999999999992</v>
      </c>
      <c r="S88" s="62">
        <f t="shared" si="42"/>
        <v>2286.199999999998</v>
      </c>
      <c r="T88" s="63">
        <f t="shared" si="43"/>
        <v>2996.1999999999975</v>
      </c>
      <c r="U88" s="63">
        <f t="shared" si="32"/>
        <v>440.19999999999965</v>
      </c>
      <c r="V88" s="64"/>
      <c r="W88" s="60">
        <v>241</v>
      </c>
      <c r="X88" s="61">
        <v>238</v>
      </c>
      <c r="Y88" s="61">
        <v>283</v>
      </c>
      <c r="Z88" s="61">
        <v>146</v>
      </c>
      <c r="AA88" s="65">
        <v>254</v>
      </c>
      <c r="AB88" s="65">
        <v>251</v>
      </c>
      <c r="AC88" s="66"/>
      <c r="AD88" s="67">
        <f t="shared" si="33"/>
        <v>0.20775862068965517</v>
      </c>
      <c r="AE88" s="67">
        <f t="shared" si="34"/>
        <v>0.20517241379310344</v>
      </c>
      <c r="AF88" s="67">
        <f t="shared" si="35"/>
        <v>0.2439655172413793</v>
      </c>
      <c r="AG88" s="67">
        <f t="shared" si="36"/>
        <v>0.12586206896551724</v>
      </c>
      <c r="AH88" s="67">
        <f t="shared" si="37"/>
        <v>0.2189655172413793</v>
      </c>
      <c r="AI88" s="67">
        <f t="shared" si="38"/>
        <v>0.21637931034482757</v>
      </c>
      <c r="AJ88" s="66"/>
      <c r="AK88" s="68">
        <v>0</v>
      </c>
      <c r="AL88" s="69">
        <v>16.239999999999952</v>
      </c>
      <c r="AM88" s="69">
        <v>16.239999999999952</v>
      </c>
      <c r="AN88" s="69">
        <v>324.80999999999972</v>
      </c>
      <c r="AO88" s="70">
        <v>480.82</v>
      </c>
      <c r="AP88" s="70">
        <v>883.61000000000104</v>
      </c>
      <c r="AQ88" s="66"/>
      <c r="AR88" s="70" t="s">
        <v>780</v>
      </c>
      <c r="AS88" s="66"/>
      <c r="AT88" s="108">
        <v>0</v>
      </c>
      <c r="AU88" s="109">
        <v>0</v>
      </c>
      <c r="AV88" s="109">
        <v>10724.56</v>
      </c>
      <c r="AW88" s="109">
        <v>22158.350000000002</v>
      </c>
      <c r="AX88" s="110">
        <v>28516.51</v>
      </c>
      <c r="AY88" s="110">
        <v>4279.8599999999997</v>
      </c>
    </row>
    <row r="89" spans="1:51" x14ac:dyDescent="0.25">
      <c r="A89" s="8" t="s">
        <v>316</v>
      </c>
      <c r="B89" s="5" t="s">
        <v>317</v>
      </c>
      <c r="C89" s="2">
        <v>7.0700000000000038</v>
      </c>
      <c r="D89" s="24">
        <v>80</v>
      </c>
      <c r="E89" s="26">
        <f t="shared" si="30"/>
        <v>40</v>
      </c>
      <c r="F89" s="26">
        <v>251</v>
      </c>
      <c r="G89" s="30">
        <f t="shared" si="31"/>
        <v>0.15936254980079681</v>
      </c>
      <c r="H89" s="11"/>
      <c r="I89" s="9">
        <v>100</v>
      </c>
      <c r="J89" s="3">
        <v>532</v>
      </c>
      <c r="K89" s="3">
        <v>23</v>
      </c>
      <c r="L89" s="3">
        <v>0</v>
      </c>
      <c r="M89" s="6"/>
      <c r="N89" s="6">
        <v>36</v>
      </c>
      <c r="O89" s="13"/>
      <c r="P89" s="60">
        <f t="shared" si="39"/>
        <v>707.00000000000034</v>
      </c>
      <c r="Q89" s="61">
        <f t="shared" si="40"/>
        <v>3761.2400000000021</v>
      </c>
      <c r="R89" s="61">
        <f t="shared" si="41"/>
        <v>162.6100000000001</v>
      </c>
      <c r="S89" s="62">
        <f t="shared" si="42"/>
        <v>0</v>
      </c>
      <c r="T89" s="63">
        <f t="shared" si="43"/>
        <v>0</v>
      </c>
      <c r="U89" s="63">
        <f t="shared" si="32"/>
        <v>254.52000000000015</v>
      </c>
      <c r="V89" s="64"/>
      <c r="W89" s="60">
        <v>0</v>
      </c>
      <c r="X89" s="61">
        <v>0</v>
      </c>
      <c r="Y89" s="61">
        <v>0</v>
      </c>
      <c r="Z89" s="61">
        <v>0</v>
      </c>
      <c r="AA89" s="65">
        <v>0</v>
      </c>
      <c r="AB89" s="65">
        <v>0</v>
      </c>
      <c r="AC89" s="66"/>
      <c r="AD89" s="67">
        <f t="shared" si="33"/>
        <v>0</v>
      </c>
      <c r="AE89" s="67">
        <f t="shared" si="34"/>
        <v>0</v>
      </c>
      <c r="AF89" s="67">
        <f t="shared" si="35"/>
        <v>0</v>
      </c>
      <c r="AG89" s="67">
        <f t="shared" si="36"/>
        <v>0</v>
      </c>
      <c r="AH89" s="67">
        <f t="shared" si="37"/>
        <v>0</v>
      </c>
      <c r="AI89" s="67">
        <f t="shared" si="38"/>
        <v>0</v>
      </c>
      <c r="AJ89" s="66"/>
      <c r="AK89" s="68">
        <v>0</v>
      </c>
      <c r="AL89" s="69">
        <v>0</v>
      </c>
      <c r="AM89" s="69">
        <v>0</v>
      </c>
      <c r="AN89" s="69">
        <v>0</v>
      </c>
      <c r="AO89" s="70">
        <v>0</v>
      </c>
      <c r="AP89" s="70">
        <v>0</v>
      </c>
      <c r="AQ89" s="66"/>
      <c r="AR89" s="70" t="s">
        <v>779</v>
      </c>
      <c r="AS89" s="66"/>
      <c r="AT89" s="108">
        <v>1681</v>
      </c>
      <c r="AU89" s="109">
        <v>8997.74</v>
      </c>
      <c r="AV89" s="109">
        <v>385.02</v>
      </c>
      <c r="AW89" s="109">
        <v>0</v>
      </c>
      <c r="AX89" s="110">
        <v>0</v>
      </c>
      <c r="AY89" s="110">
        <v>600.12</v>
      </c>
    </row>
    <row r="90" spans="1:51" x14ac:dyDescent="0.25">
      <c r="A90" s="8" t="s">
        <v>364</v>
      </c>
      <c r="B90" s="5" t="s">
        <v>365</v>
      </c>
      <c r="C90" s="2">
        <v>7.0300000000000011</v>
      </c>
      <c r="D90" s="24">
        <v>15000</v>
      </c>
      <c r="E90" s="26">
        <f t="shared" si="30"/>
        <v>7500</v>
      </c>
      <c r="F90" s="26">
        <v>49628</v>
      </c>
      <c r="G90" s="30">
        <f t="shared" si="31"/>
        <v>0.15112436527766585</v>
      </c>
      <c r="H90" s="11"/>
      <c r="I90" s="9">
        <v>7482</v>
      </c>
      <c r="J90" s="3">
        <v>3776</v>
      </c>
      <c r="K90" s="3">
        <v>4934</v>
      </c>
      <c r="L90" s="3">
        <v>2438</v>
      </c>
      <c r="M90" s="6">
        <v>1939</v>
      </c>
      <c r="N90" s="6">
        <v>3739</v>
      </c>
      <c r="O90" s="13"/>
      <c r="P90" s="60">
        <f t="shared" si="39"/>
        <v>52598.460000000006</v>
      </c>
      <c r="Q90" s="61">
        <f t="shared" si="40"/>
        <v>26545.280000000006</v>
      </c>
      <c r="R90" s="61">
        <f t="shared" si="41"/>
        <v>34686.020000000004</v>
      </c>
      <c r="S90" s="62">
        <f t="shared" si="42"/>
        <v>17139.140000000003</v>
      </c>
      <c r="T90" s="63">
        <f t="shared" si="43"/>
        <v>13631.170000000002</v>
      </c>
      <c r="U90" s="63">
        <f t="shared" si="32"/>
        <v>26285.170000000006</v>
      </c>
      <c r="V90" s="64"/>
      <c r="W90" s="60">
        <v>5255</v>
      </c>
      <c r="X90" s="61">
        <v>8435</v>
      </c>
      <c r="Y90" s="61">
        <v>2711</v>
      </c>
      <c r="Z90" s="61">
        <v>5857</v>
      </c>
      <c r="AA90" s="65">
        <v>3786</v>
      </c>
      <c r="AB90" s="65">
        <v>3507</v>
      </c>
      <c r="AC90" s="66"/>
      <c r="AD90" s="67">
        <f t="shared" si="33"/>
        <v>0.10588780527121786</v>
      </c>
      <c r="AE90" s="67">
        <f t="shared" si="34"/>
        <v>0.16996453614894819</v>
      </c>
      <c r="AF90" s="67">
        <f t="shared" si="35"/>
        <v>5.4626420569033607E-2</v>
      </c>
      <c r="AG90" s="67">
        <f t="shared" si="36"/>
        <v>0.11801805432417184</v>
      </c>
      <c r="AH90" s="67">
        <f t="shared" si="37"/>
        <v>7.6287579592165713E-2</v>
      </c>
      <c r="AI90" s="67">
        <f t="shared" si="38"/>
        <v>7.0665753203836543E-2</v>
      </c>
      <c r="AJ90" s="66"/>
      <c r="AK90" s="68">
        <v>18069.54999999993</v>
      </c>
      <c r="AL90" s="69">
        <v>27584.599999999951</v>
      </c>
      <c r="AM90" s="69">
        <v>27584.599999999955</v>
      </c>
      <c r="AN90" s="69">
        <v>11509.300000000059</v>
      </c>
      <c r="AO90" s="70">
        <v>19970.979999999301</v>
      </c>
      <c r="AP90" s="70">
        <v>11669.31</v>
      </c>
      <c r="AQ90" s="66"/>
      <c r="AR90" s="70" t="s">
        <v>779</v>
      </c>
      <c r="AS90" s="66"/>
      <c r="AT90" s="108">
        <v>323180.30000000005</v>
      </c>
      <c r="AU90" s="109">
        <v>160320.24000000002</v>
      </c>
      <c r="AV90" s="109">
        <v>209768.61000000002</v>
      </c>
      <c r="AW90" s="109">
        <v>101266.36</v>
      </c>
      <c r="AX90" s="110">
        <v>80707.839999999997</v>
      </c>
      <c r="AY90" s="110">
        <v>350441.88</v>
      </c>
    </row>
    <row r="91" spans="1:51" x14ac:dyDescent="0.25">
      <c r="A91" s="8" t="s">
        <v>450</v>
      </c>
      <c r="B91" s="5" t="s">
        <v>451</v>
      </c>
      <c r="C91" s="2">
        <v>6.93</v>
      </c>
      <c r="D91" s="24">
        <v>1500</v>
      </c>
      <c r="E91" s="26">
        <f t="shared" si="30"/>
        <v>750</v>
      </c>
      <c r="F91" s="26">
        <v>986</v>
      </c>
      <c r="G91" s="30">
        <f t="shared" si="31"/>
        <v>0.76064908722109537</v>
      </c>
      <c r="H91" s="11"/>
      <c r="I91" s="9">
        <v>450</v>
      </c>
      <c r="J91" s="3">
        <v>63</v>
      </c>
      <c r="K91" s="3">
        <v>345</v>
      </c>
      <c r="L91" s="3">
        <v>366</v>
      </c>
      <c r="M91" s="6">
        <v>241</v>
      </c>
      <c r="N91" s="6">
        <v>426</v>
      </c>
      <c r="O91" s="13"/>
      <c r="P91" s="60">
        <f t="shared" si="39"/>
        <v>3118.5</v>
      </c>
      <c r="Q91" s="61">
        <f t="shared" si="40"/>
        <v>436.59</v>
      </c>
      <c r="R91" s="61">
        <f t="shared" si="41"/>
        <v>2390.85</v>
      </c>
      <c r="S91" s="62">
        <f t="shared" si="42"/>
        <v>2536.38</v>
      </c>
      <c r="T91" s="63">
        <f t="shared" si="43"/>
        <v>1670.1299999999999</v>
      </c>
      <c r="U91" s="63">
        <f t="shared" si="32"/>
        <v>2952.18</v>
      </c>
      <c r="V91" s="64"/>
      <c r="W91" s="60">
        <v>147</v>
      </c>
      <c r="X91" s="61">
        <v>167</v>
      </c>
      <c r="Y91" s="61">
        <v>339</v>
      </c>
      <c r="Z91" s="61">
        <v>440</v>
      </c>
      <c r="AA91" s="65">
        <v>94</v>
      </c>
      <c r="AB91" s="65">
        <v>499</v>
      </c>
      <c r="AC91" s="66"/>
      <c r="AD91" s="67">
        <f t="shared" si="33"/>
        <v>0.14908722109533468</v>
      </c>
      <c r="AE91" s="67">
        <f t="shared" si="34"/>
        <v>0.16937119675456389</v>
      </c>
      <c r="AF91" s="67">
        <f t="shared" si="35"/>
        <v>0.34381338742393508</v>
      </c>
      <c r="AG91" s="67">
        <f t="shared" si="36"/>
        <v>0.44624746450304259</v>
      </c>
      <c r="AH91" s="67">
        <f t="shared" si="37"/>
        <v>9.5334685598377281E-2</v>
      </c>
      <c r="AI91" s="67">
        <f t="shared" si="38"/>
        <v>0.50608519269776875</v>
      </c>
      <c r="AJ91" s="66"/>
      <c r="AK91" s="68">
        <v>484.41000000000008</v>
      </c>
      <c r="AL91" s="69">
        <v>730.69999999999914</v>
      </c>
      <c r="AM91" s="69">
        <v>730.69999999999914</v>
      </c>
      <c r="AN91" s="69">
        <v>2193.0799999999927</v>
      </c>
      <c r="AO91" s="70">
        <v>2024.1099999999899</v>
      </c>
      <c r="AP91" s="70">
        <v>2644.1599999999899</v>
      </c>
      <c r="AQ91" s="66"/>
      <c r="AR91" s="70" t="s">
        <v>780</v>
      </c>
      <c r="AS91" s="66"/>
      <c r="AT91" s="108">
        <v>27895.46</v>
      </c>
      <c r="AU91" s="109">
        <v>3957.9700000000003</v>
      </c>
      <c r="AV91" s="109">
        <v>21582.600000000002</v>
      </c>
      <c r="AW91" s="109">
        <v>22921.79</v>
      </c>
      <c r="AX91" s="110">
        <v>15360.019999999999</v>
      </c>
      <c r="AY91" s="110">
        <v>27073.86</v>
      </c>
    </row>
    <row r="92" spans="1:51" x14ac:dyDescent="0.25">
      <c r="A92" s="8" t="s">
        <v>105</v>
      </c>
      <c r="B92" s="5" t="s">
        <v>106</v>
      </c>
      <c r="C92" s="2">
        <v>6.9199999999999982</v>
      </c>
      <c r="D92" s="24">
        <v>2000</v>
      </c>
      <c r="E92" s="26">
        <f t="shared" si="30"/>
        <v>1000</v>
      </c>
      <c r="F92" s="26">
        <v>2529</v>
      </c>
      <c r="G92" s="30">
        <f t="shared" si="31"/>
        <v>0.39541320680110714</v>
      </c>
      <c r="H92" s="11"/>
      <c r="I92" s="9">
        <v>144</v>
      </c>
      <c r="J92" s="3">
        <v>1385</v>
      </c>
      <c r="K92" s="3">
        <v>2221</v>
      </c>
      <c r="L92" s="3">
        <v>400</v>
      </c>
      <c r="M92" s="6">
        <v>820</v>
      </c>
      <c r="N92" s="6">
        <v>1807</v>
      </c>
      <c r="O92" s="13"/>
      <c r="P92" s="60">
        <f t="shared" si="39"/>
        <v>996.47999999999979</v>
      </c>
      <c r="Q92" s="61">
        <f t="shared" si="40"/>
        <v>9584.1999999999971</v>
      </c>
      <c r="R92" s="61">
        <f t="shared" si="41"/>
        <v>15369.319999999996</v>
      </c>
      <c r="S92" s="62">
        <f t="shared" si="42"/>
        <v>2767.9999999999991</v>
      </c>
      <c r="T92" s="63">
        <f t="shared" si="43"/>
        <v>5674.3999999999987</v>
      </c>
      <c r="U92" s="63">
        <f t="shared" si="32"/>
        <v>12504.439999999997</v>
      </c>
      <c r="V92" s="64"/>
      <c r="W92" s="60">
        <v>1442</v>
      </c>
      <c r="X92" s="61">
        <v>727</v>
      </c>
      <c r="Y92" s="61">
        <v>1761</v>
      </c>
      <c r="Z92" s="61">
        <v>1468</v>
      </c>
      <c r="AA92" s="65">
        <v>1586</v>
      </c>
      <c r="AB92" s="65">
        <v>1308</v>
      </c>
      <c r="AC92" s="66"/>
      <c r="AD92" s="67">
        <f t="shared" si="33"/>
        <v>0.57018584420719653</v>
      </c>
      <c r="AE92" s="67">
        <f t="shared" si="34"/>
        <v>0.2874654013444049</v>
      </c>
      <c r="AF92" s="67">
        <f t="shared" si="35"/>
        <v>0.69632265717674968</v>
      </c>
      <c r="AG92" s="67">
        <f t="shared" si="36"/>
        <v>0.58046658758402536</v>
      </c>
      <c r="AH92" s="67">
        <f t="shared" si="37"/>
        <v>0.627125345986556</v>
      </c>
      <c r="AI92" s="67">
        <f t="shared" si="38"/>
        <v>0.51720047449584816</v>
      </c>
      <c r="AJ92" s="66"/>
      <c r="AK92" s="68">
        <v>4351.5999999999958</v>
      </c>
      <c r="AL92" s="69">
        <v>2665.6099999999919</v>
      </c>
      <c r="AM92" s="69">
        <v>2665.6099999999924</v>
      </c>
      <c r="AN92" s="69">
        <v>5299.2499999999891</v>
      </c>
      <c r="AO92" s="70">
        <v>4966.45999999996</v>
      </c>
      <c r="AP92" s="70">
        <v>5733.7600000000202</v>
      </c>
      <c r="AQ92" s="66"/>
      <c r="AR92" s="70" t="s">
        <v>779</v>
      </c>
      <c r="AS92" s="66"/>
      <c r="AT92" s="108">
        <v>1491.84</v>
      </c>
      <c r="AU92" s="109">
        <v>14357.25</v>
      </c>
      <c r="AV92" s="109">
        <v>22885.03</v>
      </c>
      <c r="AW92" s="109">
        <v>4126</v>
      </c>
      <c r="AX92" s="110">
        <v>7162.5999999999995</v>
      </c>
      <c r="AY92" s="110">
        <v>17955.03</v>
      </c>
    </row>
    <row r="93" spans="1:51" x14ac:dyDescent="0.25">
      <c r="A93" s="8" t="s">
        <v>797</v>
      </c>
      <c r="B93" s="5" t="s">
        <v>840</v>
      </c>
      <c r="C93" s="2">
        <v>6.84</v>
      </c>
      <c r="D93" s="24">
        <v>300</v>
      </c>
      <c r="E93" s="26">
        <f t="shared" si="30"/>
        <v>150</v>
      </c>
      <c r="F93" s="26">
        <v>442</v>
      </c>
      <c r="G93" s="30">
        <f t="shared" si="31"/>
        <v>0.33936651583710409</v>
      </c>
      <c r="H93" s="11"/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6">
        <v>572</v>
      </c>
      <c r="O93" s="13"/>
      <c r="P93" s="60"/>
      <c r="Q93" s="61"/>
      <c r="R93" s="61"/>
      <c r="S93" s="62"/>
      <c r="T93" s="63"/>
      <c r="U93" s="63">
        <f t="shared" si="32"/>
        <v>3912.48</v>
      </c>
      <c r="V93" s="64"/>
      <c r="W93" s="60"/>
      <c r="X93" s="61"/>
      <c r="Y93" s="61"/>
      <c r="Z93" s="61"/>
      <c r="AA93" s="65"/>
      <c r="AB93" s="65"/>
      <c r="AC93" s="66"/>
      <c r="AD93" s="67">
        <f t="shared" si="33"/>
        <v>0</v>
      </c>
      <c r="AE93" s="67">
        <f t="shared" si="34"/>
        <v>0</v>
      </c>
      <c r="AF93" s="67">
        <f t="shared" si="35"/>
        <v>0</v>
      </c>
      <c r="AG93" s="67">
        <f t="shared" si="36"/>
        <v>0</v>
      </c>
      <c r="AH93" s="67">
        <f t="shared" si="37"/>
        <v>0</v>
      </c>
      <c r="AI93" s="67">
        <f t="shared" si="38"/>
        <v>0</v>
      </c>
      <c r="AJ93" s="66"/>
      <c r="AK93" s="68"/>
      <c r="AL93" s="69"/>
      <c r="AM93" s="69"/>
      <c r="AN93" s="69"/>
      <c r="AO93" s="70"/>
      <c r="AP93" s="70"/>
      <c r="AQ93" s="66"/>
      <c r="AR93" s="70" t="s">
        <v>779</v>
      </c>
      <c r="AS93" s="66"/>
      <c r="AT93" s="108">
        <v>0</v>
      </c>
      <c r="AU93" s="109">
        <v>0</v>
      </c>
      <c r="AV93" s="109">
        <v>0</v>
      </c>
      <c r="AW93" s="109">
        <v>0</v>
      </c>
      <c r="AX93" s="110">
        <v>0</v>
      </c>
      <c r="AY93" s="110">
        <v>4530.24</v>
      </c>
    </row>
    <row r="94" spans="1:51" x14ac:dyDescent="0.25">
      <c r="A94" s="8" t="s">
        <v>34</v>
      </c>
      <c r="B94" s="5" t="s">
        <v>35</v>
      </c>
      <c r="C94" s="2">
        <v>6.82</v>
      </c>
      <c r="D94" s="24">
        <v>20</v>
      </c>
      <c r="E94" s="26">
        <f t="shared" si="30"/>
        <v>10</v>
      </c>
      <c r="F94" s="26">
        <v>0</v>
      </c>
      <c r="G94" s="30" t="e">
        <f t="shared" si="31"/>
        <v>#DIV/0!</v>
      </c>
      <c r="H94" s="11"/>
      <c r="I94" s="9">
        <v>0</v>
      </c>
      <c r="J94" s="3">
        <v>0</v>
      </c>
      <c r="K94" s="3">
        <v>0</v>
      </c>
      <c r="L94" s="3">
        <v>0</v>
      </c>
      <c r="M94" s="6">
        <v>200</v>
      </c>
      <c r="N94" s="6">
        <v>225</v>
      </c>
      <c r="O94" s="13"/>
      <c r="P94" s="60">
        <f t="shared" ref="P94:P106" si="44">+I94*C94</f>
        <v>0</v>
      </c>
      <c r="Q94" s="61">
        <f t="shared" ref="Q94:Q106" si="45">+J94*C94</f>
        <v>0</v>
      </c>
      <c r="R94" s="61">
        <f t="shared" ref="R94:R106" si="46">+K94*C94</f>
        <v>0</v>
      </c>
      <c r="S94" s="62">
        <f t="shared" ref="S94:S106" si="47">+L94*C94</f>
        <v>0</v>
      </c>
      <c r="T94" s="63">
        <f t="shared" ref="T94:T106" si="48">+M94*C94</f>
        <v>1364</v>
      </c>
      <c r="U94" s="63">
        <f t="shared" si="32"/>
        <v>1534.5</v>
      </c>
      <c r="V94" s="64"/>
      <c r="W94" s="60">
        <v>0</v>
      </c>
      <c r="X94" s="61">
        <v>0</v>
      </c>
      <c r="Y94" s="61">
        <v>4</v>
      </c>
      <c r="Z94" s="61">
        <v>0</v>
      </c>
      <c r="AA94" s="65">
        <v>0</v>
      </c>
      <c r="AB94" s="65">
        <v>0</v>
      </c>
      <c r="AC94" s="66"/>
      <c r="AD94" s="67" t="str">
        <f t="shared" si="33"/>
        <v/>
      </c>
      <c r="AE94" s="67" t="str">
        <f t="shared" si="34"/>
        <v/>
      </c>
      <c r="AF94" s="67" t="str">
        <f t="shared" si="35"/>
        <v/>
      </c>
      <c r="AG94" s="67" t="str">
        <f t="shared" si="36"/>
        <v/>
      </c>
      <c r="AH94" s="67" t="str">
        <f t="shared" si="37"/>
        <v/>
      </c>
      <c r="AI94" s="67" t="str">
        <f t="shared" si="38"/>
        <v/>
      </c>
      <c r="AJ94" s="66"/>
      <c r="AK94" s="68">
        <v>0</v>
      </c>
      <c r="AL94" s="69">
        <v>0</v>
      </c>
      <c r="AM94" s="69">
        <v>27.28</v>
      </c>
      <c r="AN94" s="69">
        <v>12.52</v>
      </c>
      <c r="AO94" s="70">
        <v>0</v>
      </c>
      <c r="AP94" s="70">
        <v>0</v>
      </c>
      <c r="AQ94" s="66"/>
      <c r="AR94" s="70" t="s">
        <v>779</v>
      </c>
      <c r="AS94" s="66"/>
      <c r="AT94" s="108">
        <v>0</v>
      </c>
      <c r="AU94" s="109">
        <v>0</v>
      </c>
      <c r="AV94" s="109">
        <v>0</v>
      </c>
      <c r="AW94" s="109">
        <v>0</v>
      </c>
      <c r="AX94" s="110">
        <v>951</v>
      </c>
      <c r="AY94" s="110">
        <v>1026.5</v>
      </c>
    </row>
    <row r="95" spans="1:51" x14ac:dyDescent="0.25">
      <c r="A95" s="8" t="s">
        <v>459</v>
      </c>
      <c r="B95" s="5" t="s">
        <v>460</v>
      </c>
      <c r="C95" s="2">
        <v>6.7900000000000063</v>
      </c>
      <c r="D95" s="24">
        <v>2000</v>
      </c>
      <c r="E95" s="26">
        <f t="shared" si="30"/>
        <v>1000</v>
      </c>
      <c r="F95" s="26">
        <v>4920</v>
      </c>
      <c r="G95" s="30">
        <f t="shared" si="31"/>
        <v>0.2032520325203252</v>
      </c>
      <c r="H95" s="11"/>
      <c r="I95" s="9">
        <v>310</v>
      </c>
      <c r="J95" s="3">
        <v>381</v>
      </c>
      <c r="K95" s="3">
        <v>72</v>
      </c>
      <c r="L95" s="3">
        <v>461</v>
      </c>
      <c r="M95" s="6">
        <v>500</v>
      </c>
      <c r="N95" s="6">
        <v>372</v>
      </c>
      <c r="O95" s="13"/>
      <c r="P95" s="60">
        <f t="shared" si="44"/>
        <v>2104.9000000000019</v>
      </c>
      <c r="Q95" s="61">
        <f t="shared" si="45"/>
        <v>2586.9900000000025</v>
      </c>
      <c r="R95" s="61">
        <f t="shared" si="46"/>
        <v>488.88000000000045</v>
      </c>
      <c r="S95" s="62">
        <f t="shared" si="47"/>
        <v>3130.1900000000028</v>
      </c>
      <c r="T95" s="63">
        <f t="shared" si="48"/>
        <v>3395.0000000000032</v>
      </c>
      <c r="U95" s="63">
        <f t="shared" si="32"/>
        <v>2525.8800000000024</v>
      </c>
      <c r="V95" s="64"/>
      <c r="W95" s="60">
        <v>34</v>
      </c>
      <c r="X95" s="61">
        <v>262</v>
      </c>
      <c r="Y95" s="61">
        <v>468</v>
      </c>
      <c r="Z95" s="61">
        <v>88</v>
      </c>
      <c r="AA95" s="65">
        <v>408</v>
      </c>
      <c r="AB95" s="65">
        <v>606</v>
      </c>
      <c r="AC95" s="66"/>
      <c r="AD95" s="67">
        <f t="shared" si="33"/>
        <v>6.9105691056910567E-3</v>
      </c>
      <c r="AE95" s="67">
        <f t="shared" si="34"/>
        <v>5.3252032520325204E-2</v>
      </c>
      <c r="AF95" s="67">
        <f t="shared" si="35"/>
        <v>9.5121951219512196E-2</v>
      </c>
      <c r="AG95" s="67">
        <f t="shared" si="36"/>
        <v>1.7886178861788619E-2</v>
      </c>
      <c r="AH95" s="67">
        <f t="shared" si="37"/>
        <v>8.2926829268292687E-2</v>
      </c>
      <c r="AI95" s="67">
        <f t="shared" si="38"/>
        <v>0.12317073170731707</v>
      </c>
      <c r="AJ95" s="66"/>
      <c r="AK95" s="68">
        <v>144.91</v>
      </c>
      <c r="AL95" s="69">
        <v>1160.319999999997</v>
      </c>
      <c r="AM95" s="69">
        <v>1160.319999999997</v>
      </c>
      <c r="AN95" s="69">
        <v>2018.6999999999969</v>
      </c>
      <c r="AO95" s="70">
        <v>401.479999999999</v>
      </c>
      <c r="AP95" s="70">
        <v>3711.9299999999898</v>
      </c>
      <c r="AQ95" s="66"/>
      <c r="AR95" s="70" t="s">
        <v>780</v>
      </c>
      <c r="AS95" s="66"/>
      <c r="AT95" s="108">
        <v>20050.68</v>
      </c>
      <c r="AU95" s="109">
        <v>24610.710000000003</v>
      </c>
      <c r="AV95" s="109">
        <v>4642.8600000000006</v>
      </c>
      <c r="AW95" s="109">
        <v>29720.359999999997</v>
      </c>
      <c r="AX95" s="110">
        <v>32101.579999999994</v>
      </c>
      <c r="AY95" s="110">
        <v>24109.77</v>
      </c>
    </row>
    <row r="96" spans="1:51" x14ac:dyDescent="0.25">
      <c r="A96" s="8" t="s">
        <v>175</v>
      </c>
      <c r="B96" s="5" t="s">
        <v>176</v>
      </c>
      <c r="C96" s="2">
        <v>6.7399999999999984</v>
      </c>
      <c r="D96" s="24">
        <v>200</v>
      </c>
      <c r="E96" s="26">
        <f t="shared" si="30"/>
        <v>100</v>
      </c>
      <c r="F96" s="26">
        <v>787</v>
      </c>
      <c r="G96" s="30">
        <f t="shared" si="31"/>
        <v>0.12706480304955528</v>
      </c>
      <c r="H96" s="11"/>
      <c r="I96" s="9">
        <v>267</v>
      </c>
      <c r="J96" s="3">
        <v>60</v>
      </c>
      <c r="K96" s="3">
        <v>0</v>
      </c>
      <c r="L96" s="3">
        <v>0</v>
      </c>
      <c r="M96" s="6"/>
      <c r="N96" s="6">
        <v>0</v>
      </c>
      <c r="O96" s="13"/>
      <c r="P96" s="60">
        <f t="shared" si="44"/>
        <v>1799.5799999999995</v>
      </c>
      <c r="Q96" s="61">
        <f t="shared" si="45"/>
        <v>404.39999999999992</v>
      </c>
      <c r="R96" s="61">
        <f t="shared" si="46"/>
        <v>0</v>
      </c>
      <c r="S96" s="62">
        <f t="shared" si="47"/>
        <v>0</v>
      </c>
      <c r="T96" s="63">
        <f t="shared" si="48"/>
        <v>0</v>
      </c>
      <c r="U96" s="63">
        <f t="shared" si="32"/>
        <v>0</v>
      </c>
      <c r="V96" s="64"/>
      <c r="W96" s="60">
        <v>67</v>
      </c>
      <c r="X96" s="61">
        <v>103</v>
      </c>
      <c r="Y96" s="61">
        <v>100</v>
      </c>
      <c r="Z96" s="61">
        <v>178</v>
      </c>
      <c r="AA96" s="65">
        <v>148</v>
      </c>
      <c r="AB96" s="65">
        <v>178</v>
      </c>
      <c r="AC96" s="66"/>
      <c r="AD96" s="67">
        <f t="shared" si="33"/>
        <v>8.5133418043202028E-2</v>
      </c>
      <c r="AE96" s="67">
        <f t="shared" si="34"/>
        <v>0.13087674714104194</v>
      </c>
      <c r="AF96" s="67">
        <f t="shared" si="35"/>
        <v>0.12706480304955528</v>
      </c>
      <c r="AG96" s="67">
        <f t="shared" si="36"/>
        <v>0.22617534942820838</v>
      </c>
      <c r="AH96" s="67">
        <f t="shared" si="37"/>
        <v>0.18805590851334181</v>
      </c>
      <c r="AI96" s="67">
        <f t="shared" si="38"/>
        <v>0.22617534942820838</v>
      </c>
      <c r="AJ96" s="66"/>
      <c r="AK96" s="68">
        <v>236.7</v>
      </c>
      <c r="AL96" s="69">
        <v>293.74999999999977</v>
      </c>
      <c r="AM96" s="69">
        <v>293.74999999999977</v>
      </c>
      <c r="AN96" s="69">
        <v>255.02999999999997</v>
      </c>
      <c r="AO96" s="70">
        <v>948.99</v>
      </c>
      <c r="AP96" s="70">
        <v>1092.9000000000001</v>
      </c>
      <c r="AQ96" s="66"/>
      <c r="AR96" s="70" t="s">
        <v>779</v>
      </c>
      <c r="AS96" s="66"/>
      <c r="AT96" s="108">
        <v>3575.13</v>
      </c>
      <c r="AU96" s="109">
        <v>805.2</v>
      </c>
      <c r="AV96" s="109">
        <v>0</v>
      </c>
      <c r="AW96" s="109">
        <v>0</v>
      </c>
      <c r="AX96" s="110">
        <v>0</v>
      </c>
      <c r="AY96" s="110">
        <v>0</v>
      </c>
    </row>
    <row r="97" spans="1:51" x14ac:dyDescent="0.25">
      <c r="A97" s="8">
        <v>5197</v>
      </c>
      <c r="B97" s="5" t="s">
        <v>329</v>
      </c>
      <c r="C97" s="2">
        <v>6.6900000000000048</v>
      </c>
      <c r="D97" s="24">
        <v>50</v>
      </c>
      <c r="E97" s="26">
        <f t="shared" si="30"/>
        <v>25</v>
      </c>
      <c r="F97" s="26">
        <v>11</v>
      </c>
      <c r="G97" s="30">
        <f t="shared" si="31"/>
        <v>2.2727272727272729</v>
      </c>
      <c r="H97" s="11"/>
      <c r="I97" s="9">
        <v>0</v>
      </c>
      <c r="J97" s="3">
        <v>80</v>
      </c>
      <c r="K97" s="3">
        <v>0</v>
      </c>
      <c r="L97" s="3">
        <v>0</v>
      </c>
      <c r="M97" s="6"/>
      <c r="N97" s="6">
        <v>0</v>
      </c>
      <c r="O97" s="13"/>
      <c r="P97" s="60">
        <f t="shared" si="44"/>
        <v>0</v>
      </c>
      <c r="Q97" s="61">
        <f t="shared" si="45"/>
        <v>535.20000000000039</v>
      </c>
      <c r="R97" s="61">
        <f t="shared" si="46"/>
        <v>0</v>
      </c>
      <c r="S97" s="62">
        <f t="shared" si="47"/>
        <v>0</v>
      </c>
      <c r="T97" s="63">
        <f t="shared" si="48"/>
        <v>0</v>
      </c>
      <c r="U97" s="63">
        <f t="shared" si="32"/>
        <v>0</v>
      </c>
      <c r="V97" s="64"/>
      <c r="W97" s="60">
        <v>4</v>
      </c>
      <c r="X97" s="61">
        <v>8</v>
      </c>
      <c r="Y97" s="61">
        <v>6</v>
      </c>
      <c r="Z97" s="61">
        <v>5</v>
      </c>
      <c r="AA97" s="65">
        <v>9</v>
      </c>
      <c r="AB97" s="65">
        <v>22</v>
      </c>
      <c r="AC97" s="66"/>
      <c r="AD97" s="67">
        <f t="shared" si="33"/>
        <v>0.36363636363636365</v>
      </c>
      <c r="AE97" s="67">
        <f t="shared" si="34"/>
        <v>0.72727272727272729</v>
      </c>
      <c r="AF97" s="67">
        <f t="shared" si="35"/>
        <v>0.54545454545454541</v>
      </c>
      <c r="AG97" s="67">
        <f t="shared" si="36"/>
        <v>0.45454545454545453</v>
      </c>
      <c r="AH97" s="67">
        <f t="shared" si="37"/>
        <v>0.81818181818181823</v>
      </c>
      <c r="AI97" s="67">
        <f t="shared" si="38"/>
        <v>2</v>
      </c>
      <c r="AJ97" s="66"/>
      <c r="AK97" s="68">
        <v>32.72</v>
      </c>
      <c r="AL97" s="69">
        <v>70.03</v>
      </c>
      <c r="AM97" s="69">
        <v>70.03</v>
      </c>
      <c r="AN97" s="69">
        <v>51.320000000000007</v>
      </c>
      <c r="AO97" s="70">
        <v>37.4</v>
      </c>
      <c r="AP97" s="70">
        <v>105.19</v>
      </c>
      <c r="AQ97" s="66"/>
      <c r="AR97" s="70" t="s">
        <v>779</v>
      </c>
      <c r="AS97" s="66"/>
      <c r="AT97" s="108">
        <v>0</v>
      </c>
      <c r="AU97" s="109">
        <v>2488.6999999999998</v>
      </c>
      <c r="AV97" s="109">
        <v>0</v>
      </c>
      <c r="AW97" s="109">
        <v>0</v>
      </c>
      <c r="AX97" s="110">
        <v>0</v>
      </c>
      <c r="AY97" s="110">
        <v>0</v>
      </c>
    </row>
    <row r="98" spans="1:51" x14ac:dyDescent="0.25">
      <c r="A98" s="8">
        <v>5200</v>
      </c>
      <c r="B98" s="5" t="s">
        <v>15</v>
      </c>
      <c r="C98" s="2">
        <v>6.6400000000000006</v>
      </c>
      <c r="D98" s="24">
        <v>300</v>
      </c>
      <c r="E98" s="26">
        <f t="shared" si="30"/>
        <v>150</v>
      </c>
      <c r="F98" s="26">
        <v>412</v>
      </c>
      <c r="G98" s="30">
        <f t="shared" si="31"/>
        <v>0.36407766990291263</v>
      </c>
      <c r="H98" s="11"/>
      <c r="I98" s="9">
        <v>250</v>
      </c>
      <c r="J98" s="3">
        <v>0</v>
      </c>
      <c r="K98" s="3">
        <v>150</v>
      </c>
      <c r="L98" s="3">
        <v>599</v>
      </c>
      <c r="M98" s="6">
        <v>200</v>
      </c>
      <c r="N98" s="6">
        <v>150</v>
      </c>
      <c r="O98" s="13"/>
      <c r="P98" s="60">
        <f t="shared" si="44"/>
        <v>1660.0000000000002</v>
      </c>
      <c r="Q98" s="61">
        <f t="shared" si="45"/>
        <v>0</v>
      </c>
      <c r="R98" s="61">
        <f t="shared" si="46"/>
        <v>996.00000000000011</v>
      </c>
      <c r="S98" s="62">
        <f t="shared" si="47"/>
        <v>3977.36</v>
      </c>
      <c r="T98" s="63">
        <f t="shared" si="48"/>
        <v>1328</v>
      </c>
      <c r="U98" s="63">
        <f t="shared" si="32"/>
        <v>996.00000000000011</v>
      </c>
      <c r="V98" s="64"/>
      <c r="W98" s="60">
        <v>149</v>
      </c>
      <c r="X98" s="61">
        <v>245</v>
      </c>
      <c r="Y98" s="61">
        <v>202</v>
      </c>
      <c r="Z98" s="61">
        <v>121</v>
      </c>
      <c r="AA98" s="65">
        <v>181</v>
      </c>
      <c r="AB98" s="65">
        <v>181</v>
      </c>
      <c r="AC98" s="66"/>
      <c r="AD98" s="67">
        <f t="shared" si="33"/>
        <v>0.36165048543689321</v>
      </c>
      <c r="AE98" s="67">
        <f t="shared" si="34"/>
        <v>0.59466019417475724</v>
      </c>
      <c r="AF98" s="67">
        <f t="shared" si="35"/>
        <v>0.49029126213592233</v>
      </c>
      <c r="AG98" s="67">
        <f t="shared" si="36"/>
        <v>0.2936893203883495</v>
      </c>
      <c r="AH98" s="67">
        <f t="shared" si="37"/>
        <v>0.43932038834951459</v>
      </c>
      <c r="AI98" s="67">
        <f t="shared" si="38"/>
        <v>0.43932038834951459</v>
      </c>
      <c r="AJ98" s="66"/>
      <c r="AK98" s="68">
        <v>561.87999999999988</v>
      </c>
      <c r="AL98" s="69">
        <v>959.38999999999965</v>
      </c>
      <c r="AM98" s="69">
        <v>959.38999999999942</v>
      </c>
      <c r="AN98" s="69">
        <v>666.62999999999954</v>
      </c>
      <c r="AO98" s="70">
        <v>339.30999999999898</v>
      </c>
      <c r="AP98" s="70">
        <v>863.50999999999897</v>
      </c>
      <c r="AQ98" s="66"/>
      <c r="AR98" s="70" t="s">
        <v>779</v>
      </c>
      <c r="AS98" s="66"/>
      <c r="AT98" s="108">
        <v>640</v>
      </c>
      <c r="AU98" s="109">
        <v>0</v>
      </c>
      <c r="AV98" s="109">
        <v>400.5</v>
      </c>
      <c r="AW98" s="109">
        <v>1658.88</v>
      </c>
      <c r="AX98" s="110">
        <v>516</v>
      </c>
      <c r="AY98" s="110">
        <v>394.5</v>
      </c>
    </row>
    <row r="99" spans="1:51" x14ac:dyDescent="0.25">
      <c r="A99" s="8" t="s">
        <v>57</v>
      </c>
      <c r="B99" s="5" t="s">
        <v>58</v>
      </c>
      <c r="C99" s="2">
        <v>6.3800000000000008</v>
      </c>
      <c r="D99" s="24">
        <v>800</v>
      </c>
      <c r="E99" s="26">
        <f t="shared" si="30"/>
        <v>400</v>
      </c>
      <c r="F99" s="26">
        <v>372</v>
      </c>
      <c r="G99" s="30">
        <f t="shared" si="31"/>
        <v>1.075268817204301</v>
      </c>
      <c r="H99" s="11"/>
      <c r="I99" s="9">
        <v>50</v>
      </c>
      <c r="J99" s="3">
        <v>321</v>
      </c>
      <c r="K99" s="3">
        <v>340</v>
      </c>
      <c r="L99" s="3">
        <v>710</v>
      </c>
      <c r="M99" s="6">
        <v>626</v>
      </c>
      <c r="N99" s="6">
        <v>230</v>
      </c>
      <c r="O99" s="13"/>
      <c r="P99" s="60">
        <f t="shared" si="44"/>
        <v>319.00000000000006</v>
      </c>
      <c r="Q99" s="61">
        <f t="shared" si="45"/>
        <v>2047.9800000000002</v>
      </c>
      <c r="R99" s="61">
        <f t="shared" si="46"/>
        <v>2169.2000000000003</v>
      </c>
      <c r="S99" s="62">
        <f t="shared" si="47"/>
        <v>4529.8</v>
      </c>
      <c r="T99" s="63">
        <f t="shared" si="48"/>
        <v>3993.8800000000006</v>
      </c>
      <c r="U99" s="63">
        <f t="shared" si="32"/>
        <v>1467.4</v>
      </c>
      <c r="V99" s="64"/>
      <c r="W99" s="60">
        <v>288</v>
      </c>
      <c r="X99" s="61">
        <v>78</v>
      </c>
      <c r="Y99" s="61">
        <v>41</v>
      </c>
      <c r="Z99" s="61">
        <v>161</v>
      </c>
      <c r="AA99" s="65">
        <v>236</v>
      </c>
      <c r="AB99" s="65">
        <v>219</v>
      </c>
      <c r="AC99" s="66"/>
      <c r="AD99" s="67">
        <f t="shared" si="33"/>
        <v>0.77419354838709675</v>
      </c>
      <c r="AE99" s="67">
        <f t="shared" si="34"/>
        <v>0.20967741935483872</v>
      </c>
      <c r="AF99" s="67">
        <f t="shared" si="35"/>
        <v>0.11021505376344086</v>
      </c>
      <c r="AG99" s="67">
        <f t="shared" si="36"/>
        <v>0.43279569892473119</v>
      </c>
      <c r="AH99" s="67">
        <f t="shared" si="37"/>
        <v>0.63440860215053763</v>
      </c>
      <c r="AI99" s="67">
        <f t="shared" si="38"/>
        <v>0.58870967741935487</v>
      </c>
      <c r="AJ99" s="66"/>
      <c r="AK99" s="68">
        <v>935.90000000000009</v>
      </c>
      <c r="AL99" s="69">
        <v>200.4899999999999</v>
      </c>
      <c r="AM99" s="69">
        <v>200.4899999999999</v>
      </c>
      <c r="AN99" s="69">
        <v>98.57</v>
      </c>
      <c r="AO99" s="70">
        <v>2159.9699999999998</v>
      </c>
      <c r="AP99" s="70">
        <v>1481.19</v>
      </c>
      <c r="AQ99" s="66"/>
      <c r="AR99" s="70" t="s">
        <v>779</v>
      </c>
      <c r="AS99" s="66"/>
      <c r="AT99" s="108">
        <v>265.5</v>
      </c>
      <c r="AU99" s="109">
        <v>1714.06</v>
      </c>
      <c r="AV99" s="109">
        <v>1812.9</v>
      </c>
      <c r="AW99" s="109">
        <v>3689.1000000000004</v>
      </c>
      <c r="AX99" s="110">
        <v>3318.0600000000004</v>
      </c>
      <c r="AY99" s="110">
        <v>1209.7</v>
      </c>
    </row>
    <row r="100" spans="1:51" x14ac:dyDescent="0.25">
      <c r="A100" s="8" t="s">
        <v>554</v>
      </c>
      <c r="B100" s="5" t="s">
        <v>555</v>
      </c>
      <c r="C100" s="2">
        <v>6.3700000000000045</v>
      </c>
      <c r="D100" s="24">
        <v>2000</v>
      </c>
      <c r="E100" s="26">
        <f t="shared" si="30"/>
        <v>1000</v>
      </c>
      <c r="F100" s="26">
        <v>203101</v>
      </c>
      <c r="G100" s="30">
        <f t="shared" si="31"/>
        <v>4.9236586722862024E-3</v>
      </c>
      <c r="H100" s="11"/>
      <c r="I100" s="9">
        <v>205</v>
      </c>
      <c r="J100" s="3">
        <v>535</v>
      </c>
      <c r="K100" s="3">
        <v>660</v>
      </c>
      <c r="L100" s="3">
        <v>491</v>
      </c>
      <c r="M100" s="6">
        <v>270</v>
      </c>
      <c r="N100" s="6">
        <v>840</v>
      </c>
      <c r="O100" s="13"/>
      <c r="P100" s="60">
        <f t="shared" si="44"/>
        <v>1305.8500000000008</v>
      </c>
      <c r="Q100" s="61">
        <f t="shared" si="45"/>
        <v>3407.9500000000025</v>
      </c>
      <c r="R100" s="61">
        <f t="shared" si="46"/>
        <v>4204.2000000000025</v>
      </c>
      <c r="S100" s="62">
        <f t="shared" si="47"/>
        <v>3127.6700000000023</v>
      </c>
      <c r="T100" s="63">
        <f t="shared" si="48"/>
        <v>1719.9000000000012</v>
      </c>
      <c r="U100" s="63">
        <f t="shared" si="32"/>
        <v>5350.8000000000038</v>
      </c>
      <c r="V100" s="64"/>
      <c r="W100" s="60">
        <v>569</v>
      </c>
      <c r="X100" s="61">
        <v>807</v>
      </c>
      <c r="Y100" s="61">
        <v>978</v>
      </c>
      <c r="Z100" s="61">
        <v>1027</v>
      </c>
      <c r="AA100" s="65">
        <v>1237</v>
      </c>
      <c r="AB100" s="65">
        <v>1116</v>
      </c>
      <c r="AC100" s="66"/>
      <c r="AD100" s="67">
        <f t="shared" si="33"/>
        <v>2.8015617845308493E-3</v>
      </c>
      <c r="AE100" s="67">
        <f t="shared" si="34"/>
        <v>3.9733925485349658E-3</v>
      </c>
      <c r="AF100" s="67">
        <f t="shared" si="35"/>
        <v>4.8153381814959057E-3</v>
      </c>
      <c r="AG100" s="67">
        <f t="shared" si="36"/>
        <v>5.0565974564379295E-3</v>
      </c>
      <c r="AH100" s="67">
        <f t="shared" si="37"/>
        <v>6.0905657776180325E-3</v>
      </c>
      <c r="AI100" s="67">
        <f t="shared" si="38"/>
        <v>5.4948030782714019E-3</v>
      </c>
      <c r="AJ100" s="66"/>
      <c r="AK100" s="68">
        <v>812.62</v>
      </c>
      <c r="AL100" s="69">
        <v>2209.9199999999973</v>
      </c>
      <c r="AM100" s="69">
        <v>2209.9199999999973</v>
      </c>
      <c r="AN100" s="69">
        <v>2514.3799999999928</v>
      </c>
      <c r="AO100" s="70">
        <v>1601.52999999999</v>
      </c>
      <c r="AP100" s="70">
        <v>4178.68</v>
      </c>
      <c r="AQ100" s="66"/>
      <c r="AR100" s="70" t="s">
        <v>780</v>
      </c>
      <c r="AS100" s="66"/>
      <c r="AT100" s="108">
        <v>20317.55</v>
      </c>
      <c r="AU100" s="109">
        <v>52893.61</v>
      </c>
      <c r="AV100" s="109">
        <v>64874.43</v>
      </c>
      <c r="AW100" s="109">
        <v>47530.9</v>
      </c>
      <c r="AX100" s="110">
        <v>25690.5</v>
      </c>
      <c r="AY100" s="110">
        <v>22939.65</v>
      </c>
    </row>
    <row r="101" spans="1:51" x14ac:dyDescent="0.25">
      <c r="A101" s="8" t="s">
        <v>66</v>
      </c>
      <c r="B101" s="5" t="s">
        <v>67</v>
      </c>
      <c r="C101" s="2">
        <v>6.0699999999999994</v>
      </c>
      <c r="D101" s="24">
        <v>500</v>
      </c>
      <c r="E101" s="26">
        <f t="shared" si="30"/>
        <v>250</v>
      </c>
      <c r="F101" s="26">
        <v>259</v>
      </c>
      <c r="G101" s="30">
        <f t="shared" si="31"/>
        <v>0.96525096525096521</v>
      </c>
      <c r="H101" s="11"/>
      <c r="I101" s="9">
        <v>349</v>
      </c>
      <c r="J101" s="3">
        <v>80</v>
      </c>
      <c r="K101" s="3">
        <v>0</v>
      </c>
      <c r="L101" s="3">
        <v>0</v>
      </c>
      <c r="M101" s="6"/>
      <c r="N101" s="6">
        <v>0</v>
      </c>
      <c r="O101" s="13"/>
      <c r="P101" s="60">
        <f t="shared" si="44"/>
        <v>2118.4299999999998</v>
      </c>
      <c r="Q101" s="61">
        <f t="shared" si="45"/>
        <v>485.59999999999997</v>
      </c>
      <c r="R101" s="61">
        <f t="shared" si="46"/>
        <v>0</v>
      </c>
      <c r="S101" s="62">
        <f t="shared" si="47"/>
        <v>0</v>
      </c>
      <c r="T101" s="63">
        <f t="shared" si="48"/>
        <v>0</v>
      </c>
      <c r="U101" s="63">
        <f t="shared" si="32"/>
        <v>0</v>
      </c>
      <c r="V101" s="64"/>
      <c r="W101" s="60">
        <v>108</v>
      </c>
      <c r="X101" s="61">
        <v>164</v>
      </c>
      <c r="Y101" s="61">
        <v>129</v>
      </c>
      <c r="Z101" s="61">
        <v>122</v>
      </c>
      <c r="AA101" s="65">
        <v>231</v>
      </c>
      <c r="AB101" s="65">
        <v>106</v>
      </c>
      <c r="AC101" s="66"/>
      <c r="AD101" s="67">
        <f t="shared" si="33"/>
        <v>0.41698841698841699</v>
      </c>
      <c r="AE101" s="67">
        <f t="shared" si="34"/>
        <v>0.63320463320463316</v>
      </c>
      <c r="AF101" s="67">
        <f t="shared" si="35"/>
        <v>0.49806949806949807</v>
      </c>
      <c r="AG101" s="67">
        <f t="shared" si="36"/>
        <v>0.47104247104247104</v>
      </c>
      <c r="AH101" s="67">
        <f t="shared" si="37"/>
        <v>0.89189189189189189</v>
      </c>
      <c r="AI101" s="67">
        <f t="shared" si="38"/>
        <v>0.40926640926640928</v>
      </c>
      <c r="AJ101" s="66"/>
      <c r="AK101" s="68">
        <v>451.21</v>
      </c>
      <c r="AL101" s="69">
        <v>1083.5999999999979</v>
      </c>
      <c r="AM101" s="69">
        <v>1083.5999999999976</v>
      </c>
      <c r="AN101" s="69">
        <v>784.44999999999959</v>
      </c>
      <c r="AO101" s="70">
        <v>797.62</v>
      </c>
      <c r="AP101" s="70">
        <v>677.88</v>
      </c>
      <c r="AQ101" s="66"/>
      <c r="AR101" s="70" t="s">
        <v>779</v>
      </c>
      <c r="AS101" s="66"/>
      <c r="AT101" s="108">
        <v>1959.5299999999997</v>
      </c>
      <c r="AU101" s="109">
        <v>428.8</v>
      </c>
      <c r="AV101" s="109">
        <v>0</v>
      </c>
      <c r="AW101" s="109">
        <v>0</v>
      </c>
      <c r="AX101" s="110">
        <v>0</v>
      </c>
      <c r="AY101" s="110">
        <v>0</v>
      </c>
    </row>
    <row r="102" spans="1:51" x14ac:dyDescent="0.25">
      <c r="A102" s="8" t="s">
        <v>243</v>
      </c>
      <c r="B102" s="5" t="s">
        <v>244</v>
      </c>
      <c r="C102" s="2">
        <v>6.0200000000000031</v>
      </c>
      <c r="D102" s="24">
        <v>1500</v>
      </c>
      <c r="E102" s="26">
        <f t="shared" si="30"/>
        <v>750</v>
      </c>
      <c r="F102" s="26">
        <v>772</v>
      </c>
      <c r="G102" s="30">
        <f t="shared" si="31"/>
        <v>0.97150259067357514</v>
      </c>
      <c r="H102" s="11"/>
      <c r="I102" s="9">
        <v>395</v>
      </c>
      <c r="J102" s="3">
        <v>313</v>
      </c>
      <c r="K102" s="3">
        <v>0</v>
      </c>
      <c r="L102" s="3">
        <v>1594</v>
      </c>
      <c r="M102" s="6">
        <v>1107</v>
      </c>
      <c r="N102" s="6">
        <v>2689</v>
      </c>
      <c r="O102" s="13"/>
      <c r="P102" s="60">
        <f t="shared" si="44"/>
        <v>2377.9000000000015</v>
      </c>
      <c r="Q102" s="61">
        <f t="shared" si="45"/>
        <v>1884.2600000000009</v>
      </c>
      <c r="R102" s="61">
        <f t="shared" si="46"/>
        <v>0</v>
      </c>
      <c r="S102" s="62">
        <f t="shared" si="47"/>
        <v>9595.8800000000047</v>
      </c>
      <c r="T102" s="63">
        <f t="shared" si="48"/>
        <v>6664.1400000000031</v>
      </c>
      <c r="U102" s="63">
        <f t="shared" si="32"/>
        <v>16187.780000000008</v>
      </c>
      <c r="V102" s="64"/>
      <c r="W102" s="60">
        <v>1516</v>
      </c>
      <c r="X102" s="61">
        <v>877</v>
      </c>
      <c r="Y102" s="61">
        <v>1064</v>
      </c>
      <c r="Z102" s="61">
        <v>1040</v>
      </c>
      <c r="AA102" s="65">
        <v>1208</v>
      </c>
      <c r="AB102" s="65">
        <v>1720</v>
      </c>
      <c r="AC102" s="66"/>
      <c r="AD102" s="67">
        <f t="shared" si="33"/>
        <v>1.9637305699481866</v>
      </c>
      <c r="AE102" s="67">
        <f t="shared" si="34"/>
        <v>1.1360103626943006</v>
      </c>
      <c r="AF102" s="67">
        <f t="shared" si="35"/>
        <v>1.3782383419689119</v>
      </c>
      <c r="AG102" s="67">
        <f t="shared" si="36"/>
        <v>1.3471502590673574</v>
      </c>
      <c r="AH102" s="67">
        <f t="shared" si="37"/>
        <v>1.5647668393782384</v>
      </c>
      <c r="AI102" s="67">
        <f t="shared" si="38"/>
        <v>2.2279792746113989</v>
      </c>
      <c r="AJ102" s="66"/>
      <c r="AK102" s="68">
        <v>3327.3200000000011</v>
      </c>
      <c r="AL102" s="69">
        <v>2050.1899999999964</v>
      </c>
      <c r="AM102" s="69">
        <v>2050.1899999999964</v>
      </c>
      <c r="AN102" s="69">
        <v>1101.8599999999988</v>
      </c>
      <c r="AO102" s="70">
        <v>628.80999999999801</v>
      </c>
      <c r="AP102" s="70">
        <v>9028.5899999999892</v>
      </c>
      <c r="AQ102" s="66"/>
      <c r="AR102" s="70" t="s">
        <v>779</v>
      </c>
      <c r="AS102" s="66"/>
      <c r="AT102" s="108">
        <v>8795.4</v>
      </c>
      <c r="AU102" s="109">
        <v>6993.66</v>
      </c>
      <c r="AV102" s="109">
        <v>0</v>
      </c>
      <c r="AW102" s="109">
        <v>28915.159999999996</v>
      </c>
      <c r="AX102" s="110">
        <v>19964.98</v>
      </c>
      <c r="AY102" s="110">
        <v>48305.149999999994</v>
      </c>
    </row>
    <row r="103" spans="1:51" x14ac:dyDescent="0.25">
      <c r="A103" s="8" t="s">
        <v>152</v>
      </c>
      <c r="B103" s="5" t="s">
        <v>153</v>
      </c>
      <c r="C103" s="2">
        <v>5.98</v>
      </c>
      <c r="D103" s="24">
        <v>43.6</v>
      </c>
      <c r="E103" s="26">
        <f t="shared" si="30"/>
        <v>21.8</v>
      </c>
      <c r="F103" s="26">
        <v>32</v>
      </c>
      <c r="G103" s="30">
        <f t="shared" si="31"/>
        <v>0.68125000000000002</v>
      </c>
      <c r="H103" s="11"/>
      <c r="I103" s="9">
        <v>0</v>
      </c>
      <c r="J103" s="3">
        <v>50</v>
      </c>
      <c r="K103" s="3">
        <v>0</v>
      </c>
      <c r="L103" s="3">
        <v>0</v>
      </c>
      <c r="M103" s="6"/>
      <c r="N103" s="6">
        <v>100</v>
      </c>
      <c r="O103" s="13"/>
      <c r="P103" s="60">
        <f t="shared" si="44"/>
        <v>0</v>
      </c>
      <c r="Q103" s="61">
        <f t="shared" si="45"/>
        <v>299</v>
      </c>
      <c r="R103" s="61">
        <f t="shared" si="46"/>
        <v>0</v>
      </c>
      <c r="S103" s="62">
        <f t="shared" si="47"/>
        <v>0</v>
      </c>
      <c r="T103" s="63">
        <f t="shared" si="48"/>
        <v>0</v>
      </c>
      <c r="U103" s="63">
        <f t="shared" si="32"/>
        <v>598</v>
      </c>
      <c r="V103" s="64"/>
      <c r="W103" s="60">
        <v>60</v>
      </c>
      <c r="X103" s="61">
        <v>0</v>
      </c>
      <c r="Y103" s="61">
        <v>0</v>
      </c>
      <c r="Z103" s="61">
        <v>22</v>
      </c>
      <c r="AA103" s="65">
        <v>27</v>
      </c>
      <c r="AB103" s="65">
        <v>0</v>
      </c>
      <c r="AC103" s="66"/>
      <c r="AD103" s="67">
        <f t="shared" si="33"/>
        <v>1.875</v>
      </c>
      <c r="AE103" s="67">
        <f t="shared" si="34"/>
        <v>0</v>
      </c>
      <c r="AF103" s="67">
        <f t="shared" si="35"/>
        <v>0</v>
      </c>
      <c r="AG103" s="67">
        <f t="shared" si="36"/>
        <v>0.6875</v>
      </c>
      <c r="AH103" s="67">
        <f t="shared" si="37"/>
        <v>0.84375</v>
      </c>
      <c r="AI103" s="67">
        <f t="shared" si="38"/>
        <v>0</v>
      </c>
      <c r="AJ103" s="66"/>
      <c r="AK103" s="68">
        <v>229.88</v>
      </c>
      <c r="AL103" s="69">
        <v>0</v>
      </c>
      <c r="AM103" s="69">
        <v>0</v>
      </c>
      <c r="AN103" s="69">
        <v>131.56</v>
      </c>
      <c r="AO103" s="70">
        <v>179.849999999999</v>
      </c>
      <c r="AP103" s="70">
        <v>0</v>
      </c>
      <c r="AQ103" s="66"/>
      <c r="AR103" s="70" t="s">
        <v>779</v>
      </c>
      <c r="AS103" s="66"/>
      <c r="AT103" s="108">
        <v>0</v>
      </c>
      <c r="AU103" s="109">
        <v>572.5</v>
      </c>
      <c r="AV103" s="109">
        <v>0</v>
      </c>
      <c r="AW103" s="109">
        <v>0</v>
      </c>
      <c r="AX103" s="110">
        <v>0</v>
      </c>
      <c r="AY103" s="110">
        <v>1130</v>
      </c>
    </row>
    <row r="104" spans="1:51" x14ac:dyDescent="0.25">
      <c r="A104" s="8" t="s">
        <v>300</v>
      </c>
      <c r="B104" s="5" t="s">
        <v>301</v>
      </c>
      <c r="C104" s="2">
        <v>5.9400000000000013</v>
      </c>
      <c r="D104" s="24">
        <v>1000</v>
      </c>
      <c r="E104" s="26">
        <f t="shared" si="30"/>
        <v>500</v>
      </c>
      <c r="F104" s="26">
        <v>617</v>
      </c>
      <c r="G104" s="30">
        <f t="shared" si="31"/>
        <v>0.81037277147487841</v>
      </c>
      <c r="H104" s="11"/>
      <c r="I104" s="9">
        <v>429</v>
      </c>
      <c r="J104" s="3">
        <v>78</v>
      </c>
      <c r="K104" s="3">
        <v>120</v>
      </c>
      <c r="L104" s="3">
        <v>383</v>
      </c>
      <c r="M104" s="6"/>
      <c r="N104" s="6">
        <v>221</v>
      </c>
      <c r="O104" s="13"/>
      <c r="P104" s="60">
        <f t="shared" si="44"/>
        <v>2548.2600000000007</v>
      </c>
      <c r="Q104" s="61">
        <f t="shared" si="45"/>
        <v>463.32000000000011</v>
      </c>
      <c r="R104" s="61">
        <f t="shared" si="46"/>
        <v>712.80000000000018</v>
      </c>
      <c r="S104" s="62">
        <f t="shared" si="47"/>
        <v>2275.0200000000004</v>
      </c>
      <c r="T104" s="63">
        <f t="shared" si="48"/>
        <v>0</v>
      </c>
      <c r="U104" s="63">
        <f t="shared" si="32"/>
        <v>1312.7400000000002</v>
      </c>
      <c r="V104" s="64"/>
      <c r="W104" s="60">
        <v>381</v>
      </c>
      <c r="X104" s="61">
        <v>661</v>
      </c>
      <c r="Y104" s="61">
        <v>193</v>
      </c>
      <c r="Z104" s="61">
        <v>362</v>
      </c>
      <c r="AA104" s="65">
        <v>426</v>
      </c>
      <c r="AB104" s="65">
        <v>526</v>
      </c>
      <c r="AC104" s="66"/>
      <c r="AD104" s="67">
        <f t="shared" si="33"/>
        <v>0.61750405186385737</v>
      </c>
      <c r="AE104" s="67">
        <f t="shared" si="34"/>
        <v>1.0713128038897892</v>
      </c>
      <c r="AF104" s="67">
        <f t="shared" si="35"/>
        <v>0.31280388978930307</v>
      </c>
      <c r="AG104" s="67">
        <f t="shared" si="36"/>
        <v>0.58670988654781198</v>
      </c>
      <c r="AH104" s="67">
        <f t="shared" si="37"/>
        <v>0.69043760129659648</v>
      </c>
      <c r="AI104" s="67">
        <f t="shared" si="38"/>
        <v>0.85251215559157212</v>
      </c>
      <c r="AJ104" s="66"/>
      <c r="AK104" s="68">
        <v>1011.56</v>
      </c>
      <c r="AL104" s="69">
        <v>1862.04</v>
      </c>
      <c r="AM104" s="69">
        <v>1862.04</v>
      </c>
      <c r="AN104" s="69">
        <v>578.07999999999981</v>
      </c>
      <c r="AO104" s="70">
        <v>720.45999999999901</v>
      </c>
      <c r="AP104" s="70">
        <v>1657.96</v>
      </c>
      <c r="AQ104" s="66"/>
      <c r="AR104" s="70" t="s">
        <v>779</v>
      </c>
      <c r="AS104" s="66"/>
      <c r="AT104" s="108">
        <v>10753.66</v>
      </c>
      <c r="AU104" s="109">
        <v>1880.58</v>
      </c>
      <c r="AV104" s="109">
        <v>2854.8</v>
      </c>
      <c r="AW104" s="109">
        <v>9802.74</v>
      </c>
      <c r="AX104" s="110">
        <v>0</v>
      </c>
      <c r="AY104" s="110">
        <v>5233.28</v>
      </c>
    </row>
    <row r="105" spans="1:51" x14ac:dyDescent="0.25">
      <c r="A105" s="8" t="s">
        <v>430</v>
      </c>
      <c r="B105" s="5" t="s">
        <v>431</v>
      </c>
      <c r="C105" s="2">
        <v>5.8800000000000026</v>
      </c>
      <c r="D105" s="24">
        <v>8000</v>
      </c>
      <c r="E105" s="26">
        <f t="shared" si="30"/>
        <v>4000</v>
      </c>
      <c r="F105" s="26">
        <v>27292</v>
      </c>
      <c r="G105" s="30">
        <f t="shared" si="31"/>
        <v>0.14656309541257512</v>
      </c>
      <c r="H105" s="11"/>
      <c r="I105" s="9">
        <v>0</v>
      </c>
      <c r="J105" s="3">
        <v>0</v>
      </c>
      <c r="K105" s="3">
        <v>0</v>
      </c>
      <c r="L105" s="3">
        <v>75</v>
      </c>
      <c r="M105" s="6">
        <v>140</v>
      </c>
      <c r="N105" s="6">
        <v>136</v>
      </c>
      <c r="O105" s="13"/>
      <c r="P105" s="60">
        <f t="shared" si="44"/>
        <v>0</v>
      </c>
      <c r="Q105" s="61">
        <f t="shared" si="45"/>
        <v>0</v>
      </c>
      <c r="R105" s="61">
        <f t="shared" si="46"/>
        <v>0</v>
      </c>
      <c r="S105" s="62">
        <f t="shared" si="47"/>
        <v>441.00000000000017</v>
      </c>
      <c r="T105" s="63">
        <f t="shared" si="48"/>
        <v>823.20000000000039</v>
      </c>
      <c r="U105" s="63">
        <f t="shared" si="32"/>
        <v>799.68000000000029</v>
      </c>
      <c r="V105" s="64"/>
      <c r="W105" s="60">
        <v>0</v>
      </c>
      <c r="X105" s="61">
        <v>371</v>
      </c>
      <c r="Y105" s="61">
        <v>229</v>
      </c>
      <c r="Z105" s="61">
        <v>0</v>
      </c>
      <c r="AA105" s="65">
        <v>132</v>
      </c>
      <c r="AB105" s="65">
        <v>79</v>
      </c>
      <c r="AC105" s="66"/>
      <c r="AD105" s="67">
        <f t="shared" si="33"/>
        <v>0</v>
      </c>
      <c r="AE105" s="67">
        <f t="shared" si="34"/>
        <v>1.3593727099516341E-2</v>
      </c>
      <c r="AF105" s="67">
        <f t="shared" si="35"/>
        <v>8.390737212369926E-3</v>
      </c>
      <c r="AG105" s="67">
        <f t="shared" si="36"/>
        <v>0</v>
      </c>
      <c r="AH105" s="67">
        <f t="shared" si="37"/>
        <v>4.8365821486149787E-3</v>
      </c>
      <c r="AI105" s="67">
        <f t="shared" si="38"/>
        <v>2.8946211343983583E-3</v>
      </c>
      <c r="AJ105" s="66"/>
      <c r="AK105" s="68">
        <v>0</v>
      </c>
      <c r="AL105" s="69">
        <v>801.88999999999987</v>
      </c>
      <c r="AM105" s="69">
        <v>801.8900000000001</v>
      </c>
      <c r="AN105" s="69">
        <v>469</v>
      </c>
      <c r="AO105" s="70">
        <v>776.16000000000031</v>
      </c>
      <c r="AP105" s="70">
        <v>309.039999999999</v>
      </c>
      <c r="AQ105" s="66"/>
      <c r="AR105" s="70" t="s">
        <v>779</v>
      </c>
      <c r="AS105" s="66"/>
      <c r="AT105" s="108">
        <v>0</v>
      </c>
      <c r="AU105" s="109">
        <v>0</v>
      </c>
      <c r="AV105" s="109">
        <v>0</v>
      </c>
      <c r="AW105" s="109">
        <v>3677.25</v>
      </c>
      <c r="AX105" s="110">
        <v>6739.7999999999993</v>
      </c>
      <c r="AY105" s="110">
        <v>6642.94</v>
      </c>
    </row>
    <row r="106" spans="1:51" x14ac:dyDescent="0.25">
      <c r="A106" s="8" t="s">
        <v>498</v>
      </c>
      <c r="B106" s="5" t="s">
        <v>499</v>
      </c>
      <c r="C106" s="2">
        <v>5.75</v>
      </c>
      <c r="D106" s="24">
        <v>4000</v>
      </c>
      <c r="E106" s="26">
        <f t="shared" si="30"/>
        <v>2000</v>
      </c>
      <c r="F106" s="26">
        <v>3355</v>
      </c>
      <c r="G106" s="30">
        <f t="shared" si="31"/>
        <v>0.5961251862891207</v>
      </c>
      <c r="H106" s="11"/>
      <c r="I106" s="9">
        <v>0</v>
      </c>
      <c r="J106" s="3">
        <v>0</v>
      </c>
      <c r="K106" s="3">
        <v>0</v>
      </c>
      <c r="L106" s="3">
        <v>0</v>
      </c>
      <c r="M106" s="6">
        <v>240</v>
      </c>
      <c r="N106" s="6">
        <v>2356</v>
      </c>
      <c r="O106" s="13"/>
      <c r="P106" s="60">
        <f t="shared" si="44"/>
        <v>0</v>
      </c>
      <c r="Q106" s="61">
        <f t="shared" si="45"/>
        <v>0</v>
      </c>
      <c r="R106" s="61">
        <f t="shared" si="46"/>
        <v>0</v>
      </c>
      <c r="S106" s="62">
        <f t="shared" si="47"/>
        <v>0</v>
      </c>
      <c r="T106" s="63">
        <f t="shared" si="48"/>
        <v>1380</v>
      </c>
      <c r="U106" s="63">
        <f t="shared" si="32"/>
        <v>13547</v>
      </c>
      <c r="V106" s="64"/>
      <c r="W106" s="60">
        <v>0</v>
      </c>
      <c r="X106" s="61">
        <v>0</v>
      </c>
      <c r="Y106" s="61">
        <v>0</v>
      </c>
      <c r="Z106" s="61">
        <v>0</v>
      </c>
      <c r="AA106" s="65">
        <v>390</v>
      </c>
      <c r="AB106" s="65">
        <v>145</v>
      </c>
      <c r="AC106" s="66"/>
      <c r="AD106" s="67">
        <f t="shared" si="33"/>
        <v>0</v>
      </c>
      <c r="AE106" s="67">
        <f t="shared" si="34"/>
        <v>0</v>
      </c>
      <c r="AF106" s="67">
        <f t="shared" si="35"/>
        <v>0</v>
      </c>
      <c r="AG106" s="67">
        <f t="shared" si="36"/>
        <v>0</v>
      </c>
      <c r="AH106" s="67">
        <f t="shared" si="37"/>
        <v>0.11624441132637854</v>
      </c>
      <c r="AI106" s="67">
        <f t="shared" si="38"/>
        <v>4.3219076005961254E-2</v>
      </c>
      <c r="AJ106" s="66"/>
      <c r="AK106" s="68">
        <v>0</v>
      </c>
      <c r="AL106" s="69">
        <v>0</v>
      </c>
      <c r="AM106" s="69">
        <v>0</v>
      </c>
      <c r="AN106" s="69">
        <v>0</v>
      </c>
      <c r="AO106" s="70">
        <v>2242.5</v>
      </c>
      <c r="AP106" s="70">
        <v>807.36999999999796</v>
      </c>
      <c r="AQ106" s="66"/>
      <c r="AR106" s="70" t="s">
        <v>780</v>
      </c>
      <c r="AS106" s="66"/>
      <c r="AT106" s="108">
        <v>0</v>
      </c>
      <c r="AU106" s="109">
        <v>0</v>
      </c>
      <c r="AV106" s="109">
        <v>0</v>
      </c>
      <c r="AW106" s="109">
        <v>0</v>
      </c>
      <c r="AX106" s="110">
        <v>16281.6</v>
      </c>
      <c r="AY106" s="110">
        <v>79642.52</v>
      </c>
    </row>
    <row r="107" spans="1:51" x14ac:dyDescent="0.25">
      <c r="A107" s="8" t="s">
        <v>808</v>
      </c>
      <c r="B107" s="5" t="s">
        <v>851</v>
      </c>
      <c r="C107" s="2">
        <v>5.7269047619047608</v>
      </c>
      <c r="D107" s="24">
        <v>600</v>
      </c>
      <c r="E107" s="26">
        <f t="shared" si="30"/>
        <v>300</v>
      </c>
      <c r="F107" s="26">
        <v>173</v>
      </c>
      <c r="G107" s="30">
        <f t="shared" si="31"/>
        <v>1.7341040462427746</v>
      </c>
      <c r="H107" s="11"/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6">
        <v>0</v>
      </c>
      <c r="O107" s="13"/>
      <c r="P107" s="60"/>
      <c r="Q107" s="61"/>
      <c r="R107" s="61"/>
      <c r="S107" s="62"/>
      <c r="T107" s="63"/>
      <c r="U107" s="63">
        <f t="shared" si="32"/>
        <v>0</v>
      </c>
      <c r="V107" s="64"/>
      <c r="W107" s="60"/>
      <c r="X107" s="61"/>
      <c r="Y107" s="61"/>
      <c r="Z107" s="61"/>
      <c r="AA107" s="65"/>
      <c r="AB107" s="65"/>
      <c r="AC107" s="66"/>
      <c r="AD107" s="67">
        <f t="shared" si="33"/>
        <v>0</v>
      </c>
      <c r="AE107" s="67">
        <f t="shared" si="34"/>
        <v>0</v>
      </c>
      <c r="AF107" s="67">
        <f t="shared" si="35"/>
        <v>0</v>
      </c>
      <c r="AG107" s="67">
        <f t="shared" si="36"/>
        <v>0</v>
      </c>
      <c r="AH107" s="67">
        <f t="shared" si="37"/>
        <v>0</v>
      </c>
      <c r="AI107" s="67">
        <f t="shared" si="38"/>
        <v>0</v>
      </c>
      <c r="AJ107" s="66"/>
      <c r="AK107" s="68"/>
      <c r="AL107" s="69"/>
      <c r="AM107" s="69"/>
      <c r="AN107" s="69"/>
      <c r="AO107" s="70"/>
      <c r="AP107" s="70"/>
      <c r="AQ107" s="66"/>
      <c r="AR107" s="70" t="s">
        <v>779</v>
      </c>
      <c r="AS107" s="66"/>
      <c r="AT107" s="108">
        <v>0</v>
      </c>
      <c r="AU107" s="109">
        <v>0</v>
      </c>
      <c r="AV107" s="109">
        <v>0</v>
      </c>
      <c r="AW107" s="109">
        <v>0</v>
      </c>
      <c r="AX107" s="110">
        <v>0</v>
      </c>
      <c r="AY107" s="110">
        <v>0</v>
      </c>
    </row>
    <row r="108" spans="1:51" x14ac:dyDescent="0.25">
      <c r="A108" s="8" t="s">
        <v>186</v>
      </c>
      <c r="B108" s="5" t="s">
        <v>187</v>
      </c>
      <c r="C108" s="2">
        <v>5.6999999999999993</v>
      </c>
      <c r="D108" s="24">
        <v>600</v>
      </c>
      <c r="E108" s="26">
        <f t="shared" si="30"/>
        <v>300</v>
      </c>
      <c r="F108" s="26">
        <v>779</v>
      </c>
      <c r="G108" s="30">
        <f t="shared" si="31"/>
        <v>0.38510911424903721</v>
      </c>
      <c r="H108" s="11"/>
      <c r="I108" s="9">
        <v>152</v>
      </c>
      <c r="J108" s="3">
        <v>556</v>
      </c>
      <c r="K108" s="3">
        <v>411</v>
      </c>
      <c r="L108" s="3">
        <v>0</v>
      </c>
      <c r="M108" s="6">
        <v>96</v>
      </c>
      <c r="N108" s="6">
        <v>314</v>
      </c>
      <c r="O108" s="13"/>
      <c r="P108" s="60">
        <f>+I108*C108</f>
        <v>866.39999999999986</v>
      </c>
      <c r="Q108" s="61">
        <f>+J108*C108</f>
        <v>3169.2</v>
      </c>
      <c r="R108" s="61">
        <f>+K108*C108</f>
        <v>2342.6999999999998</v>
      </c>
      <c r="S108" s="62">
        <f>+L108*C108</f>
        <v>0</v>
      </c>
      <c r="T108" s="63">
        <f>+M108*C108</f>
        <v>547.19999999999993</v>
      </c>
      <c r="U108" s="63">
        <f t="shared" si="32"/>
        <v>1789.7999999999997</v>
      </c>
      <c r="V108" s="64"/>
      <c r="W108" s="60">
        <v>133</v>
      </c>
      <c r="X108" s="61">
        <v>130</v>
      </c>
      <c r="Y108" s="61">
        <v>316</v>
      </c>
      <c r="Z108" s="61">
        <v>294</v>
      </c>
      <c r="AA108" s="65">
        <v>389</v>
      </c>
      <c r="AB108" s="65">
        <v>21</v>
      </c>
      <c r="AC108" s="66"/>
      <c r="AD108" s="67">
        <f t="shared" si="33"/>
        <v>0.17073170731707318</v>
      </c>
      <c r="AE108" s="67">
        <f t="shared" si="34"/>
        <v>0.1668806161745828</v>
      </c>
      <c r="AF108" s="67">
        <f t="shared" si="35"/>
        <v>0.40564826700898587</v>
      </c>
      <c r="AG108" s="67">
        <f t="shared" si="36"/>
        <v>0.3774069319640565</v>
      </c>
      <c r="AH108" s="67">
        <f t="shared" si="37"/>
        <v>0.49935815147625162</v>
      </c>
      <c r="AI108" s="67">
        <f t="shared" si="38"/>
        <v>2.6957637997432605E-2</v>
      </c>
      <c r="AJ108" s="66"/>
      <c r="AK108" s="68">
        <v>11.85</v>
      </c>
      <c r="AL108" s="69">
        <v>571.36999999999694</v>
      </c>
      <c r="AM108" s="69">
        <v>571.36999999999705</v>
      </c>
      <c r="AN108" s="69">
        <v>1531.3099999999972</v>
      </c>
      <c r="AO108" s="70">
        <v>1387.1799999999901</v>
      </c>
      <c r="AP108" s="70">
        <v>117.82</v>
      </c>
      <c r="AQ108" s="66"/>
      <c r="AR108" s="70" t="s">
        <v>779</v>
      </c>
      <c r="AS108" s="66"/>
      <c r="AT108" s="108">
        <v>2007.04</v>
      </c>
      <c r="AU108" s="109">
        <v>7404.7699999999995</v>
      </c>
      <c r="AV108" s="109">
        <v>5392.6699999999992</v>
      </c>
      <c r="AW108" s="109">
        <v>0</v>
      </c>
      <c r="AX108" s="110">
        <v>1269.1199999999999</v>
      </c>
      <c r="AY108" s="110">
        <v>4154.6099999999997</v>
      </c>
    </row>
    <row r="109" spans="1:51" x14ac:dyDescent="0.25">
      <c r="A109" s="8" t="s">
        <v>235</v>
      </c>
      <c r="B109" s="5" t="s">
        <v>236</v>
      </c>
      <c r="C109" s="2">
        <v>5.6700000000000017</v>
      </c>
      <c r="D109" s="24">
        <v>600</v>
      </c>
      <c r="E109" s="26">
        <f t="shared" si="30"/>
        <v>300</v>
      </c>
      <c r="F109" s="26">
        <v>627</v>
      </c>
      <c r="G109" s="30">
        <f t="shared" si="31"/>
        <v>0.4784688995215311</v>
      </c>
      <c r="H109" s="11"/>
      <c r="I109" s="9">
        <v>160</v>
      </c>
      <c r="J109" s="3">
        <v>0</v>
      </c>
      <c r="K109" s="3">
        <v>151</v>
      </c>
      <c r="L109" s="3">
        <v>78</v>
      </c>
      <c r="M109" s="6">
        <v>221</v>
      </c>
      <c r="N109" s="6">
        <v>130</v>
      </c>
      <c r="O109" s="13"/>
      <c r="P109" s="60">
        <f>+I109*C109</f>
        <v>907.20000000000027</v>
      </c>
      <c r="Q109" s="61">
        <f>+J109*C109</f>
        <v>0</v>
      </c>
      <c r="R109" s="61">
        <f>+K109*C109</f>
        <v>856.1700000000003</v>
      </c>
      <c r="S109" s="62">
        <f>+L109*C109</f>
        <v>442.2600000000001</v>
      </c>
      <c r="T109" s="63">
        <f>+M109*C109</f>
        <v>1253.0700000000004</v>
      </c>
      <c r="U109" s="63">
        <f t="shared" si="32"/>
        <v>737.10000000000025</v>
      </c>
      <c r="V109" s="64"/>
      <c r="W109" s="60">
        <v>0</v>
      </c>
      <c r="X109" s="61">
        <v>84</v>
      </c>
      <c r="Y109" s="61">
        <v>73</v>
      </c>
      <c r="Z109" s="61">
        <v>189</v>
      </c>
      <c r="AA109" s="65">
        <v>241</v>
      </c>
      <c r="AB109" s="65">
        <v>219</v>
      </c>
      <c r="AC109" s="66"/>
      <c r="AD109" s="67">
        <f t="shared" si="33"/>
        <v>0</v>
      </c>
      <c r="AE109" s="67">
        <f t="shared" si="34"/>
        <v>0.13397129186602871</v>
      </c>
      <c r="AF109" s="67">
        <f t="shared" si="35"/>
        <v>0.11642743221690591</v>
      </c>
      <c r="AG109" s="67">
        <f t="shared" si="36"/>
        <v>0.30143540669856461</v>
      </c>
      <c r="AH109" s="67">
        <f t="shared" si="37"/>
        <v>0.38437001594896331</v>
      </c>
      <c r="AI109" s="67">
        <f t="shared" si="38"/>
        <v>0.34928229665071769</v>
      </c>
      <c r="AJ109" s="66"/>
      <c r="AK109" s="68">
        <v>0</v>
      </c>
      <c r="AL109" s="69">
        <v>499.39999999999986</v>
      </c>
      <c r="AM109" s="69">
        <v>499.39999999999981</v>
      </c>
      <c r="AN109" s="69">
        <v>437.12</v>
      </c>
      <c r="AO109" s="70">
        <v>1091.9000000000001</v>
      </c>
      <c r="AP109" s="70">
        <v>1354.03</v>
      </c>
      <c r="AQ109" s="66"/>
      <c r="AR109" s="70" t="s">
        <v>779</v>
      </c>
      <c r="AS109" s="66"/>
      <c r="AT109" s="108">
        <v>2555.7200000000003</v>
      </c>
      <c r="AU109" s="109">
        <v>0</v>
      </c>
      <c r="AV109" s="109">
        <v>2409.6999999999998</v>
      </c>
      <c r="AW109" s="109">
        <v>1199.28</v>
      </c>
      <c r="AX109" s="110">
        <v>3505.0599999999995</v>
      </c>
      <c r="AY109" s="110">
        <v>2038.7</v>
      </c>
    </row>
    <row r="110" spans="1:51" x14ac:dyDescent="0.25">
      <c r="A110" s="8" t="s">
        <v>70</v>
      </c>
      <c r="B110" s="5" t="s">
        <v>71</v>
      </c>
      <c r="C110" s="2">
        <v>5.6599999999999993</v>
      </c>
      <c r="D110" s="24">
        <v>2000</v>
      </c>
      <c r="E110" s="26">
        <f t="shared" si="30"/>
        <v>1000</v>
      </c>
      <c r="F110" s="26">
        <v>2641</v>
      </c>
      <c r="G110" s="30">
        <f t="shared" si="31"/>
        <v>0.37864445285876563</v>
      </c>
      <c r="H110" s="11"/>
      <c r="I110" s="9">
        <v>28</v>
      </c>
      <c r="J110" s="3">
        <v>135</v>
      </c>
      <c r="K110" s="3">
        <v>0</v>
      </c>
      <c r="L110" s="3">
        <v>460</v>
      </c>
      <c r="M110" s="6">
        <v>356</v>
      </c>
      <c r="N110" s="6">
        <v>885</v>
      </c>
      <c r="O110" s="13"/>
      <c r="P110" s="60">
        <f>+I110*C110</f>
        <v>158.47999999999999</v>
      </c>
      <c r="Q110" s="61">
        <f>+J110*C110</f>
        <v>764.09999999999991</v>
      </c>
      <c r="R110" s="61">
        <f>+K110*C110</f>
        <v>0</v>
      </c>
      <c r="S110" s="62">
        <f>+L110*C110</f>
        <v>2603.5999999999995</v>
      </c>
      <c r="T110" s="63">
        <f>+M110*C110</f>
        <v>2014.9599999999998</v>
      </c>
      <c r="U110" s="63">
        <f t="shared" si="32"/>
        <v>5009.0999999999995</v>
      </c>
      <c r="V110" s="64"/>
      <c r="W110" s="60">
        <v>0</v>
      </c>
      <c r="X110" s="61">
        <v>533</v>
      </c>
      <c r="Y110" s="61">
        <v>345</v>
      </c>
      <c r="Z110" s="61">
        <v>0</v>
      </c>
      <c r="AA110" s="65">
        <v>108</v>
      </c>
      <c r="AB110" s="65">
        <v>693</v>
      </c>
      <c r="AC110" s="66"/>
      <c r="AD110" s="67">
        <f t="shared" si="33"/>
        <v>0</v>
      </c>
      <c r="AE110" s="67">
        <f t="shared" si="34"/>
        <v>0.20181749337372207</v>
      </c>
      <c r="AF110" s="67">
        <f t="shared" si="35"/>
        <v>0.13063233623627413</v>
      </c>
      <c r="AG110" s="67">
        <f t="shared" si="36"/>
        <v>0</v>
      </c>
      <c r="AH110" s="67">
        <f t="shared" si="37"/>
        <v>4.0893600908746684E-2</v>
      </c>
      <c r="AI110" s="67">
        <f t="shared" si="38"/>
        <v>0.26240060583112457</v>
      </c>
      <c r="AJ110" s="66"/>
      <c r="AK110" s="68">
        <v>0</v>
      </c>
      <c r="AL110" s="69">
        <v>79.969999999999956</v>
      </c>
      <c r="AM110" s="69">
        <v>79.96999999999997</v>
      </c>
      <c r="AN110" s="69">
        <v>107.77999999999979</v>
      </c>
      <c r="AO110" s="70">
        <v>611.28</v>
      </c>
      <c r="AP110" s="70">
        <v>2272.36</v>
      </c>
      <c r="AQ110" s="66"/>
      <c r="AR110" s="70" t="s">
        <v>779</v>
      </c>
      <c r="AS110" s="66"/>
      <c r="AT110" s="108">
        <v>155.12</v>
      </c>
      <c r="AU110" s="109">
        <v>748.25</v>
      </c>
      <c r="AV110" s="109">
        <v>0</v>
      </c>
      <c r="AW110" s="109">
        <v>2563.0099999999998</v>
      </c>
      <c r="AX110" s="110">
        <v>2057.91</v>
      </c>
      <c r="AY110" s="110">
        <v>2525.6899999999996</v>
      </c>
    </row>
    <row r="111" spans="1:51" x14ac:dyDescent="0.25">
      <c r="A111" s="8">
        <v>2108</v>
      </c>
      <c r="B111" s="5" t="s">
        <v>96</v>
      </c>
      <c r="C111" s="2">
        <v>5.61</v>
      </c>
      <c r="D111" s="24">
        <v>4000</v>
      </c>
      <c r="E111" s="26">
        <f t="shared" si="30"/>
        <v>2000</v>
      </c>
      <c r="F111" s="26">
        <v>6203</v>
      </c>
      <c r="G111" s="30">
        <f t="shared" si="31"/>
        <v>0.32242463324197967</v>
      </c>
      <c r="H111" s="11"/>
      <c r="I111" s="9">
        <v>0</v>
      </c>
      <c r="J111" s="3">
        <v>2949</v>
      </c>
      <c r="K111" s="3">
        <v>1277</v>
      </c>
      <c r="L111" s="3">
        <v>1330</v>
      </c>
      <c r="M111" s="6">
        <v>1935</v>
      </c>
      <c r="N111" s="6">
        <v>2448</v>
      </c>
      <c r="O111" s="13"/>
      <c r="P111" s="60">
        <f>+I111*C111</f>
        <v>0</v>
      </c>
      <c r="Q111" s="61">
        <f>+J111*C111</f>
        <v>16543.89</v>
      </c>
      <c r="R111" s="61">
        <f>+K111*C111</f>
        <v>7163.97</v>
      </c>
      <c r="S111" s="62">
        <f>+L111*C111</f>
        <v>7461.3</v>
      </c>
      <c r="T111" s="63">
        <f>+M111*C111</f>
        <v>10855.35</v>
      </c>
      <c r="U111" s="63">
        <f t="shared" si="32"/>
        <v>13733.28</v>
      </c>
      <c r="V111" s="64"/>
      <c r="W111" s="60">
        <v>158</v>
      </c>
      <c r="X111" s="61">
        <v>922</v>
      </c>
      <c r="Y111" s="61">
        <v>1663</v>
      </c>
      <c r="Z111" s="61">
        <v>2019</v>
      </c>
      <c r="AA111" s="65">
        <v>1476</v>
      </c>
      <c r="AB111" s="65">
        <v>1477</v>
      </c>
      <c r="AC111" s="66"/>
      <c r="AD111" s="67">
        <f t="shared" si="33"/>
        <v>2.5471546026116395E-2</v>
      </c>
      <c r="AE111" s="67">
        <f t="shared" si="34"/>
        <v>0.14863775592455264</v>
      </c>
      <c r="AF111" s="67">
        <f t="shared" si="35"/>
        <v>0.2680960825407061</v>
      </c>
      <c r="AG111" s="67">
        <f t="shared" si="36"/>
        <v>0.3254876672577785</v>
      </c>
      <c r="AH111" s="67">
        <f t="shared" si="37"/>
        <v>0.23794937933258101</v>
      </c>
      <c r="AI111" s="67">
        <f t="shared" si="38"/>
        <v>0.23811059164920201</v>
      </c>
      <c r="AJ111" s="66"/>
      <c r="AK111" s="68">
        <v>1392.88</v>
      </c>
      <c r="AL111" s="69">
        <v>8542.6699999999746</v>
      </c>
      <c r="AM111" s="69">
        <v>8542.6699999999764</v>
      </c>
      <c r="AN111" s="69">
        <v>12463.629999999986</v>
      </c>
      <c r="AO111" s="70">
        <v>10151.780000000001</v>
      </c>
      <c r="AP111" s="70">
        <v>7597.82</v>
      </c>
      <c r="AQ111" s="66"/>
      <c r="AR111" s="70" t="s">
        <v>779</v>
      </c>
      <c r="AS111" s="66"/>
      <c r="AT111" s="108">
        <v>11857</v>
      </c>
      <c r="AU111" s="109">
        <v>20686.809999999998</v>
      </c>
      <c r="AV111" s="109">
        <v>8893.15</v>
      </c>
      <c r="AW111" s="109">
        <v>9229.5</v>
      </c>
      <c r="AX111" s="110">
        <v>13483.35</v>
      </c>
      <c r="AY111" s="110">
        <v>16866.72</v>
      </c>
    </row>
    <row r="112" spans="1:51" x14ac:dyDescent="0.25">
      <c r="A112" s="8" t="s">
        <v>818</v>
      </c>
      <c r="B112" s="5" t="s">
        <v>861</v>
      </c>
      <c r="C112" s="2">
        <v>5.5779768952032391</v>
      </c>
      <c r="D112" s="24">
        <v>6000</v>
      </c>
      <c r="E112" s="26">
        <f t="shared" si="30"/>
        <v>3000</v>
      </c>
      <c r="F112" s="26">
        <v>8821</v>
      </c>
      <c r="G112" s="30">
        <f t="shared" si="31"/>
        <v>0.34009749461512301</v>
      </c>
      <c r="H112" s="11"/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6">
        <v>979</v>
      </c>
      <c r="O112" s="13"/>
      <c r="P112" s="60"/>
      <c r="Q112" s="61"/>
      <c r="R112" s="61"/>
      <c r="S112" s="62"/>
      <c r="T112" s="63"/>
      <c r="U112" s="63">
        <f t="shared" si="32"/>
        <v>5460.8393804039715</v>
      </c>
      <c r="V112" s="64"/>
      <c r="W112" s="60"/>
      <c r="X112" s="61"/>
      <c r="Y112" s="61"/>
      <c r="Z112" s="61"/>
      <c r="AA112" s="65"/>
      <c r="AB112" s="65"/>
      <c r="AC112" s="66"/>
      <c r="AD112" s="67">
        <f t="shared" si="33"/>
        <v>0</v>
      </c>
      <c r="AE112" s="67">
        <f t="shared" si="34"/>
        <v>0</v>
      </c>
      <c r="AF112" s="67">
        <f t="shared" si="35"/>
        <v>0</v>
      </c>
      <c r="AG112" s="67">
        <f t="shared" si="36"/>
        <v>0</v>
      </c>
      <c r="AH112" s="67">
        <f t="shared" si="37"/>
        <v>0</v>
      </c>
      <c r="AI112" s="67">
        <f t="shared" si="38"/>
        <v>0</v>
      </c>
      <c r="AJ112" s="66"/>
      <c r="AK112" s="68"/>
      <c r="AL112" s="69"/>
      <c r="AM112" s="69"/>
      <c r="AN112" s="69"/>
      <c r="AO112" s="70"/>
      <c r="AP112" s="70"/>
      <c r="AQ112" s="66"/>
      <c r="AR112" s="70" t="s">
        <v>780</v>
      </c>
      <c r="AS112" s="66"/>
      <c r="AT112" s="108">
        <v>10091.959999999999</v>
      </c>
      <c r="AU112" s="109">
        <v>0</v>
      </c>
      <c r="AV112" s="109">
        <v>141062.32</v>
      </c>
      <c r="AW112" s="109">
        <v>64517.65</v>
      </c>
      <c r="AX112" s="110">
        <v>24310.36</v>
      </c>
      <c r="AY112" s="110">
        <v>30740.6</v>
      </c>
    </row>
    <row r="113" spans="1:51" ht="30" x14ac:dyDescent="0.25">
      <c r="A113" s="8" t="s">
        <v>275</v>
      </c>
      <c r="B113" s="5" t="s">
        <v>276</v>
      </c>
      <c r="C113" s="2">
        <v>5.4699999999999989</v>
      </c>
      <c r="D113" s="24">
        <v>3000</v>
      </c>
      <c r="E113" s="26">
        <f t="shared" si="30"/>
        <v>1500</v>
      </c>
      <c r="F113" s="26">
        <v>5573</v>
      </c>
      <c r="G113" s="30">
        <f t="shared" si="31"/>
        <v>0.26915485375919612</v>
      </c>
      <c r="H113" s="11"/>
      <c r="I113" s="9">
        <v>1990</v>
      </c>
      <c r="J113" s="3">
        <v>1284</v>
      </c>
      <c r="K113" s="3">
        <v>3017</v>
      </c>
      <c r="L113" s="3">
        <v>1159</v>
      </c>
      <c r="M113" s="6">
        <v>180</v>
      </c>
      <c r="N113" s="6">
        <v>1370</v>
      </c>
      <c r="O113" s="13"/>
      <c r="P113" s="60">
        <f>+I113*C113</f>
        <v>10885.299999999997</v>
      </c>
      <c r="Q113" s="61">
        <f>+J113*C113</f>
        <v>7023.4799999999987</v>
      </c>
      <c r="R113" s="61">
        <f>+K113*C113</f>
        <v>16502.989999999998</v>
      </c>
      <c r="S113" s="62">
        <f>+L113*C113</f>
        <v>6339.7299999999987</v>
      </c>
      <c r="T113" s="63">
        <f>+M113*C113</f>
        <v>984.5999999999998</v>
      </c>
      <c r="U113" s="63">
        <f t="shared" si="32"/>
        <v>7493.8999999999987</v>
      </c>
      <c r="V113" s="64"/>
      <c r="W113" s="60">
        <v>669</v>
      </c>
      <c r="X113" s="61">
        <v>657</v>
      </c>
      <c r="Y113" s="61">
        <v>1990</v>
      </c>
      <c r="Z113" s="61">
        <v>1782</v>
      </c>
      <c r="AA113" s="65">
        <v>2186</v>
      </c>
      <c r="AB113" s="65">
        <v>1452</v>
      </c>
      <c r="AC113" s="66"/>
      <c r="AD113" s="67">
        <f t="shared" si="33"/>
        <v>0.12004306477660147</v>
      </c>
      <c r="AE113" s="67">
        <f t="shared" si="34"/>
        <v>0.1178898259465279</v>
      </c>
      <c r="AF113" s="67">
        <f t="shared" si="35"/>
        <v>0.35707877265386684</v>
      </c>
      <c r="AG113" s="67">
        <f t="shared" si="36"/>
        <v>0.31975596626592501</v>
      </c>
      <c r="AH113" s="67">
        <f t="shared" si="37"/>
        <v>0.39224834021173516</v>
      </c>
      <c r="AI113" s="67">
        <f t="shared" si="38"/>
        <v>0.26054189843890185</v>
      </c>
      <c r="AJ113" s="66"/>
      <c r="AK113" s="68">
        <v>4113.32</v>
      </c>
      <c r="AL113" s="69">
        <v>2950.6899999999964</v>
      </c>
      <c r="AM113" s="69">
        <v>2950.6899999999969</v>
      </c>
      <c r="AN113" s="69">
        <v>11524.039999999981</v>
      </c>
      <c r="AO113" s="70">
        <v>11802.039999999801</v>
      </c>
      <c r="AP113" s="70">
        <v>7350.29</v>
      </c>
      <c r="AQ113" s="66"/>
      <c r="AR113" s="70" t="s">
        <v>779</v>
      </c>
      <c r="AS113" s="66"/>
      <c r="AT113" s="108">
        <v>41750.199999999997</v>
      </c>
      <c r="AU113" s="109">
        <v>26938.32</v>
      </c>
      <c r="AV113" s="109">
        <v>62699.5</v>
      </c>
      <c r="AW113" s="109">
        <v>23852.22</v>
      </c>
      <c r="AX113" s="110">
        <v>3726</v>
      </c>
      <c r="AY113" s="110">
        <v>28163.699999999997</v>
      </c>
    </row>
    <row r="114" spans="1:51" x14ac:dyDescent="0.25">
      <c r="A114" s="8">
        <v>5225</v>
      </c>
      <c r="B114" s="5" t="s">
        <v>148</v>
      </c>
      <c r="C114" s="2">
        <v>5.4599999999999991</v>
      </c>
      <c r="D114" s="24">
        <v>2000</v>
      </c>
      <c r="E114" s="26">
        <f t="shared" si="30"/>
        <v>1000</v>
      </c>
      <c r="F114" s="26">
        <v>2880</v>
      </c>
      <c r="G114" s="30">
        <f t="shared" si="31"/>
        <v>0.34722222222222221</v>
      </c>
      <c r="H114" s="11"/>
      <c r="I114" s="9">
        <v>1492</v>
      </c>
      <c r="J114" s="3">
        <v>2458</v>
      </c>
      <c r="K114" s="3">
        <v>0</v>
      </c>
      <c r="L114" s="3">
        <v>0</v>
      </c>
      <c r="M114" s="6"/>
      <c r="N114" s="6">
        <v>389</v>
      </c>
      <c r="O114" s="13"/>
      <c r="P114" s="60">
        <f>+I114*C114</f>
        <v>8146.3199999999988</v>
      </c>
      <c r="Q114" s="61">
        <f>+J114*C114</f>
        <v>13420.679999999998</v>
      </c>
      <c r="R114" s="61">
        <f>+K114*C114</f>
        <v>0</v>
      </c>
      <c r="S114" s="62">
        <f>+L114*C114</f>
        <v>0</v>
      </c>
      <c r="T114" s="63">
        <f>+M114*C114</f>
        <v>0</v>
      </c>
      <c r="U114" s="63">
        <f t="shared" si="32"/>
        <v>2123.9399999999996</v>
      </c>
      <c r="V114" s="64"/>
      <c r="W114" s="60">
        <v>0</v>
      </c>
      <c r="X114" s="61">
        <v>386</v>
      </c>
      <c r="Y114" s="61">
        <v>725</v>
      </c>
      <c r="Z114" s="61">
        <v>642</v>
      </c>
      <c r="AA114" s="65">
        <v>899</v>
      </c>
      <c r="AB114" s="65">
        <v>1172</v>
      </c>
      <c r="AC114" s="66"/>
      <c r="AD114" s="67">
        <f t="shared" si="33"/>
        <v>0</v>
      </c>
      <c r="AE114" s="67">
        <f t="shared" si="34"/>
        <v>0.13402777777777777</v>
      </c>
      <c r="AF114" s="67">
        <f t="shared" si="35"/>
        <v>0.2517361111111111</v>
      </c>
      <c r="AG114" s="67">
        <f t="shared" si="36"/>
        <v>0.22291666666666668</v>
      </c>
      <c r="AH114" s="67">
        <f t="shared" si="37"/>
        <v>0.31215277777777778</v>
      </c>
      <c r="AI114" s="67">
        <f t="shared" si="38"/>
        <v>0.40694444444444444</v>
      </c>
      <c r="AJ114" s="66"/>
      <c r="AK114" s="68">
        <v>0</v>
      </c>
      <c r="AL114" s="69">
        <v>1998.5400000000002</v>
      </c>
      <c r="AM114" s="69">
        <v>1998.5400000000002</v>
      </c>
      <c r="AN114" s="69">
        <v>3749.5199999999954</v>
      </c>
      <c r="AO114" s="70">
        <v>3209.8199999999902</v>
      </c>
      <c r="AP114" s="70">
        <v>3861.98</v>
      </c>
      <c r="AQ114" s="66"/>
      <c r="AR114" s="70" t="s">
        <v>779</v>
      </c>
      <c r="AS114" s="66"/>
      <c r="AT114" s="108">
        <v>14571.32</v>
      </c>
      <c r="AU114" s="109">
        <v>23859.78</v>
      </c>
      <c r="AV114" s="109">
        <v>0</v>
      </c>
      <c r="AW114" s="109">
        <v>0</v>
      </c>
      <c r="AX114" s="110">
        <v>0</v>
      </c>
      <c r="AY114" s="110">
        <v>3683.83</v>
      </c>
    </row>
    <row r="115" spans="1:51" x14ac:dyDescent="0.25">
      <c r="A115" s="8" t="s">
        <v>807</v>
      </c>
      <c r="B115" s="5" t="s">
        <v>850</v>
      </c>
      <c r="C115" s="2">
        <v>5.3427219564061659</v>
      </c>
      <c r="D115" s="24">
        <v>8000</v>
      </c>
      <c r="E115" s="26">
        <f t="shared" si="30"/>
        <v>4000</v>
      </c>
      <c r="F115" s="26">
        <v>17114</v>
      </c>
      <c r="G115" s="30">
        <f t="shared" si="31"/>
        <v>0.23372677340189318</v>
      </c>
      <c r="H115" s="11"/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6">
        <v>7990</v>
      </c>
      <c r="O115" s="13"/>
      <c r="P115" s="60"/>
      <c r="Q115" s="61"/>
      <c r="R115" s="61"/>
      <c r="S115" s="62"/>
      <c r="T115" s="63"/>
      <c r="U115" s="63">
        <f t="shared" si="32"/>
        <v>42688.348431685263</v>
      </c>
      <c r="V115" s="64"/>
      <c r="W115" s="60"/>
      <c r="X115" s="61"/>
      <c r="Y115" s="61"/>
      <c r="Z115" s="61"/>
      <c r="AA115" s="65"/>
      <c r="AB115" s="65"/>
      <c r="AC115" s="66"/>
      <c r="AD115" s="67">
        <f t="shared" si="33"/>
        <v>0</v>
      </c>
      <c r="AE115" s="67">
        <f t="shared" si="34"/>
        <v>0</v>
      </c>
      <c r="AF115" s="67">
        <f t="shared" si="35"/>
        <v>0</v>
      </c>
      <c r="AG115" s="67">
        <f t="shared" si="36"/>
        <v>0</v>
      </c>
      <c r="AH115" s="67">
        <f t="shared" si="37"/>
        <v>0</v>
      </c>
      <c r="AI115" s="67">
        <f t="shared" si="38"/>
        <v>0</v>
      </c>
      <c r="AJ115" s="66"/>
      <c r="AK115" s="68"/>
      <c r="AL115" s="69"/>
      <c r="AM115" s="69"/>
      <c r="AN115" s="69"/>
      <c r="AO115" s="70"/>
      <c r="AP115" s="70"/>
      <c r="AQ115" s="66"/>
      <c r="AR115" s="70" t="s">
        <v>780</v>
      </c>
      <c r="AS115" s="66"/>
      <c r="AT115" s="108">
        <v>0</v>
      </c>
      <c r="AU115" s="109">
        <v>0</v>
      </c>
      <c r="AV115" s="109">
        <v>0</v>
      </c>
      <c r="AW115" s="109">
        <v>0</v>
      </c>
      <c r="AX115" s="110">
        <v>0</v>
      </c>
      <c r="AY115" s="110">
        <v>302357.09999999998</v>
      </c>
    </row>
    <row r="116" spans="1:51" x14ac:dyDescent="0.25">
      <c r="A116" s="8" t="s">
        <v>84</v>
      </c>
      <c r="B116" s="5" t="s">
        <v>85</v>
      </c>
      <c r="C116" s="2">
        <v>5.3000000000000007</v>
      </c>
      <c r="D116" s="24">
        <v>100</v>
      </c>
      <c r="E116" s="26">
        <f t="shared" si="30"/>
        <v>50</v>
      </c>
      <c r="F116" s="26">
        <v>73</v>
      </c>
      <c r="G116" s="30">
        <f t="shared" si="31"/>
        <v>0.68493150684931503</v>
      </c>
      <c r="H116" s="11"/>
      <c r="I116" s="9">
        <v>674</v>
      </c>
      <c r="J116" s="3">
        <v>650</v>
      </c>
      <c r="K116" s="3">
        <v>0</v>
      </c>
      <c r="L116" s="3">
        <v>0</v>
      </c>
      <c r="M116" s="6"/>
      <c r="N116" s="6">
        <v>0</v>
      </c>
      <c r="O116" s="13"/>
      <c r="P116" s="60">
        <f>+I116*C116</f>
        <v>3572.2000000000003</v>
      </c>
      <c r="Q116" s="61">
        <f>+J116*C116</f>
        <v>3445.0000000000005</v>
      </c>
      <c r="R116" s="61">
        <f>+K116*C116</f>
        <v>0</v>
      </c>
      <c r="S116" s="62">
        <f>+L116*C116</f>
        <v>0</v>
      </c>
      <c r="T116" s="63">
        <f>+M116*C116</f>
        <v>0</v>
      </c>
      <c r="U116" s="63">
        <f t="shared" si="32"/>
        <v>0</v>
      </c>
      <c r="V116" s="64"/>
      <c r="W116" s="60">
        <v>9</v>
      </c>
      <c r="X116" s="61">
        <v>23</v>
      </c>
      <c r="Y116" s="61">
        <v>30</v>
      </c>
      <c r="Z116" s="61">
        <v>39</v>
      </c>
      <c r="AA116" s="65">
        <v>36</v>
      </c>
      <c r="AB116" s="65">
        <v>46</v>
      </c>
      <c r="AC116" s="66"/>
      <c r="AD116" s="67">
        <f t="shared" si="33"/>
        <v>0.12328767123287671</v>
      </c>
      <c r="AE116" s="67">
        <f t="shared" si="34"/>
        <v>0.31506849315068491</v>
      </c>
      <c r="AF116" s="67">
        <f t="shared" si="35"/>
        <v>0.41095890410958902</v>
      </c>
      <c r="AG116" s="67">
        <f t="shared" si="36"/>
        <v>0.53424657534246578</v>
      </c>
      <c r="AH116" s="67">
        <f t="shared" si="37"/>
        <v>0.49315068493150682</v>
      </c>
      <c r="AI116" s="67">
        <f t="shared" si="38"/>
        <v>0.63013698630136983</v>
      </c>
      <c r="AJ116" s="66"/>
      <c r="AK116" s="68">
        <v>51.91</v>
      </c>
      <c r="AL116" s="69">
        <v>148.27000000000001</v>
      </c>
      <c r="AM116" s="69">
        <v>148.26999999999998</v>
      </c>
      <c r="AN116" s="69">
        <v>205.6399999999999</v>
      </c>
      <c r="AO116" s="70">
        <v>267.789999999999</v>
      </c>
      <c r="AP116" s="70">
        <v>245.07</v>
      </c>
      <c r="AQ116" s="66"/>
      <c r="AR116" s="70" t="s">
        <v>779</v>
      </c>
      <c r="AS116" s="66"/>
      <c r="AT116" s="108">
        <v>4074.5</v>
      </c>
      <c r="AU116" s="109">
        <v>3947.5</v>
      </c>
      <c r="AV116" s="109">
        <v>0</v>
      </c>
      <c r="AW116" s="109">
        <v>0</v>
      </c>
      <c r="AX116" s="110">
        <v>0</v>
      </c>
      <c r="AY116" s="110">
        <v>0</v>
      </c>
    </row>
    <row r="117" spans="1:51" x14ac:dyDescent="0.25">
      <c r="A117" s="8" t="s">
        <v>196</v>
      </c>
      <c r="B117" s="5" t="s">
        <v>197</v>
      </c>
      <c r="C117" s="2">
        <v>5.2799999999999994</v>
      </c>
      <c r="D117" s="24">
        <v>1500</v>
      </c>
      <c r="E117" s="26">
        <f t="shared" si="30"/>
        <v>750</v>
      </c>
      <c r="F117" s="26">
        <v>954</v>
      </c>
      <c r="G117" s="30">
        <f t="shared" si="31"/>
        <v>0.78616352201257866</v>
      </c>
      <c r="H117" s="11"/>
      <c r="I117" s="9">
        <v>535.71428571428567</v>
      </c>
      <c r="J117" s="3">
        <v>1053.5714285714284</v>
      </c>
      <c r="K117" s="3">
        <v>749.99999999999989</v>
      </c>
      <c r="L117" s="3">
        <v>1100</v>
      </c>
      <c r="M117" s="6"/>
      <c r="N117" s="6">
        <v>300</v>
      </c>
      <c r="O117" s="13"/>
      <c r="P117" s="60">
        <f>+I117*C117</f>
        <v>2828.571428571428</v>
      </c>
      <c r="Q117" s="61">
        <f>+J117*C117</f>
        <v>5562.8571428571413</v>
      </c>
      <c r="R117" s="61">
        <f>+K117*C117</f>
        <v>3959.9999999999991</v>
      </c>
      <c r="S117" s="62">
        <f>+L117*C117</f>
        <v>5807.9999999999991</v>
      </c>
      <c r="T117" s="63">
        <f>+M117*C117</f>
        <v>0</v>
      </c>
      <c r="U117" s="63">
        <f t="shared" si="32"/>
        <v>1583.9999999999998</v>
      </c>
      <c r="V117" s="64"/>
      <c r="W117" s="60">
        <v>0</v>
      </c>
      <c r="X117" s="61">
        <v>82</v>
      </c>
      <c r="Y117" s="61">
        <v>551</v>
      </c>
      <c r="Z117" s="61">
        <v>336</v>
      </c>
      <c r="AA117" s="65">
        <v>490</v>
      </c>
      <c r="AB117" s="65">
        <v>530</v>
      </c>
      <c r="AC117" s="66"/>
      <c r="AD117" s="67">
        <f t="shared" si="33"/>
        <v>0</v>
      </c>
      <c r="AE117" s="67">
        <f t="shared" si="34"/>
        <v>8.5953878406708595E-2</v>
      </c>
      <c r="AF117" s="67">
        <f t="shared" si="35"/>
        <v>0.57756813417190778</v>
      </c>
      <c r="AG117" s="67">
        <f t="shared" si="36"/>
        <v>0.3522012578616352</v>
      </c>
      <c r="AH117" s="67">
        <f t="shared" si="37"/>
        <v>0.51362683438155132</v>
      </c>
      <c r="AI117" s="67">
        <f t="shared" si="38"/>
        <v>0.55555555555555558</v>
      </c>
      <c r="AJ117" s="66"/>
      <c r="AK117" s="68">
        <v>0</v>
      </c>
      <c r="AL117" s="69">
        <v>61.139999999999993</v>
      </c>
      <c r="AM117" s="69">
        <v>61.14</v>
      </c>
      <c r="AN117" s="69">
        <v>2354.8399999999988</v>
      </c>
      <c r="AO117" s="70">
        <v>2796.74999999999</v>
      </c>
      <c r="AP117" s="70">
        <v>2583.1999999999998</v>
      </c>
      <c r="AQ117" s="66"/>
      <c r="AR117" s="70" t="s">
        <v>779</v>
      </c>
      <c r="AS117" s="66"/>
      <c r="AT117" s="108">
        <v>6820.5</v>
      </c>
      <c r="AU117" s="109">
        <v>13033.75</v>
      </c>
      <c r="AV117" s="109">
        <v>9328.9</v>
      </c>
      <c r="AW117" s="109">
        <v>13707.12</v>
      </c>
      <c r="AX117" s="110">
        <v>0</v>
      </c>
      <c r="AY117" s="110">
        <v>13932.62</v>
      </c>
    </row>
    <row r="118" spans="1:51" x14ac:dyDescent="0.25">
      <c r="A118" s="8" t="s">
        <v>178</v>
      </c>
      <c r="B118" s="5" t="s">
        <v>179</v>
      </c>
      <c r="C118" s="2">
        <v>5.2399999999999984</v>
      </c>
      <c r="D118" s="24">
        <v>200</v>
      </c>
      <c r="E118" s="26">
        <f t="shared" si="30"/>
        <v>100</v>
      </c>
      <c r="F118" s="26">
        <v>222</v>
      </c>
      <c r="G118" s="30">
        <f t="shared" si="31"/>
        <v>0.45045045045045046</v>
      </c>
      <c r="H118" s="11"/>
      <c r="I118" s="9">
        <v>65</v>
      </c>
      <c r="J118" s="3">
        <v>225</v>
      </c>
      <c r="K118" s="3">
        <v>29.5</v>
      </c>
      <c r="L118" s="3">
        <v>0</v>
      </c>
      <c r="M118" s="6">
        <v>100</v>
      </c>
      <c r="N118" s="6">
        <v>64</v>
      </c>
      <c r="O118" s="13"/>
      <c r="P118" s="60">
        <f>+I118*C118</f>
        <v>340.59999999999991</v>
      </c>
      <c r="Q118" s="61">
        <f>+J118*C118</f>
        <v>1178.9999999999995</v>
      </c>
      <c r="R118" s="61">
        <f>+K118*C118</f>
        <v>154.57999999999996</v>
      </c>
      <c r="S118" s="62">
        <f>+L118*C118</f>
        <v>0</v>
      </c>
      <c r="T118" s="63">
        <f>+M118*C118</f>
        <v>523.99999999999989</v>
      </c>
      <c r="U118" s="63">
        <f t="shared" si="32"/>
        <v>335.3599999999999</v>
      </c>
      <c r="V118" s="64"/>
      <c r="W118" s="60">
        <v>113</v>
      </c>
      <c r="X118" s="61">
        <v>104</v>
      </c>
      <c r="Y118" s="61">
        <v>85</v>
      </c>
      <c r="Z118" s="61">
        <v>140</v>
      </c>
      <c r="AA118" s="65">
        <v>94</v>
      </c>
      <c r="AB118" s="65">
        <v>58</v>
      </c>
      <c r="AC118" s="66"/>
      <c r="AD118" s="67">
        <f t="shared" si="33"/>
        <v>0.50900900900900903</v>
      </c>
      <c r="AE118" s="67">
        <f t="shared" si="34"/>
        <v>0.46846846846846846</v>
      </c>
      <c r="AF118" s="67">
        <f t="shared" si="35"/>
        <v>0.38288288288288286</v>
      </c>
      <c r="AG118" s="67">
        <f t="shared" si="36"/>
        <v>0.63063063063063063</v>
      </c>
      <c r="AH118" s="67">
        <f t="shared" si="37"/>
        <v>0.42342342342342343</v>
      </c>
      <c r="AI118" s="67">
        <f t="shared" si="38"/>
        <v>0.26126126126126126</v>
      </c>
      <c r="AJ118" s="66"/>
      <c r="AK118" s="68">
        <v>125.86</v>
      </c>
      <c r="AL118" s="69">
        <v>679.46999999999991</v>
      </c>
      <c r="AM118" s="69">
        <v>679.47000000000014</v>
      </c>
      <c r="AN118" s="69">
        <v>351.70999999999947</v>
      </c>
      <c r="AO118" s="70">
        <v>699.94</v>
      </c>
      <c r="AP118" s="70">
        <v>353.52</v>
      </c>
      <c r="AQ118" s="66"/>
      <c r="AR118" s="70" t="s">
        <v>779</v>
      </c>
      <c r="AS118" s="66"/>
      <c r="AT118" s="108">
        <v>804.7</v>
      </c>
      <c r="AU118" s="109">
        <v>2766</v>
      </c>
      <c r="AV118" s="109">
        <v>341.61</v>
      </c>
      <c r="AW118" s="109">
        <v>0</v>
      </c>
      <c r="AX118" s="110">
        <v>1146</v>
      </c>
      <c r="AY118" s="110">
        <v>366.72</v>
      </c>
    </row>
    <row r="119" spans="1:51" x14ac:dyDescent="0.25">
      <c r="A119" s="8" t="s">
        <v>233</v>
      </c>
      <c r="B119" s="5" t="s">
        <v>234</v>
      </c>
      <c r="C119" s="2">
        <v>5.1999999999999993</v>
      </c>
      <c r="D119" s="24">
        <v>55.6</v>
      </c>
      <c r="E119" s="26">
        <f t="shared" si="30"/>
        <v>27.8</v>
      </c>
      <c r="F119" s="26">
        <v>981</v>
      </c>
      <c r="G119" s="30">
        <f t="shared" si="31"/>
        <v>2.8338430173292559E-2</v>
      </c>
      <c r="H119" s="11"/>
      <c r="I119" s="9">
        <v>117</v>
      </c>
      <c r="J119" s="3">
        <v>0</v>
      </c>
      <c r="K119" s="3">
        <v>0</v>
      </c>
      <c r="L119" s="3">
        <v>0</v>
      </c>
      <c r="M119" s="6"/>
      <c r="N119" s="6">
        <v>0</v>
      </c>
      <c r="O119" s="13"/>
      <c r="P119" s="60">
        <f>+I119*C119</f>
        <v>608.39999999999986</v>
      </c>
      <c r="Q119" s="61">
        <f>+J119*C119</f>
        <v>0</v>
      </c>
      <c r="R119" s="61">
        <f>+K119*C119</f>
        <v>0</v>
      </c>
      <c r="S119" s="62">
        <f>+L119*C119</f>
        <v>0</v>
      </c>
      <c r="T119" s="63">
        <f>+M119*C119</f>
        <v>0</v>
      </c>
      <c r="U119" s="63">
        <f t="shared" si="32"/>
        <v>0</v>
      </c>
      <c r="V119" s="64"/>
      <c r="W119" s="60">
        <v>13</v>
      </c>
      <c r="X119" s="61">
        <v>15</v>
      </c>
      <c r="Y119" s="61">
        <v>3</v>
      </c>
      <c r="Z119" s="61">
        <v>2</v>
      </c>
      <c r="AA119" s="65">
        <v>106</v>
      </c>
      <c r="AB119" s="65">
        <v>32</v>
      </c>
      <c r="AC119" s="66"/>
      <c r="AD119" s="67">
        <f t="shared" si="33"/>
        <v>1.3251783893985729E-2</v>
      </c>
      <c r="AE119" s="67">
        <f t="shared" si="34"/>
        <v>1.5290519877675841E-2</v>
      </c>
      <c r="AF119" s="67">
        <f t="shared" si="35"/>
        <v>3.0581039755351682E-3</v>
      </c>
      <c r="AG119" s="67">
        <f t="shared" si="36"/>
        <v>2.0387359836901123E-3</v>
      </c>
      <c r="AH119" s="67">
        <f t="shared" si="37"/>
        <v>0.10805300713557595</v>
      </c>
      <c r="AI119" s="67">
        <f t="shared" si="38"/>
        <v>3.2619775739041797E-2</v>
      </c>
      <c r="AJ119" s="66"/>
      <c r="AK119" s="68">
        <v>54.789999999999992</v>
      </c>
      <c r="AL119" s="69">
        <v>34.54</v>
      </c>
      <c r="AM119" s="69">
        <v>34.54</v>
      </c>
      <c r="AN119" s="69">
        <v>24.450000000000003</v>
      </c>
      <c r="AO119" s="70">
        <v>18.600000000000001</v>
      </c>
      <c r="AP119" s="70">
        <v>-25.55</v>
      </c>
      <c r="AQ119" s="66"/>
      <c r="AR119" s="70" t="s">
        <v>779</v>
      </c>
      <c r="AS119" s="66"/>
      <c r="AT119" s="108">
        <v>1713.76</v>
      </c>
      <c r="AU119" s="109">
        <v>0</v>
      </c>
      <c r="AV119" s="109">
        <v>0</v>
      </c>
      <c r="AW119" s="109">
        <v>0</v>
      </c>
      <c r="AX119" s="110">
        <v>0</v>
      </c>
      <c r="AY119" s="110">
        <v>0</v>
      </c>
    </row>
    <row r="120" spans="1:51" x14ac:dyDescent="0.25">
      <c r="A120" s="8">
        <v>5314</v>
      </c>
      <c r="B120" s="5" t="s">
        <v>832</v>
      </c>
      <c r="C120" s="2">
        <v>5.19</v>
      </c>
      <c r="D120" s="24">
        <v>2000</v>
      </c>
      <c r="E120" s="26">
        <f t="shared" si="30"/>
        <v>1000</v>
      </c>
      <c r="F120" s="26">
        <v>124</v>
      </c>
      <c r="G120" s="30">
        <f t="shared" si="31"/>
        <v>8.064516129032258</v>
      </c>
      <c r="H120" s="11"/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6">
        <v>163</v>
      </c>
      <c r="O120" s="13"/>
      <c r="P120" s="60"/>
      <c r="Q120" s="61"/>
      <c r="R120" s="61"/>
      <c r="S120" s="62"/>
      <c r="T120" s="63"/>
      <c r="U120" s="63">
        <f t="shared" si="32"/>
        <v>845.97</v>
      </c>
      <c r="V120" s="64"/>
      <c r="W120" s="60"/>
      <c r="X120" s="61"/>
      <c r="Y120" s="61"/>
      <c r="Z120" s="61"/>
      <c r="AA120" s="65"/>
      <c r="AB120" s="65"/>
      <c r="AC120" s="66"/>
      <c r="AD120" s="67">
        <f t="shared" si="33"/>
        <v>0</v>
      </c>
      <c r="AE120" s="67">
        <f t="shared" si="34"/>
        <v>0</v>
      </c>
      <c r="AF120" s="67">
        <f t="shared" si="35"/>
        <v>0</v>
      </c>
      <c r="AG120" s="67">
        <f t="shared" si="36"/>
        <v>0</v>
      </c>
      <c r="AH120" s="67">
        <f t="shared" si="37"/>
        <v>0</v>
      </c>
      <c r="AI120" s="67">
        <f t="shared" si="38"/>
        <v>0</v>
      </c>
      <c r="AJ120" s="66"/>
      <c r="AK120" s="68"/>
      <c r="AL120" s="69"/>
      <c r="AM120" s="69"/>
      <c r="AN120" s="69"/>
      <c r="AO120" s="70"/>
      <c r="AP120" s="70"/>
      <c r="AQ120" s="66"/>
      <c r="AR120" s="70" t="s">
        <v>779</v>
      </c>
      <c r="AS120" s="66"/>
      <c r="AT120" s="108">
        <v>0</v>
      </c>
      <c r="AU120" s="109">
        <v>0</v>
      </c>
      <c r="AV120" s="109">
        <v>0</v>
      </c>
      <c r="AW120" s="109">
        <v>0</v>
      </c>
      <c r="AX120" s="110">
        <v>0</v>
      </c>
      <c r="AY120" s="110">
        <v>3714.09</v>
      </c>
    </row>
    <row r="121" spans="1:51" x14ac:dyDescent="0.25">
      <c r="A121" s="8" t="s">
        <v>133</v>
      </c>
      <c r="B121" s="5" t="s">
        <v>134</v>
      </c>
      <c r="C121" s="2">
        <v>5.1099999999999994</v>
      </c>
      <c r="D121" s="24">
        <v>59</v>
      </c>
      <c r="E121" s="26">
        <f t="shared" si="30"/>
        <v>29.5</v>
      </c>
      <c r="F121" s="26">
        <v>295</v>
      </c>
      <c r="G121" s="30">
        <f t="shared" si="31"/>
        <v>0.1</v>
      </c>
      <c r="H121" s="11"/>
      <c r="I121" s="9">
        <v>0</v>
      </c>
      <c r="J121" s="3">
        <v>25</v>
      </c>
      <c r="K121" s="3">
        <v>25</v>
      </c>
      <c r="L121" s="3">
        <v>0</v>
      </c>
      <c r="M121" s="6"/>
      <c r="N121" s="6">
        <v>0</v>
      </c>
      <c r="O121" s="13"/>
      <c r="P121" s="60">
        <f t="shared" ref="P121:P138" si="49">+I121*C121</f>
        <v>0</v>
      </c>
      <c r="Q121" s="61">
        <f t="shared" ref="Q121:Q138" si="50">+J121*C121</f>
        <v>127.74999999999999</v>
      </c>
      <c r="R121" s="61">
        <f t="shared" ref="R121:R138" si="51">+K121*C121</f>
        <v>127.74999999999999</v>
      </c>
      <c r="S121" s="62">
        <f t="shared" ref="S121:S138" si="52">+L121*C121</f>
        <v>0</v>
      </c>
      <c r="T121" s="63">
        <f t="shared" ref="T121:T138" si="53">+M121*C121</f>
        <v>0</v>
      </c>
      <c r="U121" s="63">
        <f t="shared" si="32"/>
        <v>0</v>
      </c>
      <c r="V121" s="64"/>
      <c r="W121" s="60">
        <v>9</v>
      </c>
      <c r="X121" s="61">
        <v>12</v>
      </c>
      <c r="Y121" s="61">
        <v>10</v>
      </c>
      <c r="Z121" s="61">
        <v>12</v>
      </c>
      <c r="AA121" s="65">
        <v>0</v>
      </c>
      <c r="AB121" s="65">
        <v>0</v>
      </c>
      <c r="AC121" s="66"/>
      <c r="AD121" s="67">
        <f t="shared" si="33"/>
        <v>3.0508474576271188E-2</v>
      </c>
      <c r="AE121" s="67">
        <f t="shared" si="34"/>
        <v>4.0677966101694912E-2</v>
      </c>
      <c r="AF121" s="67">
        <f t="shared" si="35"/>
        <v>3.3898305084745763E-2</v>
      </c>
      <c r="AG121" s="67">
        <f t="shared" si="36"/>
        <v>4.0677966101694912E-2</v>
      </c>
      <c r="AH121" s="67">
        <f t="shared" si="37"/>
        <v>0</v>
      </c>
      <c r="AI121" s="67">
        <f t="shared" si="38"/>
        <v>0</v>
      </c>
      <c r="AJ121" s="66"/>
      <c r="AK121" s="68">
        <v>0.9900000000000001</v>
      </c>
      <c r="AL121" s="69">
        <v>5.1800000000000006</v>
      </c>
      <c r="AM121" s="69">
        <v>51.099999999999994</v>
      </c>
      <c r="AN121" s="69">
        <v>49.5</v>
      </c>
      <c r="AO121" s="70">
        <v>56.22</v>
      </c>
      <c r="AP121" s="70">
        <v>0</v>
      </c>
      <c r="AQ121" s="66"/>
      <c r="AR121" s="70" t="s">
        <v>779</v>
      </c>
      <c r="AS121" s="66"/>
      <c r="AT121" s="108">
        <v>0</v>
      </c>
      <c r="AU121" s="109">
        <v>199</v>
      </c>
      <c r="AV121" s="109">
        <v>199</v>
      </c>
      <c r="AW121" s="109">
        <v>0</v>
      </c>
      <c r="AX121" s="110">
        <v>0</v>
      </c>
      <c r="AY121" s="110">
        <v>0</v>
      </c>
    </row>
    <row r="122" spans="1:51" x14ac:dyDescent="0.25">
      <c r="A122" s="8" t="s">
        <v>536</v>
      </c>
      <c r="B122" s="5" t="s">
        <v>537</v>
      </c>
      <c r="C122" s="2">
        <v>5.0900000000000034</v>
      </c>
      <c r="D122" s="24">
        <v>50</v>
      </c>
      <c r="E122" s="26">
        <f t="shared" si="30"/>
        <v>25</v>
      </c>
      <c r="F122" s="26">
        <v>126</v>
      </c>
      <c r="G122" s="30">
        <f t="shared" si="31"/>
        <v>0.1984126984126984</v>
      </c>
      <c r="H122" s="11"/>
      <c r="I122" s="9">
        <v>0</v>
      </c>
      <c r="J122" s="3">
        <v>0</v>
      </c>
      <c r="K122" s="3">
        <v>0</v>
      </c>
      <c r="L122" s="3">
        <v>0</v>
      </c>
      <c r="M122" s="6">
        <v>30</v>
      </c>
      <c r="N122" s="6">
        <v>120</v>
      </c>
      <c r="O122" s="13"/>
      <c r="P122" s="60">
        <f t="shared" si="49"/>
        <v>0</v>
      </c>
      <c r="Q122" s="61">
        <f t="shared" si="50"/>
        <v>0</v>
      </c>
      <c r="R122" s="61">
        <f t="shared" si="51"/>
        <v>0</v>
      </c>
      <c r="S122" s="62">
        <f t="shared" si="52"/>
        <v>0</v>
      </c>
      <c r="T122" s="63">
        <f t="shared" si="53"/>
        <v>152.7000000000001</v>
      </c>
      <c r="U122" s="63">
        <f t="shared" si="32"/>
        <v>610.80000000000041</v>
      </c>
      <c r="V122" s="64"/>
      <c r="W122" s="60">
        <v>23</v>
      </c>
      <c r="X122" s="61">
        <v>34</v>
      </c>
      <c r="Y122" s="61">
        <v>20</v>
      </c>
      <c r="Z122" s="61">
        <v>24</v>
      </c>
      <c r="AA122" s="65">
        <v>11</v>
      </c>
      <c r="AB122" s="65">
        <v>22</v>
      </c>
      <c r="AC122" s="66"/>
      <c r="AD122" s="67">
        <f t="shared" si="33"/>
        <v>0.18253968253968253</v>
      </c>
      <c r="AE122" s="67">
        <f t="shared" si="34"/>
        <v>0.26984126984126983</v>
      </c>
      <c r="AF122" s="67">
        <f t="shared" si="35"/>
        <v>0.15873015873015872</v>
      </c>
      <c r="AG122" s="67">
        <f t="shared" si="36"/>
        <v>0.19047619047619047</v>
      </c>
      <c r="AH122" s="67">
        <f t="shared" si="37"/>
        <v>8.7301587301587297E-2</v>
      </c>
      <c r="AI122" s="67">
        <f t="shared" si="38"/>
        <v>0.17460317460317459</v>
      </c>
      <c r="AJ122" s="66"/>
      <c r="AK122" s="68">
        <v>194.79</v>
      </c>
      <c r="AL122" s="69">
        <v>396.58000000000004</v>
      </c>
      <c r="AM122" s="69">
        <v>396.58</v>
      </c>
      <c r="AN122" s="69">
        <v>237.48</v>
      </c>
      <c r="AO122" s="70">
        <v>348.93999999999897</v>
      </c>
      <c r="AP122" s="70">
        <v>231.93</v>
      </c>
      <c r="AQ122" s="66"/>
      <c r="AR122" s="70" t="s">
        <v>780</v>
      </c>
      <c r="AS122" s="66"/>
      <c r="AT122" s="108">
        <v>0</v>
      </c>
      <c r="AU122" s="109">
        <v>0</v>
      </c>
      <c r="AV122" s="109">
        <v>0</v>
      </c>
      <c r="AW122" s="109">
        <v>0</v>
      </c>
      <c r="AX122" s="110">
        <v>2116.1999999999998</v>
      </c>
      <c r="AY122" s="110">
        <v>8281</v>
      </c>
    </row>
    <row r="123" spans="1:51" x14ac:dyDescent="0.25">
      <c r="A123" s="8" t="s">
        <v>41</v>
      </c>
      <c r="B123" s="5" t="s">
        <v>42</v>
      </c>
      <c r="C123" s="2">
        <v>5.08</v>
      </c>
      <c r="D123" s="24">
        <v>1000</v>
      </c>
      <c r="E123" s="26">
        <f t="shared" si="30"/>
        <v>500</v>
      </c>
      <c r="F123" s="26">
        <v>511</v>
      </c>
      <c r="G123" s="30">
        <f t="shared" si="31"/>
        <v>0.97847358121330719</v>
      </c>
      <c r="H123" s="11"/>
      <c r="I123" s="9">
        <v>0</v>
      </c>
      <c r="J123" s="3">
        <v>0</v>
      </c>
      <c r="K123" s="3">
        <v>100</v>
      </c>
      <c r="L123" s="3">
        <v>130</v>
      </c>
      <c r="M123" s="6"/>
      <c r="N123" s="6">
        <v>0</v>
      </c>
      <c r="O123" s="13"/>
      <c r="P123" s="60">
        <f t="shared" si="49"/>
        <v>0</v>
      </c>
      <c r="Q123" s="61">
        <f t="shared" si="50"/>
        <v>0</v>
      </c>
      <c r="R123" s="61">
        <f t="shared" si="51"/>
        <v>508</v>
      </c>
      <c r="S123" s="62">
        <f t="shared" si="52"/>
        <v>660.4</v>
      </c>
      <c r="T123" s="63">
        <f t="shared" si="53"/>
        <v>0</v>
      </c>
      <c r="U123" s="63">
        <f t="shared" si="32"/>
        <v>0</v>
      </c>
      <c r="V123" s="64"/>
      <c r="W123" s="60">
        <v>76</v>
      </c>
      <c r="X123" s="61">
        <v>530</v>
      </c>
      <c r="Y123" s="61">
        <v>153</v>
      </c>
      <c r="Z123" s="61">
        <v>113</v>
      </c>
      <c r="AA123" s="65">
        <v>99</v>
      </c>
      <c r="AB123" s="65">
        <v>0</v>
      </c>
      <c r="AC123" s="66"/>
      <c r="AD123" s="67">
        <f t="shared" si="33"/>
        <v>0.14872798434442269</v>
      </c>
      <c r="AE123" s="67">
        <f t="shared" si="34"/>
        <v>1.0371819960861057</v>
      </c>
      <c r="AF123" s="67">
        <f t="shared" si="35"/>
        <v>0.299412915851272</v>
      </c>
      <c r="AG123" s="67">
        <f t="shared" si="36"/>
        <v>0.22113502935420742</v>
      </c>
      <c r="AH123" s="67">
        <f t="shared" si="37"/>
        <v>0.19373776908023482</v>
      </c>
      <c r="AI123" s="67">
        <f t="shared" si="38"/>
        <v>0</v>
      </c>
      <c r="AJ123" s="66"/>
      <c r="AK123" s="68">
        <v>256.2</v>
      </c>
      <c r="AL123" s="69">
        <v>2003.6499999999978</v>
      </c>
      <c r="AM123" s="69">
        <v>2003.649999999998</v>
      </c>
      <c r="AN123" s="69">
        <v>684.07</v>
      </c>
      <c r="AO123" s="70">
        <v>612.99999999999898</v>
      </c>
      <c r="AP123" s="70">
        <v>0</v>
      </c>
      <c r="AQ123" s="66"/>
      <c r="AR123" s="70" t="s">
        <v>779</v>
      </c>
      <c r="AS123" s="66"/>
      <c r="AT123" s="108">
        <v>0</v>
      </c>
      <c r="AU123" s="109">
        <v>0</v>
      </c>
      <c r="AV123" s="109">
        <v>356</v>
      </c>
      <c r="AW123" s="109">
        <v>464.6</v>
      </c>
      <c r="AX123" s="110">
        <v>0</v>
      </c>
      <c r="AY123" s="110">
        <v>0</v>
      </c>
    </row>
    <row r="124" spans="1:51" x14ac:dyDescent="0.25">
      <c r="A124" s="8" t="s">
        <v>182</v>
      </c>
      <c r="B124" s="5" t="s">
        <v>183</v>
      </c>
      <c r="C124" s="2">
        <v>5</v>
      </c>
      <c r="D124" s="24">
        <v>1179.8</v>
      </c>
      <c r="E124" s="26">
        <f t="shared" si="30"/>
        <v>589.9</v>
      </c>
      <c r="F124" s="26">
        <v>5899</v>
      </c>
      <c r="G124" s="30">
        <f t="shared" si="31"/>
        <v>9.9999999999999992E-2</v>
      </c>
      <c r="H124" s="11"/>
      <c r="I124" s="9">
        <v>0</v>
      </c>
      <c r="J124" s="3">
        <v>299</v>
      </c>
      <c r="K124" s="3">
        <v>0</v>
      </c>
      <c r="L124" s="3">
        <v>0</v>
      </c>
      <c r="M124" s="6"/>
      <c r="N124" s="6">
        <v>0</v>
      </c>
      <c r="O124" s="13"/>
      <c r="P124" s="60">
        <f t="shared" si="49"/>
        <v>0</v>
      </c>
      <c r="Q124" s="61">
        <f t="shared" si="50"/>
        <v>1495</v>
      </c>
      <c r="R124" s="61">
        <f t="shared" si="51"/>
        <v>0</v>
      </c>
      <c r="S124" s="62">
        <f t="shared" si="52"/>
        <v>0</v>
      </c>
      <c r="T124" s="63">
        <f t="shared" si="53"/>
        <v>0</v>
      </c>
      <c r="U124" s="63">
        <f t="shared" si="32"/>
        <v>0</v>
      </c>
      <c r="V124" s="64"/>
      <c r="W124" s="60">
        <v>0</v>
      </c>
      <c r="X124" s="61">
        <v>0</v>
      </c>
      <c r="Y124" s="61">
        <v>53</v>
      </c>
      <c r="Z124" s="61">
        <v>77</v>
      </c>
      <c r="AA124" s="65">
        <v>45</v>
      </c>
      <c r="AB124" s="65">
        <v>35</v>
      </c>
      <c r="AC124" s="66"/>
      <c r="AD124" s="67">
        <f t="shared" si="33"/>
        <v>0</v>
      </c>
      <c r="AE124" s="67">
        <f t="shared" si="34"/>
        <v>0</v>
      </c>
      <c r="AF124" s="67">
        <f t="shared" si="35"/>
        <v>8.9845736565519578E-3</v>
      </c>
      <c r="AG124" s="67">
        <f t="shared" si="36"/>
        <v>1.3053059840650957E-2</v>
      </c>
      <c r="AH124" s="67">
        <f t="shared" si="37"/>
        <v>7.6284115951856246E-3</v>
      </c>
      <c r="AI124" s="67">
        <f t="shared" si="38"/>
        <v>5.9332090184777081E-3</v>
      </c>
      <c r="AJ124" s="66"/>
      <c r="AK124" s="68">
        <v>0</v>
      </c>
      <c r="AL124" s="69">
        <v>0</v>
      </c>
      <c r="AM124" s="69">
        <v>265</v>
      </c>
      <c r="AN124" s="69">
        <v>32.44999999999996</v>
      </c>
      <c r="AO124" s="70">
        <v>110.95</v>
      </c>
      <c r="AP124" s="70">
        <v>165.57</v>
      </c>
      <c r="AQ124" s="66"/>
      <c r="AR124" s="70" t="s">
        <v>779</v>
      </c>
      <c r="AS124" s="66"/>
      <c r="AT124" s="108">
        <v>0</v>
      </c>
      <c r="AU124" s="109">
        <v>3312.92</v>
      </c>
      <c r="AV124" s="109">
        <v>0</v>
      </c>
      <c r="AW124" s="109">
        <v>0</v>
      </c>
      <c r="AX124" s="110">
        <v>0</v>
      </c>
      <c r="AY124" s="110">
        <v>0</v>
      </c>
    </row>
    <row r="125" spans="1:51" x14ac:dyDescent="0.25">
      <c r="A125" s="8" t="s">
        <v>377</v>
      </c>
      <c r="B125" s="5" t="s">
        <v>378</v>
      </c>
      <c r="C125" s="2">
        <v>4.9500000000000028</v>
      </c>
      <c r="D125" s="24">
        <v>2000</v>
      </c>
      <c r="E125" s="26">
        <f t="shared" si="30"/>
        <v>1000</v>
      </c>
      <c r="F125" s="26">
        <v>9714</v>
      </c>
      <c r="G125" s="30">
        <f t="shared" si="31"/>
        <v>0.10294420424130121</v>
      </c>
      <c r="H125" s="11"/>
      <c r="I125" s="9">
        <v>493</v>
      </c>
      <c r="J125" s="3">
        <v>0</v>
      </c>
      <c r="K125" s="3">
        <v>0</v>
      </c>
      <c r="L125" s="3">
        <v>0</v>
      </c>
      <c r="M125" s="6"/>
      <c r="N125" s="6">
        <v>0</v>
      </c>
      <c r="O125" s="13"/>
      <c r="P125" s="60">
        <f t="shared" si="49"/>
        <v>2440.3500000000013</v>
      </c>
      <c r="Q125" s="61">
        <f t="shared" si="50"/>
        <v>0</v>
      </c>
      <c r="R125" s="61">
        <f t="shared" si="51"/>
        <v>0</v>
      </c>
      <c r="S125" s="62">
        <f t="shared" si="52"/>
        <v>0</v>
      </c>
      <c r="T125" s="63">
        <f t="shared" si="53"/>
        <v>0</v>
      </c>
      <c r="U125" s="63">
        <f t="shared" si="32"/>
        <v>0</v>
      </c>
      <c r="V125" s="64"/>
      <c r="W125" s="60">
        <v>0</v>
      </c>
      <c r="X125" s="61">
        <v>0</v>
      </c>
      <c r="Y125" s="61">
        <v>0</v>
      </c>
      <c r="Z125" s="61">
        <v>0</v>
      </c>
      <c r="AA125" s="65">
        <v>0</v>
      </c>
      <c r="AB125" s="65">
        <v>0</v>
      </c>
      <c r="AC125" s="66"/>
      <c r="AD125" s="67">
        <f t="shared" si="33"/>
        <v>0</v>
      </c>
      <c r="AE125" s="67">
        <f t="shared" si="34"/>
        <v>0</v>
      </c>
      <c r="AF125" s="67">
        <f t="shared" si="35"/>
        <v>0</v>
      </c>
      <c r="AG125" s="67">
        <f t="shared" si="36"/>
        <v>0</v>
      </c>
      <c r="AH125" s="67">
        <f t="shared" si="37"/>
        <v>0</v>
      </c>
      <c r="AI125" s="67">
        <f t="shared" si="38"/>
        <v>0</v>
      </c>
      <c r="AJ125" s="66"/>
      <c r="AK125" s="68">
        <v>0</v>
      </c>
      <c r="AL125" s="69">
        <v>0</v>
      </c>
      <c r="AM125" s="69">
        <v>0</v>
      </c>
      <c r="AN125" s="69">
        <v>0</v>
      </c>
      <c r="AO125" s="70">
        <v>0</v>
      </c>
      <c r="AP125" s="70">
        <v>0</v>
      </c>
      <c r="AQ125" s="66"/>
      <c r="AR125" s="70" t="s">
        <v>779</v>
      </c>
      <c r="AS125" s="66"/>
      <c r="AT125" s="108">
        <v>15706.98</v>
      </c>
      <c r="AU125" s="109">
        <v>0</v>
      </c>
      <c r="AV125" s="109">
        <v>0</v>
      </c>
      <c r="AW125" s="109">
        <v>0</v>
      </c>
      <c r="AX125" s="110">
        <v>0</v>
      </c>
      <c r="AY125" s="110">
        <v>0</v>
      </c>
    </row>
    <row r="126" spans="1:51" x14ac:dyDescent="0.25">
      <c r="A126" s="8" t="s">
        <v>538</v>
      </c>
      <c r="B126" s="5" t="s">
        <v>539</v>
      </c>
      <c r="C126" s="2">
        <v>4.9500000000000028</v>
      </c>
      <c r="D126" s="24">
        <v>500</v>
      </c>
      <c r="E126" s="26">
        <f t="shared" si="30"/>
        <v>250</v>
      </c>
      <c r="F126" s="26">
        <v>1268</v>
      </c>
      <c r="G126" s="30">
        <f t="shared" si="31"/>
        <v>0.19716088328075709</v>
      </c>
      <c r="H126" s="11"/>
      <c r="I126" s="9">
        <v>186</v>
      </c>
      <c r="J126" s="3">
        <v>58</v>
      </c>
      <c r="K126" s="3">
        <v>127</v>
      </c>
      <c r="L126" s="3">
        <v>187</v>
      </c>
      <c r="M126" s="6">
        <v>27</v>
      </c>
      <c r="N126" s="6">
        <v>56</v>
      </c>
      <c r="O126" s="13"/>
      <c r="P126" s="60">
        <f t="shared" si="49"/>
        <v>920.7000000000005</v>
      </c>
      <c r="Q126" s="61">
        <f t="shared" si="50"/>
        <v>287.10000000000014</v>
      </c>
      <c r="R126" s="61">
        <f t="shared" si="51"/>
        <v>628.65000000000032</v>
      </c>
      <c r="S126" s="62">
        <f t="shared" si="52"/>
        <v>925.65000000000055</v>
      </c>
      <c r="T126" s="63">
        <f t="shared" si="53"/>
        <v>133.65000000000009</v>
      </c>
      <c r="U126" s="63">
        <f t="shared" si="32"/>
        <v>277.20000000000016</v>
      </c>
      <c r="V126" s="64"/>
      <c r="W126" s="60">
        <v>290</v>
      </c>
      <c r="X126" s="61">
        <v>305</v>
      </c>
      <c r="Y126" s="61">
        <v>110</v>
      </c>
      <c r="Z126" s="61">
        <v>126</v>
      </c>
      <c r="AA126" s="65">
        <v>162</v>
      </c>
      <c r="AB126" s="65">
        <v>74</v>
      </c>
      <c r="AC126" s="66"/>
      <c r="AD126" s="67">
        <f t="shared" si="33"/>
        <v>0.22870662460567823</v>
      </c>
      <c r="AE126" s="67">
        <f t="shared" si="34"/>
        <v>0.24053627760252366</v>
      </c>
      <c r="AF126" s="67">
        <f t="shared" si="35"/>
        <v>8.6750788643533125E-2</v>
      </c>
      <c r="AG126" s="67">
        <f t="shared" si="36"/>
        <v>9.9369085173501584E-2</v>
      </c>
      <c r="AH126" s="67">
        <f t="shared" si="37"/>
        <v>0.12776025236593061</v>
      </c>
      <c r="AI126" s="67">
        <f t="shared" si="38"/>
        <v>5.8359621451104099E-2</v>
      </c>
      <c r="AJ126" s="66"/>
      <c r="AK126" s="68">
        <v>1469.74</v>
      </c>
      <c r="AL126" s="69">
        <v>935.33999999999958</v>
      </c>
      <c r="AM126" s="69">
        <v>935.33999999999969</v>
      </c>
      <c r="AN126" s="69">
        <v>304.03999999999996</v>
      </c>
      <c r="AO126" s="70">
        <v>452.39999999999901</v>
      </c>
      <c r="AP126" s="70">
        <v>322.26999999999902</v>
      </c>
      <c r="AQ126" s="66"/>
      <c r="AR126" s="70" t="s">
        <v>780</v>
      </c>
      <c r="AS126" s="66"/>
      <c r="AT126" s="108">
        <v>13256.32</v>
      </c>
      <c r="AU126" s="109">
        <v>4194.5600000000004</v>
      </c>
      <c r="AV126" s="109">
        <v>8844.2799999999988</v>
      </c>
      <c r="AW126" s="109">
        <v>12934.85</v>
      </c>
      <c r="AX126" s="110">
        <v>1855.44</v>
      </c>
      <c r="AY126" s="110">
        <v>3865.68</v>
      </c>
    </row>
    <row r="127" spans="1:51" x14ac:dyDescent="0.25">
      <c r="A127" s="8" t="s">
        <v>49</v>
      </c>
      <c r="B127" s="5" t="s">
        <v>50</v>
      </c>
      <c r="C127" s="2">
        <v>4.9400000000000004</v>
      </c>
      <c r="D127" s="24">
        <v>600</v>
      </c>
      <c r="E127" s="26">
        <f t="shared" si="30"/>
        <v>300</v>
      </c>
      <c r="F127" s="26">
        <v>197</v>
      </c>
      <c r="G127" s="30">
        <f t="shared" si="31"/>
        <v>1.5228426395939085</v>
      </c>
      <c r="H127" s="11"/>
      <c r="I127" s="9">
        <v>106</v>
      </c>
      <c r="J127" s="3">
        <v>0</v>
      </c>
      <c r="K127" s="3">
        <v>91</v>
      </c>
      <c r="L127" s="3">
        <v>123</v>
      </c>
      <c r="M127" s="6"/>
      <c r="N127" s="6">
        <v>0</v>
      </c>
      <c r="O127" s="13"/>
      <c r="P127" s="60">
        <f t="shared" si="49"/>
        <v>523.64</v>
      </c>
      <c r="Q127" s="61">
        <f t="shared" si="50"/>
        <v>0</v>
      </c>
      <c r="R127" s="61">
        <f t="shared" si="51"/>
        <v>449.54</v>
      </c>
      <c r="S127" s="62">
        <f t="shared" si="52"/>
        <v>607.62</v>
      </c>
      <c r="T127" s="63">
        <f t="shared" si="53"/>
        <v>0</v>
      </c>
      <c r="U127" s="63">
        <f t="shared" si="32"/>
        <v>0</v>
      </c>
      <c r="V127" s="64"/>
      <c r="W127" s="60">
        <v>135</v>
      </c>
      <c r="X127" s="61">
        <v>136</v>
      </c>
      <c r="Y127" s="61">
        <v>331</v>
      </c>
      <c r="Z127" s="61">
        <v>100</v>
      </c>
      <c r="AA127" s="65">
        <v>229</v>
      </c>
      <c r="AB127" s="65">
        <v>8</v>
      </c>
      <c r="AC127" s="66"/>
      <c r="AD127" s="67">
        <f t="shared" si="33"/>
        <v>0.68527918781725883</v>
      </c>
      <c r="AE127" s="67">
        <f t="shared" si="34"/>
        <v>0.69035532994923854</v>
      </c>
      <c r="AF127" s="67">
        <f t="shared" si="35"/>
        <v>1.6802030456852792</v>
      </c>
      <c r="AG127" s="67">
        <f t="shared" si="36"/>
        <v>0.50761421319796951</v>
      </c>
      <c r="AH127" s="67">
        <f t="shared" si="37"/>
        <v>1.1624365482233503</v>
      </c>
      <c r="AI127" s="67">
        <f t="shared" si="38"/>
        <v>4.060913705583756E-2</v>
      </c>
      <c r="AJ127" s="66"/>
      <c r="AK127" s="68">
        <v>372.24</v>
      </c>
      <c r="AL127" s="69">
        <v>532.39999999999884</v>
      </c>
      <c r="AM127" s="69">
        <v>532.39999999999884</v>
      </c>
      <c r="AN127" s="69">
        <v>1560.8499999999983</v>
      </c>
      <c r="AO127" s="70">
        <v>567.87</v>
      </c>
      <c r="AP127" s="70">
        <v>39.520000000000003</v>
      </c>
      <c r="AQ127" s="66"/>
      <c r="AR127" s="70" t="s">
        <v>779</v>
      </c>
      <c r="AS127" s="66"/>
      <c r="AT127" s="108">
        <v>187.62</v>
      </c>
      <c r="AU127" s="109">
        <v>0</v>
      </c>
      <c r="AV127" s="109">
        <v>161.98000000000002</v>
      </c>
      <c r="AW127" s="109">
        <v>217.70999999999998</v>
      </c>
      <c r="AX127" s="110">
        <v>0</v>
      </c>
      <c r="AY127" s="110">
        <v>0</v>
      </c>
    </row>
    <row r="128" spans="1:51" x14ac:dyDescent="0.25">
      <c r="A128" s="8">
        <v>5392</v>
      </c>
      <c r="B128" s="5" t="s">
        <v>59</v>
      </c>
      <c r="C128" s="2">
        <v>4.8999999999999995</v>
      </c>
      <c r="D128" s="24">
        <v>5000</v>
      </c>
      <c r="E128" s="26">
        <f t="shared" si="30"/>
        <v>2500</v>
      </c>
      <c r="F128" s="26">
        <v>1107</v>
      </c>
      <c r="G128" s="30">
        <f t="shared" si="31"/>
        <v>2.2583559168925023</v>
      </c>
      <c r="H128" s="11"/>
      <c r="I128" s="9">
        <v>3095</v>
      </c>
      <c r="J128" s="3">
        <v>2140</v>
      </c>
      <c r="K128" s="3">
        <v>4261</v>
      </c>
      <c r="L128" s="3">
        <v>2346</v>
      </c>
      <c r="M128" s="6">
        <v>407</v>
      </c>
      <c r="N128" s="6">
        <v>337</v>
      </c>
      <c r="O128" s="13"/>
      <c r="P128" s="60">
        <f t="shared" si="49"/>
        <v>15165.499999999998</v>
      </c>
      <c r="Q128" s="61">
        <f t="shared" si="50"/>
        <v>10485.999999999998</v>
      </c>
      <c r="R128" s="61">
        <f t="shared" si="51"/>
        <v>20878.899999999998</v>
      </c>
      <c r="S128" s="62">
        <f t="shared" si="52"/>
        <v>11495.4</v>
      </c>
      <c r="T128" s="63">
        <f t="shared" si="53"/>
        <v>1994.2999999999997</v>
      </c>
      <c r="U128" s="63">
        <f t="shared" si="32"/>
        <v>1651.2999999999997</v>
      </c>
      <c r="V128" s="64"/>
      <c r="W128" s="60">
        <v>1414</v>
      </c>
      <c r="X128" s="61">
        <v>2657</v>
      </c>
      <c r="Y128" s="61">
        <v>2695</v>
      </c>
      <c r="Z128" s="61">
        <v>1199</v>
      </c>
      <c r="AA128" s="65">
        <v>5253</v>
      </c>
      <c r="AB128" s="65">
        <v>524</v>
      </c>
      <c r="AC128" s="66"/>
      <c r="AD128" s="67">
        <f t="shared" si="33"/>
        <v>1.2773261065943993</v>
      </c>
      <c r="AE128" s="67">
        <f t="shared" si="34"/>
        <v>2.4001806684733515</v>
      </c>
      <c r="AF128" s="67">
        <f t="shared" si="35"/>
        <v>2.4345076784101174</v>
      </c>
      <c r="AG128" s="67">
        <f t="shared" si="36"/>
        <v>1.0831074977416442</v>
      </c>
      <c r="AH128" s="67">
        <f t="shared" si="37"/>
        <v>4.7452574525745259</v>
      </c>
      <c r="AI128" s="67">
        <f t="shared" si="38"/>
        <v>0.47335140018066846</v>
      </c>
      <c r="AJ128" s="66"/>
      <c r="AK128" s="68">
        <v>6358.2799999999988</v>
      </c>
      <c r="AL128" s="69">
        <v>11007.519999999975</v>
      </c>
      <c r="AM128" s="69">
        <v>11007.519999999973</v>
      </c>
      <c r="AN128" s="69">
        <v>10364.239999999978</v>
      </c>
      <c r="AO128" s="70">
        <v>4436.0799999999799</v>
      </c>
      <c r="AP128" s="70">
        <v>1480.78999999999</v>
      </c>
      <c r="AQ128" s="66"/>
      <c r="AR128" s="70" t="s">
        <v>779</v>
      </c>
      <c r="AS128" s="66"/>
      <c r="AT128" s="108">
        <v>13216.999999999996</v>
      </c>
      <c r="AU128" s="109">
        <v>9233.7200000000012</v>
      </c>
      <c r="AV128" s="109">
        <v>18218.09</v>
      </c>
      <c r="AW128" s="109">
        <v>9958.2900000000009</v>
      </c>
      <c r="AX128" s="110">
        <v>1723.13</v>
      </c>
      <c r="AY128" s="110">
        <v>1414.4499999999998</v>
      </c>
    </row>
    <row r="129" spans="1:51" x14ac:dyDescent="0.25">
      <c r="A129" s="8" t="s">
        <v>481</v>
      </c>
      <c r="B129" s="5" t="s">
        <v>482</v>
      </c>
      <c r="C129" s="2">
        <v>4.8900000000000006</v>
      </c>
      <c r="D129" s="24">
        <v>800</v>
      </c>
      <c r="E129" s="26">
        <f t="shared" si="30"/>
        <v>400</v>
      </c>
      <c r="F129" s="26">
        <v>2613</v>
      </c>
      <c r="G129" s="30">
        <f t="shared" si="31"/>
        <v>0.15308075009567546</v>
      </c>
      <c r="H129" s="11"/>
      <c r="I129" s="9">
        <v>0</v>
      </c>
      <c r="J129" s="3">
        <v>60.25</v>
      </c>
      <c r="K129" s="3">
        <v>242.75</v>
      </c>
      <c r="L129" s="3">
        <v>1041.5</v>
      </c>
      <c r="M129" s="6">
        <v>27.25</v>
      </c>
      <c r="N129" s="6">
        <v>512</v>
      </c>
      <c r="O129" s="13"/>
      <c r="P129" s="60">
        <f t="shared" si="49"/>
        <v>0</v>
      </c>
      <c r="Q129" s="61">
        <f t="shared" si="50"/>
        <v>294.62250000000006</v>
      </c>
      <c r="R129" s="61">
        <f t="shared" si="51"/>
        <v>1187.0475000000001</v>
      </c>
      <c r="S129" s="62">
        <f t="shared" si="52"/>
        <v>5092.9350000000004</v>
      </c>
      <c r="T129" s="63">
        <f t="shared" si="53"/>
        <v>133.25250000000003</v>
      </c>
      <c r="U129" s="63">
        <f t="shared" si="32"/>
        <v>2503.6800000000003</v>
      </c>
      <c r="V129" s="64"/>
      <c r="W129" s="60">
        <v>224</v>
      </c>
      <c r="X129" s="61">
        <v>338</v>
      </c>
      <c r="Y129" s="61">
        <v>55</v>
      </c>
      <c r="Z129" s="61">
        <v>223</v>
      </c>
      <c r="AA129" s="65">
        <v>225</v>
      </c>
      <c r="AB129" s="65">
        <v>606</v>
      </c>
      <c r="AC129" s="66"/>
      <c r="AD129" s="67">
        <f t="shared" si="33"/>
        <v>8.5725220053578258E-2</v>
      </c>
      <c r="AE129" s="67">
        <f t="shared" si="34"/>
        <v>0.12935323383084577</v>
      </c>
      <c r="AF129" s="67">
        <f t="shared" si="35"/>
        <v>2.1048603138155379E-2</v>
      </c>
      <c r="AG129" s="67">
        <f t="shared" si="36"/>
        <v>8.5342518178339072E-2</v>
      </c>
      <c r="AH129" s="67">
        <f t="shared" si="37"/>
        <v>8.6107921928817457E-2</v>
      </c>
      <c r="AI129" s="67">
        <f t="shared" si="38"/>
        <v>0.23191733639494833</v>
      </c>
      <c r="AJ129" s="66"/>
      <c r="AK129" s="68">
        <v>1359.660000000001</v>
      </c>
      <c r="AL129" s="69">
        <v>2125.6199999999981</v>
      </c>
      <c r="AM129" s="69">
        <v>2125.6199999999981</v>
      </c>
      <c r="AN129" s="69">
        <v>908.89</v>
      </c>
      <c r="AO129" s="70">
        <v>3677.27</v>
      </c>
      <c r="AP129" s="70">
        <v>4924.5999999999904</v>
      </c>
      <c r="AQ129" s="66"/>
      <c r="AR129" s="70" t="s">
        <v>780</v>
      </c>
      <c r="AS129" s="66"/>
      <c r="AT129" s="108">
        <v>0</v>
      </c>
      <c r="AU129" s="109">
        <v>3229.5699999999997</v>
      </c>
      <c r="AV129" s="109">
        <v>12965.029999999999</v>
      </c>
      <c r="AW129" s="109">
        <v>54871.170000000006</v>
      </c>
      <c r="AX129" s="110">
        <v>1456.98</v>
      </c>
      <c r="AY129" s="110">
        <v>24293.82</v>
      </c>
    </row>
    <row r="130" spans="1:51" x14ac:dyDescent="0.25">
      <c r="A130" s="8">
        <v>5380</v>
      </c>
      <c r="B130" s="5" t="s">
        <v>180</v>
      </c>
      <c r="C130" s="2">
        <v>4.879999999999999</v>
      </c>
      <c r="D130" s="24">
        <v>400</v>
      </c>
      <c r="E130" s="26">
        <f t="shared" si="30"/>
        <v>200</v>
      </c>
      <c r="F130" s="26">
        <v>600</v>
      </c>
      <c r="G130" s="30">
        <f t="shared" si="31"/>
        <v>0.33333333333333331</v>
      </c>
      <c r="H130" s="11"/>
      <c r="I130" s="9">
        <v>200</v>
      </c>
      <c r="J130" s="3">
        <v>74</v>
      </c>
      <c r="K130" s="3">
        <v>122</v>
      </c>
      <c r="L130" s="3">
        <v>0</v>
      </c>
      <c r="M130" s="6">
        <v>370</v>
      </c>
      <c r="N130" s="6">
        <v>0</v>
      </c>
      <c r="O130" s="13"/>
      <c r="P130" s="60">
        <f t="shared" si="49"/>
        <v>975.99999999999977</v>
      </c>
      <c r="Q130" s="61">
        <f t="shared" si="50"/>
        <v>361.11999999999995</v>
      </c>
      <c r="R130" s="61">
        <f t="shared" si="51"/>
        <v>595.3599999999999</v>
      </c>
      <c r="S130" s="62">
        <f t="shared" si="52"/>
        <v>0</v>
      </c>
      <c r="T130" s="63">
        <f t="shared" si="53"/>
        <v>1805.5999999999997</v>
      </c>
      <c r="U130" s="63">
        <f t="shared" si="32"/>
        <v>0</v>
      </c>
      <c r="V130" s="64"/>
      <c r="W130" s="60">
        <v>108</v>
      </c>
      <c r="X130" s="61">
        <v>216</v>
      </c>
      <c r="Y130" s="61">
        <v>168</v>
      </c>
      <c r="Z130" s="61">
        <v>179</v>
      </c>
      <c r="AA130" s="65">
        <v>194</v>
      </c>
      <c r="AB130" s="65">
        <v>202</v>
      </c>
      <c r="AC130" s="66"/>
      <c r="AD130" s="67">
        <f t="shared" si="33"/>
        <v>0.18</v>
      </c>
      <c r="AE130" s="67">
        <f t="shared" si="34"/>
        <v>0.36</v>
      </c>
      <c r="AF130" s="67">
        <f t="shared" si="35"/>
        <v>0.28000000000000003</v>
      </c>
      <c r="AG130" s="67">
        <f t="shared" si="36"/>
        <v>0.29833333333333334</v>
      </c>
      <c r="AH130" s="67">
        <f t="shared" si="37"/>
        <v>0.32333333333333331</v>
      </c>
      <c r="AI130" s="67">
        <f t="shared" si="38"/>
        <v>0.33666666666666667</v>
      </c>
      <c r="AJ130" s="66"/>
      <c r="AK130" s="68">
        <v>198.59</v>
      </c>
      <c r="AL130" s="69">
        <v>546.95999999999856</v>
      </c>
      <c r="AM130" s="69">
        <v>546.95999999999856</v>
      </c>
      <c r="AN130" s="69">
        <v>1168.9899999999989</v>
      </c>
      <c r="AO130" s="70">
        <v>994.46</v>
      </c>
      <c r="AP130" s="70">
        <v>1317.8299999999899</v>
      </c>
      <c r="AQ130" s="66"/>
      <c r="AR130" s="70" t="s">
        <v>779</v>
      </c>
      <c r="AS130" s="66"/>
      <c r="AT130" s="108">
        <v>1608</v>
      </c>
      <c r="AU130" s="109">
        <v>589.04</v>
      </c>
      <c r="AV130" s="109">
        <v>980.88</v>
      </c>
      <c r="AW130" s="109">
        <v>0</v>
      </c>
      <c r="AX130" s="110">
        <v>3293</v>
      </c>
      <c r="AY130" s="110">
        <v>0</v>
      </c>
    </row>
    <row r="131" spans="1:51" x14ac:dyDescent="0.25">
      <c r="A131" s="8">
        <v>5626</v>
      </c>
      <c r="B131" s="5" t="s">
        <v>245</v>
      </c>
      <c r="C131" s="2">
        <v>4.870000000000001</v>
      </c>
      <c r="D131" s="24">
        <v>600</v>
      </c>
      <c r="E131" s="26">
        <f t="shared" ref="E131:E194" si="54">D131/2</f>
        <v>300</v>
      </c>
      <c r="F131" s="26">
        <v>1160</v>
      </c>
      <c r="G131" s="30">
        <f t="shared" ref="G131:G194" si="55">+E131/F131</f>
        <v>0.25862068965517243</v>
      </c>
      <c r="H131" s="11"/>
      <c r="I131" s="9">
        <v>204</v>
      </c>
      <c r="J131" s="3">
        <v>382</v>
      </c>
      <c r="K131" s="3">
        <v>157</v>
      </c>
      <c r="L131" s="3">
        <v>832</v>
      </c>
      <c r="M131" s="6">
        <v>178</v>
      </c>
      <c r="N131" s="6">
        <v>343</v>
      </c>
      <c r="O131" s="13"/>
      <c r="P131" s="60">
        <f t="shared" si="49"/>
        <v>993.48000000000025</v>
      </c>
      <c r="Q131" s="61">
        <f t="shared" si="50"/>
        <v>1860.3400000000004</v>
      </c>
      <c r="R131" s="61">
        <f t="shared" si="51"/>
        <v>764.59000000000015</v>
      </c>
      <c r="S131" s="62">
        <f t="shared" si="52"/>
        <v>4051.8400000000011</v>
      </c>
      <c r="T131" s="63">
        <f t="shared" si="53"/>
        <v>866.86000000000013</v>
      </c>
      <c r="U131" s="63">
        <f t="shared" si="32"/>
        <v>1670.4100000000003</v>
      </c>
      <c r="V131" s="64"/>
      <c r="W131" s="60">
        <v>56</v>
      </c>
      <c r="X131" s="61">
        <v>401</v>
      </c>
      <c r="Y131" s="61">
        <v>377</v>
      </c>
      <c r="Z131" s="61">
        <v>58</v>
      </c>
      <c r="AA131" s="65">
        <v>744</v>
      </c>
      <c r="AB131" s="65">
        <v>392</v>
      </c>
      <c r="AC131" s="66"/>
      <c r="AD131" s="67">
        <f t="shared" si="33"/>
        <v>4.8275862068965517E-2</v>
      </c>
      <c r="AE131" s="67">
        <f t="shared" si="34"/>
        <v>0.34568965517241379</v>
      </c>
      <c r="AF131" s="67">
        <f t="shared" si="35"/>
        <v>0.32500000000000001</v>
      </c>
      <c r="AG131" s="67">
        <f t="shared" si="36"/>
        <v>0.05</v>
      </c>
      <c r="AH131" s="67">
        <f t="shared" si="37"/>
        <v>0.64137931034482754</v>
      </c>
      <c r="AI131" s="67">
        <f t="shared" si="38"/>
        <v>0.33793103448275863</v>
      </c>
      <c r="AJ131" s="66"/>
      <c r="AK131" s="68">
        <v>190.32</v>
      </c>
      <c r="AL131" s="69">
        <v>1028.5099999999991</v>
      </c>
      <c r="AM131" s="69">
        <v>1028.5099999999991</v>
      </c>
      <c r="AN131" s="69">
        <v>1137.7199999999982</v>
      </c>
      <c r="AO131" s="70">
        <v>155.44</v>
      </c>
      <c r="AP131" s="70">
        <v>2346.2199999999998</v>
      </c>
      <c r="AQ131" s="66"/>
      <c r="AR131" s="70" t="s">
        <v>779</v>
      </c>
      <c r="AS131" s="66"/>
      <c r="AT131" s="108">
        <v>3639.9700000000003</v>
      </c>
      <c r="AU131" s="109">
        <v>6680.1600000000008</v>
      </c>
      <c r="AV131" s="109">
        <v>2798.06</v>
      </c>
      <c r="AW131" s="109">
        <v>11671.539999999999</v>
      </c>
      <c r="AX131" s="110">
        <v>2476.16</v>
      </c>
      <c r="AY131" s="110">
        <v>5434.68</v>
      </c>
    </row>
    <row r="132" spans="1:51" x14ac:dyDescent="0.25">
      <c r="A132" s="8" t="s">
        <v>734</v>
      </c>
      <c r="B132" s="5" t="s">
        <v>735</v>
      </c>
      <c r="C132" s="2">
        <v>4.82</v>
      </c>
      <c r="D132" s="24">
        <v>100</v>
      </c>
      <c r="E132" s="26">
        <f t="shared" si="54"/>
        <v>50</v>
      </c>
      <c r="F132" s="26">
        <v>103</v>
      </c>
      <c r="G132" s="30">
        <f t="shared" si="55"/>
        <v>0.4854368932038835</v>
      </c>
      <c r="H132" s="11"/>
      <c r="I132" s="9">
        <v>95</v>
      </c>
      <c r="J132" s="3">
        <v>100</v>
      </c>
      <c r="K132" s="3">
        <v>0</v>
      </c>
      <c r="L132" s="3">
        <v>100</v>
      </c>
      <c r="M132" s="6">
        <v>100</v>
      </c>
      <c r="N132" s="6">
        <v>0</v>
      </c>
      <c r="O132" s="13"/>
      <c r="P132" s="60">
        <f t="shared" si="49"/>
        <v>457.90000000000003</v>
      </c>
      <c r="Q132" s="61">
        <f t="shared" si="50"/>
        <v>482</v>
      </c>
      <c r="R132" s="61">
        <f t="shared" si="51"/>
        <v>0</v>
      </c>
      <c r="S132" s="62">
        <f t="shared" si="52"/>
        <v>482</v>
      </c>
      <c r="T132" s="63">
        <f t="shared" si="53"/>
        <v>482</v>
      </c>
      <c r="U132" s="63">
        <f t="shared" ref="U132:U195" si="56">+N132*C132</f>
        <v>0</v>
      </c>
      <c r="V132" s="64"/>
      <c r="W132" s="60">
        <v>18</v>
      </c>
      <c r="X132" s="61">
        <v>2</v>
      </c>
      <c r="Y132" s="61">
        <v>17</v>
      </c>
      <c r="Z132" s="61">
        <v>17</v>
      </c>
      <c r="AA132" s="65">
        <v>14</v>
      </c>
      <c r="AB132" s="65">
        <v>27</v>
      </c>
      <c r="AC132" s="66"/>
      <c r="AD132" s="67">
        <f t="shared" ref="AD132:AD195" si="57">+IFERROR(W132/F132,"")</f>
        <v>0.17475728155339806</v>
      </c>
      <c r="AE132" s="67">
        <f t="shared" ref="AE132:AE195" si="58">+IFERROR(X132/F132,"")</f>
        <v>1.9417475728155338E-2</v>
      </c>
      <c r="AF132" s="67">
        <f t="shared" ref="AF132:AF195" si="59">+IFERROR(Y132/F132,"")</f>
        <v>0.1650485436893204</v>
      </c>
      <c r="AG132" s="67">
        <f t="shared" ref="AG132:AG195" si="60">+IFERROR(Z132/F132,"")</f>
        <v>0.1650485436893204</v>
      </c>
      <c r="AH132" s="67">
        <f t="shared" ref="AH132:AH195" si="61">+IFERROR(AA132/F132,"")</f>
        <v>0.13592233009708737</v>
      </c>
      <c r="AI132" s="67">
        <f t="shared" ref="AI132:AI195" si="62">+IFERROR(AB132/F132,"")</f>
        <v>0.26213592233009708</v>
      </c>
      <c r="AJ132" s="66"/>
      <c r="AK132" s="68">
        <v>86.9</v>
      </c>
      <c r="AL132" s="69">
        <v>9.2799999999999994</v>
      </c>
      <c r="AM132" s="69">
        <v>9.2799999999999994</v>
      </c>
      <c r="AN132" s="69">
        <v>97.18</v>
      </c>
      <c r="AO132" s="70">
        <v>80.91</v>
      </c>
      <c r="AP132" s="70">
        <v>28.439999999999898</v>
      </c>
      <c r="AQ132" s="66"/>
      <c r="AR132" s="70" t="s">
        <v>780</v>
      </c>
      <c r="AS132" s="66"/>
      <c r="AT132" s="108">
        <v>1613.9</v>
      </c>
      <c r="AU132" s="109">
        <v>1714</v>
      </c>
      <c r="AV132" s="109">
        <v>0</v>
      </c>
      <c r="AW132" s="109">
        <v>1810</v>
      </c>
      <c r="AX132" s="110">
        <v>0</v>
      </c>
      <c r="AY132" s="110">
        <v>0</v>
      </c>
    </row>
    <row r="133" spans="1:51" x14ac:dyDescent="0.25">
      <c r="A133" s="8" t="s">
        <v>126</v>
      </c>
      <c r="B133" s="5" t="s">
        <v>127</v>
      </c>
      <c r="C133" s="2">
        <v>4.7899999999999991</v>
      </c>
      <c r="D133" s="24">
        <v>1000</v>
      </c>
      <c r="E133" s="26">
        <f t="shared" si="54"/>
        <v>500</v>
      </c>
      <c r="F133" s="26">
        <v>468</v>
      </c>
      <c r="G133" s="30">
        <f t="shared" si="55"/>
        <v>1.0683760683760684</v>
      </c>
      <c r="H133" s="11"/>
      <c r="I133" s="9">
        <v>264</v>
      </c>
      <c r="J133" s="3">
        <v>59</v>
      </c>
      <c r="K133" s="3">
        <v>178</v>
      </c>
      <c r="L133" s="3">
        <v>50</v>
      </c>
      <c r="M133" s="6">
        <v>50</v>
      </c>
      <c r="N133" s="6">
        <v>0</v>
      </c>
      <c r="O133" s="13"/>
      <c r="P133" s="60">
        <f t="shared" si="49"/>
        <v>1264.5599999999997</v>
      </c>
      <c r="Q133" s="61">
        <f t="shared" si="50"/>
        <v>282.60999999999996</v>
      </c>
      <c r="R133" s="61">
        <f t="shared" si="51"/>
        <v>852.61999999999989</v>
      </c>
      <c r="S133" s="62">
        <f t="shared" si="52"/>
        <v>239.49999999999994</v>
      </c>
      <c r="T133" s="63">
        <f t="shared" si="53"/>
        <v>239.49999999999994</v>
      </c>
      <c r="U133" s="63">
        <f t="shared" si="56"/>
        <v>0</v>
      </c>
      <c r="V133" s="64"/>
      <c r="W133" s="60">
        <v>545</v>
      </c>
      <c r="X133" s="61">
        <v>414</v>
      </c>
      <c r="Y133" s="61">
        <v>330</v>
      </c>
      <c r="Z133" s="61">
        <v>444</v>
      </c>
      <c r="AA133" s="65">
        <v>307</v>
      </c>
      <c r="AB133" s="65">
        <v>405</v>
      </c>
      <c r="AC133" s="66"/>
      <c r="AD133" s="67">
        <f t="shared" si="57"/>
        <v>1.1645299145299146</v>
      </c>
      <c r="AE133" s="67">
        <f t="shared" si="58"/>
        <v>0.88461538461538458</v>
      </c>
      <c r="AF133" s="67">
        <f t="shared" si="59"/>
        <v>0.70512820512820518</v>
      </c>
      <c r="AG133" s="67">
        <f t="shared" si="60"/>
        <v>0.94871794871794868</v>
      </c>
      <c r="AH133" s="67">
        <f t="shared" si="61"/>
        <v>0.65598290598290598</v>
      </c>
      <c r="AI133" s="67">
        <f t="shared" si="62"/>
        <v>0.86538461538461542</v>
      </c>
      <c r="AJ133" s="66"/>
      <c r="AK133" s="68">
        <v>1005.77</v>
      </c>
      <c r="AL133" s="69">
        <v>1460.6299999999981</v>
      </c>
      <c r="AM133" s="69">
        <v>1460.6299999999978</v>
      </c>
      <c r="AN133" s="69">
        <v>1115.7399999999982</v>
      </c>
      <c r="AO133" s="70">
        <v>1243.6699999999901</v>
      </c>
      <c r="AP133" s="70">
        <v>1559.76999999999</v>
      </c>
      <c r="AQ133" s="66"/>
      <c r="AR133" s="70" t="s">
        <v>779</v>
      </c>
      <c r="AS133" s="66"/>
      <c r="AT133" s="108">
        <v>2006</v>
      </c>
      <c r="AU133" s="109">
        <v>467.28</v>
      </c>
      <c r="AV133" s="109">
        <v>1454.58</v>
      </c>
      <c r="AW133" s="109">
        <v>354</v>
      </c>
      <c r="AX133" s="110">
        <v>374.5</v>
      </c>
      <c r="AY133" s="110">
        <v>0</v>
      </c>
    </row>
    <row r="134" spans="1:51" x14ac:dyDescent="0.25">
      <c r="A134" s="8">
        <v>5752</v>
      </c>
      <c r="B134" s="5" t="s">
        <v>154</v>
      </c>
      <c r="C134" s="2">
        <v>4.7300000000000004</v>
      </c>
      <c r="D134" s="24">
        <v>160</v>
      </c>
      <c r="E134" s="26">
        <f t="shared" si="54"/>
        <v>80</v>
      </c>
      <c r="F134" s="26">
        <v>111</v>
      </c>
      <c r="G134" s="30">
        <f t="shared" si="55"/>
        <v>0.72072072072072069</v>
      </c>
      <c r="H134" s="11"/>
      <c r="I134" s="9">
        <v>0</v>
      </c>
      <c r="J134" s="3">
        <v>200</v>
      </c>
      <c r="K134" s="3">
        <v>200</v>
      </c>
      <c r="L134" s="3">
        <v>0</v>
      </c>
      <c r="M134" s="6"/>
      <c r="N134" s="6">
        <v>0</v>
      </c>
      <c r="O134" s="13"/>
      <c r="P134" s="60">
        <f t="shared" si="49"/>
        <v>0</v>
      </c>
      <c r="Q134" s="61">
        <f t="shared" si="50"/>
        <v>946.00000000000011</v>
      </c>
      <c r="R134" s="61">
        <f t="shared" si="51"/>
        <v>946.00000000000011</v>
      </c>
      <c r="S134" s="62">
        <f t="shared" si="52"/>
        <v>0</v>
      </c>
      <c r="T134" s="63">
        <f t="shared" si="53"/>
        <v>0</v>
      </c>
      <c r="U134" s="63">
        <f t="shared" si="56"/>
        <v>0</v>
      </c>
      <c r="V134" s="64"/>
      <c r="W134" s="60">
        <v>0</v>
      </c>
      <c r="X134" s="61">
        <v>1</v>
      </c>
      <c r="Y134" s="61">
        <v>0</v>
      </c>
      <c r="Z134" s="61">
        <v>0</v>
      </c>
      <c r="AA134" s="65">
        <v>25</v>
      </c>
      <c r="AB134" s="65">
        <v>67</v>
      </c>
      <c r="AC134" s="66"/>
      <c r="AD134" s="67">
        <f t="shared" si="57"/>
        <v>0</v>
      </c>
      <c r="AE134" s="67">
        <f t="shared" si="58"/>
        <v>9.0090090090090089E-3</v>
      </c>
      <c r="AF134" s="67">
        <f t="shared" si="59"/>
        <v>0</v>
      </c>
      <c r="AG134" s="67">
        <f t="shared" si="60"/>
        <v>0</v>
      </c>
      <c r="AH134" s="67">
        <f t="shared" si="61"/>
        <v>0.22522522522522523</v>
      </c>
      <c r="AI134" s="67">
        <f t="shared" si="62"/>
        <v>0.60360360360360366</v>
      </c>
      <c r="AJ134" s="66"/>
      <c r="AK134" s="68">
        <v>0</v>
      </c>
      <c r="AL134" s="69">
        <v>26.09</v>
      </c>
      <c r="AM134" s="69">
        <v>26.09</v>
      </c>
      <c r="AN134" s="69">
        <v>0</v>
      </c>
      <c r="AO134" s="70">
        <v>118.25000000000001</v>
      </c>
      <c r="AP134" s="70">
        <v>371.3</v>
      </c>
      <c r="AQ134" s="66"/>
      <c r="AR134" s="70" t="s">
        <v>779</v>
      </c>
      <c r="AS134" s="66"/>
      <c r="AT134" s="108">
        <v>0</v>
      </c>
      <c r="AU134" s="109">
        <v>1895</v>
      </c>
      <c r="AV134" s="109">
        <v>1770</v>
      </c>
      <c r="AW134" s="109">
        <v>0</v>
      </c>
      <c r="AX134" s="110">
        <v>0</v>
      </c>
      <c r="AY134" s="110">
        <v>0</v>
      </c>
    </row>
    <row r="135" spans="1:51" x14ac:dyDescent="0.25">
      <c r="A135" s="8">
        <v>5913</v>
      </c>
      <c r="B135" s="5" t="s">
        <v>292</v>
      </c>
      <c r="C135" s="2">
        <v>4.6700000000000017</v>
      </c>
      <c r="D135" s="24">
        <v>3000</v>
      </c>
      <c r="E135" s="26">
        <f t="shared" si="54"/>
        <v>1500</v>
      </c>
      <c r="F135" s="26">
        <v>6561</v>
      </c>
      <c r="G135" s="30">
        <f t="shared" si="55"/>
        <v>0.22862368541380887</v>
      </c>
      <c r="H135" s="11"/>
      <c r="I135" s="9">
        <v>419</v>
      </c>
      <c r="J135" s="3">
        <v>382</v>
      </c>
      <c r="K135" s="3">
        <v>650</v>
      </c>
      <c r="L135" s="3">
        <v>81</v>
      </c>
      <c r="M135" s="6"/>
      <c r="N135" s="6">
        <v>310</v>
      </c>
      <c r="O135" s="13"/>
      <c r="P135" s="60">
        <f t="shared" si="49"/>
        <v>1956.7300000000007</v>
      </c>
      <c r="Q135" s="61">
        <f t="shared" si="50"/>
        <v>1783.9400000000007</v>
      </c>
      <c r="R135" s="61">
        <f t="shared" si="51"/>
        <v>3035.5000000000009</v>
      </c>
      <c r="S135" s="62">
        <f t="shared" si="52"/>
        <v>378.27000000000015</v>
      </c>
      <c r="T135" s="63">
        <f t="shared" si="53"/>
        <v>0</v>
      </c>
      <c r="U135" s="63">
        <f t="shared" si="56"/>
        <v>1447.7000000000005</v>
      </c>
      <c r="V135" s="64"/>
      <c r="W135" s="60">
        <v>638</v>
      </c>
      <c r="X135" s="61">
        <v>310</v>
      </c>
      <c r="Y135" s="61">
        <v>107</v>
      </c>
      <c r="Z135" s="61">
        <v>211</v>
      </c>
      <c r="AA135" s="65">
        <v>505</v>
      </c>
      <c r="AB135" s="65">
        <v>567</v>
      </c>
      <c r="AC135" s="66"/>
      <c r="AD135" s="67">
        <f t="shared" si="57"/>
        <v>9.72412741960067E-2</v>
      </c>
      <c r="AE135" s="67">
        <f t="shared" si="58"/>
        <v>4.7248894985520498E-2</v>
      </c>
      <c r="AF135" s="67">
        <f t="shared" si="59"/>
        <v>1.6308489559518365E-2</v>
      </c>
      <c r="AG135" s="67">
        <f t="shared" si="60"/>
        <v>3.2159731748209117E-2</v>
      </c>
      <c r="AH135" s="67">
        <f t="shared" si="61"/>
        <v>7.6969974089315649E-2</v>
      </c>
      <c r="AI135" s="67">
        <f t="shared" si="62"/>
        <v>8.6419753086419748E-2</v>
      </c>
      <c r="AJ135" s="66"/>
      <c r="AK135" s="68">
        <v>3318.4199999999992</v>
      </c>
      <c r="AL135" s="69">
        <v>2678.1599999999939</v>
      </c>
      <c r="AM135" s="69">
        <v>2678.1599999999944</v>
      </c>
      <c r="AN135" s="69">
        <v>1001.549999999997</v>
      </c>
      <c r="AO135" s="70">
        <v>2072.6399999999899</v>
      </c>
      <c r="AP135" s="70">
        <v>2752.26</v>
      </c>
      <c r="AQ135" s="66"/>
      <c r="AR135" s="70" t="s">
        <v>779</v>
      </c>
      <c r="AS135" s="66"/>
      <c r="AT135" s="108">
        <v>7568.52</v>
      </c>
      <c r="AU135" s="109">
        <v>6812.6</v>
      </c>
      <c r="AV135" s="109">
        <v>11685.119999999999</v>
      </c>
      <c r="AW135" s="109">
        <v>1477.3400000000001</v>
      </c>
      <c r="AX135" s="110">
        <v>0</v>
      </c>
      <c r="AY135" s="110">
        <v>6017</v>
      </c>
    </row>
    <row r="136" spans="1:51" x14ac:dyDescent="0.25">
      <c r="A136" s="8" t="s">
        <v>345</v>
      </c>
      <c r="B136" s="5" t="s">
        <v>346</v>
      </c>
      <c r="C136" s="2">
        <v>4.59</v>
      </c>
      <c r="D136" s="24">
        <v>15000</v>
      </c>
      <c r="E136" s="26">
        <f t="shared" si="54"/>
        <v>7500</v>
      </c>
      <c r="F136" s="26">
        <v>29334</v>
      </c>
      <c r="G136" s="30">
        <f t="shared" si="55"/>
        <v>0.25567600736346902</v>
      </c>
      <c r="H136" s="11"/>
      <c r="I136" s="9">
        <v>0</v>
      </c>
      <c r="J136" s="3">
        <v>0</v>
      </c>
      <c r="K136" s="3">
        <v>0</v>
      </c>
      <c r="L136" s="3">
        <v>293</v>
      </c>
      <c r="M136" s="6">
        <v>539</v>
      </c>
      <c r="N136" s="6">
        <v>1203</v>
      </c>
      <c r="O136" s="13"/>
      <c r="P136" s="60">
        <f t="shared" si="49"/>
        <v>0</v>
      </c>
      <c r="Q136" s="61">
        <f t="shared" si="50"/>
        <v>0</v>
      </c>
      <c r="R136" s="61">
        <f t="shared" si="51"/>
        <v>0</v>
      </c>
      <c r="S136" s="62">
        <f t="shared" si="52"/>
        <v>1344.87</v>
      </c>
      <c r="T136" s="63">
        <f t="shared" si="53"/>
        <v>2474.0099999999998</v>
      </c>
      <c r="U136" s="63">
        <f t="shared" si="56"/>
        <v>5521.7699999999995</v>
      </c>
      <c r="V136" s="64"/>
      <c r="W136" s="60">
        <v>0</v>
      </c>
      <c r="X136" s="61">
        <v>0</v>
      </c>
      <c r="Y136" s="61">
        <v>0</v>
      </c>
      <c r="Z136" s="61">
        <v>0</v>
      </c>
      <c r="AA136" s="65">
        <v>0</v>
      </c>
      <c r="AB136" s="65">
        <v>1235</v>
      </c>
      <c r="AC136" s="66"/>
      <c r="AD136" s="67">
        <f t="shared" si="57"/>
        <v>0</v>
      </c>
      <c r="AE136" s="67">
        <f t="shared" si="58"/>
        <v>0</v>
      </c>
      <c r="AF136" s="67">
        <f t="shared" si="59"/>
        <v>0</v>
      </c>
      <c r="AG136" s="67">
        <f t="shared" si="60"/>
        <v>0</v>
      </c>
      <c r="AH136" s="67">
        <f t="shared" si="61"/>
        <v>0</v>
      </c>
      <c r="AI136" s="67">
        <f t="shared" si="62"/>
        <v>4.2101315879184566E-2</v>
      </c>
      <c r="AJ136" s="66"/>
      <c r="AK136" s="68">
        <v>0</v>
      </c>
      <c r="AL136" s="69">
        <v>0</v>
      </c>
      <c r="AM136" s="69">
        <v>0</v>
      </c>
      <c r="AN136" s="69">
        <v>0</v>
      </c>
      <c r="AO136" s="70">
        <v>0</v>
      </c>
      <c r="AP136" s="70">
        <v>5671.3099999999904</v>
      </c>
      <c r="AQ136" s="66"/>
      <c r="AR136" s="70" t="s">
        <v>779</v>
      </c>
      <c r="AS136" s="66"/>
      <c r="AT136" s="108">
        <v>0</v>
      </c>
      <c r="AU136" s="109">
        <v>0</v>
      </c>
      <c r="AV136" s="109">
        <v>0</v>
      </c>
      <c r="AW136" s="109">
        <v>6844.01</v>
      </c>
      <c r="AX136" s="110">
        <v>12932.61</v>
      </c>
      <c r="AY136" s="110">
        <v>28436.78</v>
      </c>
    </row>
    <row r="137" spans="1:51" x14ac:dyDescent="0.25">
      <c r="A137" s="8" t="s">
        <v>558</v>
      </c>
      <c r="B137" s="5" t="s">
        <v>559</v>
      </c>
      <c r="C137" s="2">
        <v>4.5799999999999983</v>
      </c>
      <c r="D137" s="24">
        <v>5000</v>
      </c>
      <c r="E137" s="26">
        <f t="shared" si="54"/>
        <v>2500</v>
      </c>
      <c r="F137" s="26">
        <v>14774</v>
      </c>
      <c r="G137" s="30">
        <f t="shared" si="55"/>
        <v>0.16921619060511708</v>
      </c>
      <c r="H137" s="11"/>
      <c r="I137" s="9">
        <v>2252.4242424242425</v>
      </c>
      <c r="J137" s="3">
        <v>1244.939393939394</v>
      </c>
      <c r="K137" s="3">
        <v>0</v>
      </c>
      <c r="L137" s="3">
        <v>3757.5757575757571</v>
      </c>
      <c r="M137" s="6">
        <v>3939.393939393939</v>
      </c>
      <c r="N137" s="6">
        <v>3426</v>
      </c>
      <c r="O137" s="13"/>
      <c r="P137" s="60">
        <f t="shared" si="49"/>
        <v>10316.103030303027</v>
      </c>
      <c r="Q137" s="61">
        <f t="shared" si="50"/>
        <v>5701.8224242424221</v>
      </c>
      <c r="R137" s="61">
        <f t="shared" si="51"/>
        <v>0</v>
      </c>
      <c r="S137" s="62">
        <f t="shared" si="52"/>
        <v>17209.696969696961</v>
      </c>
      <c r="T137" s="63">
        <f t="shared" si="53"/>
        <v>18042.424242424233</v>
      </c>
      <c r="U137" s="63">
        <f t="shared" si="56"/>
        <v>15691.079999999994</v>
      </c>
      <c r="V137" s="64"/>
      <c r="W137" s="60">
        <v>1815</v>
      </c>
      <c r="X137" s="61">
        <v>4743</v>
      </c>
      <c r="Y137" s="61">
        <v>1472</v>
      </c>
      <c r="Z137" s="61">
        <v>857</v>
      </c>
      <c r="AA137" s="65">
        <v>1954</v>
      </c>
      <c r="AB137" s="65">
        <v>842</v>
      </c>
      <c r="AC137" s="66"/>
      <c r="AD137" s="67">
        <f t="shared" si="57"/>
        <v>0.12285095437931501</v>
      </c>
      <c r="AE137" s="67">
        <f t="shared" si="58"/>
        <v>0.32103695681602817</v>
      </c>
      <c r="AF137" s="67">
        <f t="shared" si="59"/>
        <v>9.9634493028292942E-2</v>
      </c>
      <c r="AG137" s="67">
        <f t="shared" si="60"/>
        <v>5.8007310139434144E-2</v>
      </c>
      <c r="AH137" s="67">
        <f t="shared" si="61"/>
        <v>0.13225937457695952</v>
      </c>
      <c r="AI137" s="67">
        <f t="shared" si="62"/>
        <v>5.6992012995803441E-2</v>
      </c>
      <c r="AJ137" s="66"/>
      <c r="AK137" s="68">
        <v>7318.0499999999811</v>
      </c>
      <c r="AL137" s="69">
        <v>17162.599999999959</v>
      </c>
      <c r="AM137" s="69">
        <v>17162.599999999959</v>
      </c>
      <c r="AN137" s="69">
        <v>5170.4599999999937</v>
      </c>
      <c r="AO137" s="70">
        <v>2984.99999999998</v>
      </c>
      <c r="AP137" s="70">
        <v>3653.9299999999798</v>
      </c>
      <c r="AQ137" s="66"/>
      <c r="AR137" s="70" t="s">
        <v>780</v>
      </c>
      <c r="AS137" s="66"/>
      <c r="AT137" s="108">
        <v>0</v>
      </c>
      <c r="AU137" s="109">
        <v>0</v>
      </c>
      <c r="AV137" s="109">
        <v>0</v>
      </c>
      <c r="AW137" s="109">
        <v>0</v>
      </c>
      <c r="AX137" s="110">
        <v>0</v>
      </c>
      <c r="AY137" s="110">
        <v>0</v>
      </c>
    </row>
    <row r="138" spans="1:51" x14ac:dyDescent="0.25">
      <c r="A138" s="8" t="s">
        <v>563</v>
      </c>
      <c r="B138" s="5" t="s">
        <v>564</v>
      </c>
      <c r="C138" s="2">
        <v>4.5300000000000011</v>
      </c>
      <c r="D138" s="24">
        <v>4000</v>
      </c>
      <c r="E138" s="26">
        <f t="shared" si="54"/>
        <v>2000</v>
      </c>
      <c r="F138" s="26">
        <v>37997</v>
      </c>
      <c r="G138" s="30">
        <f t="shared" si="55"/>
        <v>5.2635734400084219E-2</v>
      </c>
      <c r="H138" s="11"/>
      <c r="I138" s="9">
        <v>0</v>
      </c>
      <c r="J138" s="3">
        <v>0</v>
      </c>
      <c r="K138" s="3">
        <v>2487.878787878788</v>
      </c>
      <c r="L138" s="3">
        <v>6724.242424242424</v>
      </c>
      <c r="M138" s="6">
        <v>6051.515151515151</v>
      </c>
      <c r="N138" s="6">
        <v>15297</v>
      </c>
      <c r="O138" s="13"/>
      <c r="P138" s="60">
        <f t="shared" si="49"/>
        <v>0</v>
      </c>
      <c r="Q138" s="61">
        <f t="shared" si="50"/>
        <v>0</v>
      </c>
      <c r="R138" s="61">
        <f t="shared" si="51"/>
        <v>11270.090909090912</v>
      </c>
      <c r="S138" s="62">
        <f t="shared" si="52"/>
        <v>30460.818181818187</v>
      </c>
      <c r="T138" s="63">
        <f t="shared" si="53"/>
        <v>27413.36363636364</v>
      </c>
      <c r="U138" s="63">
        <f t="shared" si="56"/>
        <v>69295.410000000018</v>
      </c>
      <c r="V138" s="64"/>
      <c r="W138" s="60">
        <v>0</v>
      </c>
      <c r="X138" s="61">
        <v>0</v>
      </c>
      <c r="Y138" s="61">
        <v>0</v>
      </c>
      <c r="Z138" s="61">
        <v>259</v>
      </c>
      <c r="AA138" s="65">
        <v>5927</v>
      </c>
      <c r="AB138" s="65">
        <v>8369</v>
      </c>
      <c r="AC138" s="66"/>
      <c r="AD138" s="67">
        <f t="shared" si="57"/>
        <v>0</v>
      </c>
      <c r="AE138" s="67">
        <f t="shared" si="58"/>
        <v>0</v>
      </c>
      <c r="AF138" s="67">
        <f t="shared" si="59"/>
        <v>0</v>
      </c>
      <c r="AG138" s="67">
        <f t="shared" si="60"/>
        <v>6.8163276048109058E-3</v>
      </c>
      <c r="AH138" s="67">
        <f t="shared" si="61"/>
        <v>0.15598599889464959</v>
      </c>
      <c r="AI138" s="67">
        <f t="shared" si="62"/>
        <v>0.22025423059715241</v>
      </c>
      <c r="AJ138" s="66"/>
      <c r="AK138" s="68">
        <v>0</v>
      </c>
      <c r="AL138" s="69">
        <v>0</v>
      </c>
      <c r="AM138" s="69">
        <v>0</v>
      </c>
      <c r="AN138" s="69">
        <v>1173.2700000000002</v>
      </c>
      <c r="AO138" s="70">
        <v>874.17999999999802</v>
      </c>
      <c r="AP138" s="70">
        <v>29952.519999999298</v>
      </c>
      <c r="AQ138" s="66"/>
      <c r="AR138" s="70" t="s">
        <v>780</v>
      </c>
      <c r="AS138" s="66"/>
      <c r="AT138" s="108">
        <v>0</v>
      </c>
      <c r="AU138" s="109">
        <v>0</v>
      </c>
      <c r="AV138" s="109">
        <v>171145.65999999997</v>
      </c>
      <c r="AW138" s="109">
        <v>462417.41</v>
      </c>
      <c r="AX138" s="110">
        <v>415894.89</v>
      </c>
      <c r="AY138" s="110">
        <v>869149.89000000013</v>
      </c>
    </row>
    <row r="139" spans="1:51" x14ac:dyDescent="0.25">
      <c r="A139" s="8" t="s">
        <v>806</v>
      </c>
      <c r="B139" s="5" t="s">
        <v>849</v>
      </c>
      <c r="C139" s="2">
        <v>4.488359478082387</v>
      </c>
      <c r="D139" s="24">
        <v>4000</v>
      </c>
      <c r="E139" s="26">
        <f t="shared" si="54"/>
        <v>2000</v>
      </c>
      <c r="F139" s="26">
        <v>8750</v>
      </c>
      <c r="G139" s="30">
        <f t="shared" si="55"/>
        <v>0.22857142857142856</v>
      </c>
      <c r="H139" s="11"/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6">
        <v>4108</v>
      </c>
      <c r="O139" s="13"/>
      <c r="P139" s="60"/>
      <c r="Q139" s="61"/>
      <c r="R139" s="61"/>
      <c r="S139" s="62"/>
      <c r="T139" s="63"/>
      <c r="U139" s="63">
        <f t="shared" si="56"/>
        <v>18438.180735962447</v>
      </c>
      <c r="V139" s="64"/>
      <c r="W139" s="60"/>
      <c r="X139" s="61"/>
      <c r="Y139" s="61"/>
      <c r="Z139" s="61"/>
      <c r="AA139" s="65"/>
      <c r="AB139" s="65"/>
      <c r="AC139" s="66"/>
      <c r="AD139" s="67">
        <f t="shared" si="57"/>
        <v>0</v>
      </c>
      <c r="AE139" s="67">
        <f t="shared" si="58"/>
        <v>0</v>
      </c>
      <c r="AF139" s="67">
        <f t="shared" si="59"/>
        <v>0</v>
      </c>
      <c r="AG139" s="67">
        <f t="shared" si="60"/>
        <v>0</v>
      </c>
      <c r="AH139" s="67">
        <f t="shared" si="61"/>
        <v>0</v>
      </c>
      <c r="AI139" s="67">
        <f t="shared" si="62"/>
        <v>0</v>
      </c>
      <c r="AJ139" s="66"/>
      <c r="AK139" s="68"/>
      <c r="AL139" s="69"/>
      <c r="AM139" s="69"/>
      <c r="AN139" s="69"/>
      <c r="AO139" s="70"/>
      <c r="AP139" s="70"/>
      <c r="AQ139" s="66"/>
      <c r="AR139" s="70" t="s">
        <v>780</v>
      </c>
      <c r="AS139" s="66"/>
      <c r="AT139" s="108">
        <v>0</v>
      </c>
      <c r="AU139" s="109">
        <v>0</v>
      </c>
      <c r="AV139" s="109">
        <v>0</v>
      </c>
      <c r="AW139" s="109">
        <v>0</v>
      </c>
      <c r="AX139" s="110">
        <v>0</v>
      </c>
      <c r="AY139" s="110">
        <v>141076.07999999999</v>
      </c>
    </row>
    <row r="140" spans="1:51" x14ac:dyDescent="0.25">
      <c r="A140" s="8" t="s">
        <v>567</v>
      </c>
      <c r="B140" s="5" t="s">
        <v>568</v>
      </c>
      <c r="C140" s="2">
        <v>4.4500000000000028</v>
      </c>
      <c r="D140" s="24">
        <v>5000</v>
      </c>
      <c r="E140" s="26">
        <f t="shared" si="54"/>
        <v>2500</v>
      </c>
      <c r="F140" s="26">
        <v>12485</v>
      </c>
      <c r="G140" s="30">
        <f t="shared" si="55"/>
        <v>0.2002402883460152</v>
      </c>
      <c r="H140" s="11"/>
      <c r="I140" s="9">
        <v>0</v>
      </c>
      <c r="J140" s="3">
        <v>0</v>
      </c>
      <c r="K140" s="3">
        <v>0</v>
      </c>
      <c r="L140" s="3">
        <v>0</v>
      </c>
      <c r="M140" s="6">
        <v>1930</v>
      </c>
      <c r="N140" s="6">
        <v>4617</v>
      </c>
      <c r="O140" s="13"/>
      <c r="P140" s="60">
        <f t="shared" ref="P140:P156" si="63">+I140*C140</f>
        <v>0</v>
      </c>
      <c r="Q140" s="61">
        <f t="shared" ref="Q140:Q156" si="64">+J140*C140</f>
        <v>0</v>
      </c>
      <c r="R140" s="61">
        <f t="shared" ref="R140:R156" si="65">+K140*C140</f>
        <v>0</v>
      </c>
      <c r="S140" s="62">
        <f t="shared" ref="S140:S156" si="66">+L140*C140</f>
        <v>0</v>
      </c>
      <c r="T140" s="63">
        <f t="shared" ref="T140:T156" si="67">+M140*C140</f>
        <v>8588.5000000000055</v>
      </c>
      <c r="U140" s="63">
        <f t="shared" si="56"/>
        <v>20545.650000000012</v>
      </c>
      <c r="V140" s="64"/>
      <c r="W140" s="60">
        <v>0</v>
      </c>
      <c r="X140" s="61">
        <v>0</v>
      </c>
      <c r="Y140" s="61">
        <v>0</v>
      </c>
      <c r="Z140" s="61">
        <v>0</v>
      </c>
      <c r="AA140" s="65">
        <v>0</v>
      </c>
      <c r="AB140" s="65">
        <v>1178</v>
      </c>
      <c r="AC140" s="66"/>
      <c r="AD140" s="67">
        <f t="shared" si="57"/>
        <v>0</v>
      </c>
      <c r="AE140" s="67">
        <f t="shared" si="58"/>
        <v>0</v>
      </c>
      <c r="AF140" s="67">
        <f t="shared" si="59"/>
        <v>0</v>
      </c>
      <c r="AG140" s="67">
        <f t="shared" si="60"/>
        <v>0</v>
      </c>
      <c r="AH140" s="67">
        <f t="shared" si="61"/>
        <v>0</v>
      </c>
      <c r="AI140" s="67">
        <f t="shared" si="62"/>
        <v>9.4353223868642366E-2</v>
      </c>
      <c r="AJ140" s="66"/>
      <c r="AK140" s="68">
        <v>0</v>
      </c>
      <c r="AL140" s="69">
        <v>0</v>
      </c>
      <c r="AM140" s="69">
        <v>0</v>
      </c>
      <c r="AN140" s="69">
        <v>0</v>
      </c>
      <c r="AO140" s="70">
        <v>0</v>
      </c>
      <c r="AP140" s="70">
        <v>5114.3599999999897</v>
      </c>
      <c r="AQ140" s="66"/>
      <c r="AR140" s="70" t="s">
        <v>780</v>
      </c>
      <c r="AS140" s="66"/>
      <c r="AT140" s="108">
        <v>0</v>
      </c>
      <c r="AU140" s="109">
        <v>0</v>
      </c>
      <c r="AV140" s="109">
        <v>0</v>
      </c>
      <c r="AW140" s="109">
        <v>0</v>
      </c>
      <c r="AX140" s="110">
        <v>132629.6</v>
      </c>
      <c r="AY140" s="110">
        <v>157868.66999999998</v>
      </c>
    </row>
    <row r="141" spans="1:51" x14ac:dyDescent="0.25">
      <c r="A141" s="8" t="s">
        <v>99</v>
      </c>
      <c r="B141" s="5" t="s">
        <v>100</v>
      </c>
      <c r="C141" s="2">
        <v>4.43</v>
      </c>
      <c r="D141" s="24">
        <v>2500</v>
      </c>
      <c r="E141" s="26">
        <f t="shared" si="54"/>
        <v>1250</v>
      </c>
      <c r="F141" s="26">
        <v>2523</v>
      </c>
      <c r="G141" s="30">
        <f t="shared" si="55"/>
        <v>0.49544193420531113</v>
      </c>
      <c r="H141" s="11"/>
      <c r="I141" s="9">
        <v>1240</v>
      </c>
      <c r="J141" s="3">
        <v>1030</v>
      </c>
      <c r="K141" s="3">
        <v>140</v>
      </c>
      <c r="L141" s="3">
        <v>1544</v>
      </c>
      <c r="M141" s="6">
        <v>440</v>
      </c>
      <c r="N141" s="6">
        <v>0</v>
      </c>
      <c r="O141" s="13"/>
      <c r="P141" s="60">
        <f t="shared" si="63"/>
        <v>5493.2</v>
      </c>
      <c r="Q141" s="61">
        <f t="shared" si="64"/>
        <v>4562.8999999999996</v>
      </c>
      <c r="R141" s="61">
        <f t="shared" si="65"/>
        <v>620.19999999999993</v>
      </c>
      <c r="S141" s="62">
        <f t="shared" si="66"/>
        <v>6839.9199999999992</v>
      </c>
      <c r="T141" s="63">
        <f t="shared" si="67"/>
        <v>1949.1999999999998</v>
      </c>
      <c r="U141" s="63">
        <f t="shared" si="56"/>
        <v>0</v>
      </c>
      <c r="V141" s="64"/>
      <c r="W141" s="60">
        <v>0</v>
      </c>
      <c r="X141" s="61">
        <v>457</v>
      </c>
      <c r="Y141" s="61">
        <v>262</v>
      </c>
      <c r="Z141" s="61">
        <v>953</v>
      </c>
      <c r="AA141" s="65">
        <v>1826</v>
      </c>
      <c r="AB141" s="65">
        <v>1481</v>
      </c>
      <c r="AC141" s="66"/>
      <c r="AD141" s="67">
        <f t="shared" si="57"/>
        <v>0</v>
      </c>
      <c r="AE141" s="67">
        <f t="shared" si="58"/>
        <v>0.18113357114546175</v>
      </c>
      <c r="AF141" s="67">
        <f t="shared" si="59"/>
        <v>0.10384462940943322</v>
      </c>
      <c r="AG141" s="67">
        <f t="shared" si="60"/>
        <v>0.37772493063812923</v>
      </c>
      <c r="AH141" s="67">
        <f t="shared" si="61"/>
        <v>0.72374157748711854</v>
      </c>
      <c r="AI141" s="67">
        <f t="shared" si="62"/>
        <v>0.58699960364645265</v>
      </c>
      <c r="AJ141" s="66"/>
      <c r="AK141" s="68">
        <v>0</v>
      </c>
      <c r="AL141" s="69">
        <v>1666.3399999999926</v>
      </c>
      <c r="AM141" s="69">
        <v>1666.3399999999929</v>
      </c>
      <c r="AN141" s="69">
        <v>754.46999999999684</v>
      </c>
      <c r="AO141" s="70">
        <v>3869.46</v>
      </c>
      <c r="AP141" s="70">
        <v>4677.4499999999898</v>
      </c>
      <c r="AQ141" s="66"/>
      <c r="AR141" s="70" t="s">
        <v>779</v>
      </c>
      <c r="AS141" s="66"/>
      <c r="AT141" s="108">
        <v>7019.6</v>
      </c>
      <c r="AU141" s="109">
        <v>5859.85</v>
      </c>
      <c r="AV141" s="109">
        <v>779.1</v>
      </c>
      <c r="AW141" s="109">
        <v>8553.36</v>
      </c>
      <c r="AX141" s="110">
        <v>2384.8000000000002</v>
      </c>
      <c r="AY141" s="110">
        <v>0</v>
      </c>
    </row>
    <row r="142" spans="1:51" x14ac:dyDescent="0.25">
      <c r="A142" s="8" t="s">
        <v>576</v>
      </c>
      <c r="B142" s="5" t="s">
        <v>577</v>
      </c>
      <c r="C142" s="2">
        <v>4.3700000000000045</v>
      </c>
      <c r="D142" s="24">
        <v>300</v>
      </c>
      <c r="E142" s="26">
        <f t="shared" si="54"/>
        <v>150</v>
      </c>
      <c r="F142" s="26">
        <v>869</v>
      </c>
      <c r="G142" s="30">
        <f t="shared" si="55"/>
        <v>0.17261219792865362</v>
      </c>
      <c r="H142" s="11"/>
      <c r="I142" s="9">
        <v>38</v>
      </c>
      <c r="J142" s="3">
        <v>0</v>
      </c>
      <c r="K142" s="3">
        <v>0</v>
      </c>
      <c r="L142" s="3">
        <v>56</v>
      </c>
      <c r="M142" s="6">
        <v>145</v>
      </c>
      <c r="N142" s="6">
        <v>180</v>
      </c>
      <c r="O142" s="13"/>
      <c r="P142" s="60">
        <f t="shared" si="63"/>
        <v>166.06000000000017</v>
      </c>
      <c r="Q142" s="61">
        <f t="shared" si="64"/>
        <v>0</v>
      </c>
      <c r="R142" s="61">
        <f t="shared" si="65"/>
        <v>0</v>
      </c>
      <c r="S142" s="62">
        <f t="shared" si="66"/>
        <v>244.72000000000025</v>
      </c>
      <c r="T142" s="63">
        <f t="shared" si="67"/>
        <v>633.65000000000066</v>
      </c>
      <c r="U142" s="63">
        <f t="shared" si="56"/>
        <v>786.60000000000082</v>
      </c>
      <c r="V142" s="64"/>
      <c r="W142" s="60">
        <v>222</v>
      </c>
      <c r="X142" s="61">
        <v>197</v>
      </c>
      <c r="Y142" s="61">
        <v>91</v>
      </c>
      <c r="Z142" s="61">
        <v>174</v>
      </c>
      <c r="AA142" s="65">
        <v>147</v>
      </c>
      <c r="AB142" s="65">
        <v>120</v>
      </c>
      <c r="AC142" s="66"/>
      <c r="AD142" s="67">
        <f t="shared" si="57"/>
        <v>0.25546605293440738</v>
      </c>
      <c r="AE142" s="67">
        <f t="shared" si="58"/>
        <v>0.22669735327963175</v>
      </c>
      <c r="AF142" s="67">
        <f t="shared" si="59"/>
        <v>0.1047180667433832</v>
      </c>
      <c r="AG142" s="67">
        <f t="shared" si="60"/>
        <v>0.2002301495972382</v>
      </c>
      <c r="AH142" s="67">
        <f t="shared" si="61"/>
        <v>0.16915995397008055</v>
      </c>
      <c r="AI142" s="67">
        <f t="shared" si="62"/>
        <v>0.13808975834292289</v>
      </c>
      <c r="AJ142" s="66"/>
      <c r="AK142" s="68">
        <v>213.34999999999991</v>
      </c>
      <c r="AL142" s="69">
        <v>201.44999999999962</v>
      </c>
      <c r="AM142" s="69">
        <v>201.44999999999965</v>
      </c>
      <c r="AN142" s="69">
        <v>376.89999999999969</v>
      </c>
      <c r="AO142" s="70">
        <v>551.4</v>
      </c>
      <c r="AP142" s="70">
        <v>507.77</v>
      </c>
      <c r="AQ142" s="66"/>
      <c r="AR142" s="70" t="s">
        <v>780</v>
      </c>
      <c r="AS142" s="66"/>
      <c r="AT142" s="108">
        <v>2827.2</v>
      </c>
      <c r="AU142" s="109">
        <v>0</v>
      </c>
      <c r="AV142" s="109">
        <v>0</v>
      </c>
      <c r="AW142" s="109">
        <v>4153.5200000000004</v>
      </c>
      <c r="AX142" s="110">
        <v>16989.52</v>
      </c>
      <c r="AY142" s="110">
        <v>19434.559999999998</v>
      </c>
    </row>
    <row r="143" spans="1:51" x14ac:dyDescent="0.25">
      <c r="A143" s="8">
        <v>5260</v>
      </c>
      <c r="B143" s="5" t="s">
        <v>155</v>
      </c>
      <c r="C143" s="2">
        <v>4.2999999999999989</v>
      </c>
      <c r="D143" s="24">
        <v>5000</v>
      </c>
      <c r="E143" s="26">
        <f t="shared" si="54"/>
        <v>2500</v>
      </c>
      <c r="F143" s="26">
        <v>3194</v>
      </c>
      <c r="G143" s="30">
        <f t="shared" si="55"/>
        <v>0.78271759549154662</v>
      </c>
      <c r="H143" s="11"/>
      <c r="I143" s="9">
        <v>4987.878787878788</v>
      </c>
      <c r="J143" s="3">
        <v>515.15151515151513</v>
      </c>
      <c r="K143" s="3">
        <v>0</v>
      </c>
      <c r="L143" s="3">
        <v>0</v>
      </c>
      <c r="M143" s="6">
        <v>334.84848484848487</v>
      </c>
      <c r="N143" s="6">
        <v>1147</v>
      </c>
      <c r="O143" s="13"/>
      <c r="P143" s="60">
        <f t="shared" si="63"/>
        <v>21447.878787878784</v>
      </c>
      <c r="Q143" s="61">
        <f t="shared" si="64"/>
        <v>2215.1515151515146</v>
      </c>
      <c r="R143" s="61">
        <f t="shared" si="65"/>
        <v>0</v>
      </c>
      <c r="S143" s="62">
        <f t="shared" si="66"/>
        <v>0</v>
      </c>
      <c r="T143" s="63">
        <f t="shared" si="67"/>
        <v>1439.8484848484845</v>
      </c>
      <c r="U143" s="63">
        <f t="shared" si="56"/>
        <v>4932.0999999999985</v>
      </c>
      <c r="V143" s="64"/>
      <c r="W143" s="60">
        <v>452</v>
      </c>
      <c r="X143" s="61">
        <v>1652</v>
      </c>
      <c r="Y143" s="61">
        <v>3297</v>
      </c>
      <c r="Z143" s="61">
        <v>1031</v>
      </c>
      <c r="AA143" s="65">
        <v>1354</v>
      </c>
      <c r="AB143" s="65">
        <v>1310</v>
      </c>
      <c r="AC143" s="66"/>
      <c r="AD143" s="67">
        <f t="shared" si="57"/>
        <v>0.14151534126487164</v>
      </c>
      <c r="AE143" s="67">
        <f t="shared" si="58"/>
        <v>0.51721978710081407</v>
      </c>
      <c r="AF143" s="67">
        <f t="shared" si="59"/>
        <v>1.0322479649342517</v>
      </c>
      <c r="AG143" s="67">
        <f t="shared" si="60"/>
        <v>0.32279273638071382</v>
      </c>
      <c r="AH143" s="67">
        <f t="shared" si="61"/>
        <v>0.42391984971822166</v>
      </c>
      <c r="AI143" s="67">
        <f t="shared" si="62"/>
        <v>0.41014402003757044</v>
      </c>
      <c r="AJ143" s="66"/>
      <c r="AK143" s="68">
        <v>1041.9800000000009</v>
      </c>
      <c r="AL143" s="69">
        <v>3257.529999999997</v>
      </c>
      <c r="AM143" s="69">
        <v>3257.5299999999975</v>
      </c>
      <c r="AN143" s="69">
        <v>6823.2499999999782</v>
      </c>
      <c r="AO143" s="70">
        <v>1655.44999999999</v>
      </c>
      <c r="AP143" s="70">
        <v>4274.95</v>
      </c>
      <c r="AQ143" s="66"/>
      <c r="AR143" s="70" t="s">
        <v>779</v>
      </c>
      <c r="AS143" s="66"/>
      <c r="AT143" s="108">
        <v>44621.409999999989</v>
      </c>
      <c r="AU143" s="109">
        <v>4642.3</v>
      </c>
      <c r="AV143" s="109">
        <v>0</v>
      </c>
      <c r="AW143" s="109">
        <v>0</v>
      </c>
      <c r="AX143" s="110">
        <v>2711.48</v>
      </c>
      <c r="AY143" s="110">
        <v>8533.26</v>
      </c>
    </row>
    <row r="144" spans="1:51" x14ac:dyDescent="0.25">
      <c r="A144" s="8" t="s">
        <v>241</v>
      </c>
      <c r="B144" s="5" t="s">
        <v>242</v>
      </c>
      <c r="C144" s="2">
        <v>4.2699999999999978</v>
      </c>
      <c r="D144" s="24">
        <v>500</v>
      </c>
      <c r="E144" s="26">
        <f t="shared" si="54"/>
        <v>250</v>
      </c>
      <c r="F144" s="26">
        <v>1004</v>
      </c>
      <c r="G144" s="30">
        <f t="shared" si="55"/>
        <v>0.24900398406374502</v>
      </c>
      <c r="H144" s="11"/>
      <c r="I144" s="9">
        <v>0</v>
      </c>
      <c r="J144" s="3">
        <v>0</v>
      </c>
      <c r="K144" s="3">
        <v>0</v>
      </c>
      <c r="L144" s="3">
        <v>100</v>
      </c>
      <c r="M144" s="6">
        <v>200</v>
      </c>
      <c r="N144" s="6">
        <v>300</v>
      </c>
      <c r="O144" s="13"/>
      <c r="P144" s="60">
        <f t="shared" si="63"/>
        <v>0</v>
      </c>
      <c r="Q144" s="61">
        <f t="shared" si="64"/>
        <v>0</v>
      </c>
      <c r="R144" s="61">
        <f t="shared" si="65"/>
        <v>0</v>
      </c>
      <c r="S144" s="62">
        <f t="shared" si="66"/>
        <v>426.99999999999977</v>
      </c>
      <c r="T144" s="63">
        <f t="shared" si="67"/>
        <v>853.99999999999955</v>
      </c>
      <c r="U144" s="63">
        <f t="shared" si="56"/>
        <v>1280.9999999999993</v>
      </c>
      <c r="V144" s="64"/>
      <c r="W144" s="60">
        <v>0</v>
      </c>
      <c r="X144" s="61">
        <v>0</v>
      </c>
      <c r="Y144" s="61">
        <v>0</v>
      </c>
      <c r="Z144" s="61">
        <v>0</v>
      </c>
      <c r="AA144" s="65">
        <v>0</v>
      </c>
      <c r="AB144" s="65">
        <v>94</v>
      </c>
      <c r="AC144" s="66"/>
      <c r="AD144" s="67">
        <f t="shared" si="57"/>
        <v>0</v>
      </c>
      <c r="AE144" s="67">
        <f t="shared" si="58"/>
        <v>0</v>
      </c>
      <c r="AF144" s="67">
        <f t="shared" si="59"/>
        <v>0</v>
      </c>
      <c r="AG144" s="67">
        <f t="shared" si="60"/>
        <v>0</v>
      </c>
      <c r="AH144" s="67">
        <f t="shared" si="61"/>
        <v>0</v>
      </c>
      <c r="AI144" s="67">
        <f t="shared" si="62"/>
        <v>9.3625498007968128E-2</v>
      </c>
      <c r="AJ144" s="66"/>
      <c r="AK144" s="68">
        <v>0</v>
      </c>
      <c r="AL144" s="69">
        <v>0</v>
      </c>
      <c r="AM144" s="69">
        <v>0</v>
      </c>
      <c r="AN144" s="69">
        <v>0</v>
      </c>
      <c r="AO144" s="70">
        <v>0</v>
      </c>
      <c r="AP144" s="70">
        <v>368.61999999999898</v>
      </c>
      <c r="AQ144" s="66"/>
      <c r="AR144" s="70" t="s">
        <v>779</v>
      </c>
      <c r="AS144" s="66"/>
      <c r="AT144" s="108">
        <v>0</v>
      </c>
      <c r="AU144" s="109">
        <v>0</v>
      </c>
      <c r="AV144" s="109">
        <v>0</v>
      </c>
      <c r="AW144" s="109">
        <v>1274</v>
      </c>
      <c r="AX144" s="110">
        <v>2538</v>
      </c>
      <c r="AY144" s="110">
        <v>3811</v>
      </c>
    </row>
    <row r="145" spans="1:51" x14ac:dyDescent="0.25">
      <c r="A145" s="8" t="s">
        <v>502</v>
      </c>
      <c r="B145" s="5" t="s">
        <v>503</v>
      </c>
      <c r="C145" s="2">
        <v>4.25</v>
      </c>
      <c r="D145" s="24">
        <v>8000</v>
      </c>
      <c r="E145" s="26">
        <f t="shared" si="54"/>
        <v>4000</v>
      </c>
      <c r="F145" s="26">
        <v>64517</v>
      </c>
      <c r="G145" s="30">
        <f t="shared" si="55"/>
        <v>6.1999163011299346E-2</v>
      </c>
      <c r="H145" s="11"/>
      <c r="I145" s="9">
        <v>0</v>
      </c>
      <c r="J145" s="3">
        <v>215</v>
      </c>
      <c r="K145" s="3">
        <v>179</v>
      </c>
      <c r="L145" s="3">
        <v>297</v>
      </c>
      <c r="M145" s="6">
        <v>160</v>
      </c>
      <c r="N145" s="6">
        <v>397</v>
      </c>
      <c r="O145" s="13"/>
      <c r="P145" s="60">
        <f t="shared" si="63"/>
        <v>0</v>
      </c>
      <c r="Q145" s="61">
        <f t="shared" si="64"/>
        <v>913.75</v>
      </c>
      <c r="R145" s="61">
        <f t="shared" si="65"/>
        <v>760.75</v>
      </c>
      <c r="S145" s="62">
        <f t="shared" si="66"/>
        <v>1262.25</v>
      </c>
      <c r="T145" s="63">
        <f t="shared" si="67"/>
        <v>680</v>
      </c>
      <c r="U145" s="63">
        <f t="shared" si="56"/>
        <v>1687.25</v>
      </c>
      <c r="V145" s="64"/>
      <c r="W145" s="60">
        <v>0</v>
      </c>
      <c r="X145" s="61">
        <v>0</v>
      </c>
      <c r="Y145" s="61">
        <v>0</v>
      </c>
      <c r="Z145" s="61">
        <v>389</v>
      </c>
      <c r="AA145" s="65">
        <v>294</v>
      </c>
      <c r="AB145" s="65">
        <v>254</v>
      </c>
      <c r="AC145" s="66"/>
      <c r="AD145" s="67">
        <f t="shared" si="57"/>
        <v>0</v>
      </c>
      <c r="AE145" s="67">
        <f t="shared" si="58"/>
        <v>0</v>
      </c>
      <c r="AF145" s="67">
        <f t="shared" si="59"/>
        <v>0</v>
      </c>
      <c r="AG145" s="67">
        <f t="shared" si="60"/>
        <v>6.0294186028488619E-3</v>
      </c>
      <c r="AH145" s="67">
        <f t="shared" si="61"/>
        <v>4.5569384813305023E-3</v>
      </c>
      <c r="AI145" s="67">
        <f t="shared" si="62"/>
        <v>3.9369468512175081E-3</v>
      </c>
      <c r="AJ145" s="66"/>
      <c r="AK145" s="68">
        <v>0</v>
      </c>
      <c r="AL145" s="69">
        <v>0</v>
      </c>
      <c r="AM145" s="69">
        <v>0</v>
      </c>
      <c r="AN145" s="69">
        <v>1653.25</v>
      </c>
      <c r="AO145" s="70">
        <v>1803.52</v>
      </c>
      <c r="AP145" s="70">
        <v>979.16</v>
      </c>
      <c r="AQ145" s="66"/>
      <c r="AR145" s="70" t="s">
        <v>780</v>
      </c>
      <c r="AS145" s="66"/>
      <c r="AT145" s="108">
        <v>0</v>
      </c>
      <c r="AU145" s="109">
        <v>10800.55</v>
      </c>
      <c r="AV145" s="109">
        <v>8760.2800000000007</v>
      </c>
      <c r="AW145" s="109">
        <v>15026.28</v>
      </c>
      <c r="AX145" s="110">
        <v>7894.4</v>
      </c>
      <c r="AY145" s="110">
        <v>20181.2</v>
      </c>
    </row>
    <row r="146" spans="1:51" x14ac:dyDescent="0.25">
      <c r="A146" s="8" t="s">
        <v>107</v>
      </c>
      <c r="B146" s="5" t="s">
        <v>108</v>
      </c>
      <c r="C146" s="2">
        <v>4.2399999999999993</v>
      </c>
      <c r="D146" s="24">
        <v>120</v>
      </c>
      <c r="E146" s="26">
        <f t="shared" si="54"/>
        <v>60</v>
      </c>
      <c r="F146" s="26">
        <v>104</v>
      </c>
      <c r="G146" s="30">
        <f t="shared" si="55"/>
        <v>0.57692307692307687</v>
      </c>
      <c r="H146" s="11"/>
      <c r="I146" s="9">
        <v>0</v>
      </c>
      <c r="J146" s="3">
        <v>303</v>
      </c>
      <c r="K146" s="3">
        <v>136</v>
      </c>
      <c r="L146" s="3">
        <v>105</v>
      </c>
      <c r="M146" s="6"/>
      <c r="N146" s="6">
        <v>0</v>
      </c>
      <c r="O146" s="13"/>
      <c r="P146" s="60">
        <f t="shared" si="63"/>
        <v>0</v>
      </c>
      <c r="Q146" s="61">
        <f t="shared" si="64"/>
        <v>1284.7199999999998</v>
      </c>
      <c r="R146" s="61">
        <f t="shared" si="65"/>
        <v>576.63999999999987</v>
      </c>
      <c r="S146" s="62">
        <f t="shared" si="66"/>
        <v>445.19999999999993</v>
      </c>
      <c r="T146" s="63">
        <f t="shared" si="67"/>
        <v>0</v>
      </c>
      <c r="U146" s="63">
        <f t="shared" si="56"/>
        <v>0</v>
      </c>
      <c r="V146" s="64"/>
      <c r="W146" s="60">
        <v>96</v>
      </c>
      <c r="X146" s="61">
        <v>53</v>
      </c>
      <c r="Y146" s="61">
        <v>0</v>
      </c>
      <c r="Z146" s="61">
        <v>86</v>
      </c>
      <c r="AA146" s="65">
        <v>57</v>
      </c>
      <c r="AB146" s="65">
        <v>72</v>
      </c>
      <c r="AC146" s="66"/>
      <c r="AD146" s="67">
        <f t="shared" si="57"/>
        <v>0.92307692307692313</v>
      </c>
      <c r="AE146" s="67">
        <f t="shared" si="58"/>
        <v>0.50961538461538458</v>
      </c>
      <c r="AF146" s="67">
        <f t="shared" si="59"/>
        <v>0</v>
      </c>
      <c r="AG146" s="67">
        <f t="shared" si="60"/>
        <v>0.82692307692307687</v>
      </c>
      <c r="AH146" s="67">
        <f t="shared" si="61"/>
        <v>0.54807692307692313</v>
      </c>
      <c r="AI146" s="67">
        <f t="shared" si="62"/>
        <v>0.69230769230769229</v>
      </c>
      <c r="AJ146" s="66"/>
      <c r="AK146" s="68">
        <v>358.61</v>
      </c>
      <c r="AL146" s="69">
        <v>215.10999999999999</v>
      </c>
      <c r="AM146" s="69">
        <v>215.10999999999996</v>
      </c>
      <c r="AN146" s="69">
        <v>364.63999999999993</v>
      </c>
      <c r="AO146" s="70">
        <v>466.14</v>
      </c>
      <c r="AP146" s="70">
        <v>265.22000000000003</v>
      </c>
      <c r="AQ146" s="66"/>
      <c r="AR146" s="70" t="s">
        <v>779</v>
      </c>
      <c r="AS146" s="66"/>
      <c r="AT146" s="108">
        <v>0</v>
      </c>
      <c r="AU146" s="109">
        <v>1754.75</v>
      </c>
      <c r="AV146" s="109">
        <v>785.54</v>
      </c>
      <c r="AW146" s="109">
        <v>616.75</v>
      </c>
      <c r="AX146" s="110">
        <v>0</v>
      </c>
      <c r="AY146" s="110">
        <v>0</v>
      </c>
    </row>
    <row r="147" spans="1:51" x14ac:dyDescent="0.25">
      <c r="A147" s="8" t="s">
        <v>323</v>
      </c>
      <c r="B147" s="5" t="s">
        <v>324</v>
      </c>
      <c r="C147" s="2">
        <v>4.2399999999999984</v>
      </c>
      <c r="D147" s="24">
        <v>200</v>
      </c>
      <c r="E147" s="26">
        <f t="shared" si="54"/>
        <v>100</v>
      </c>
      <c r="F147" s="26">
        <v>772</v>
      </c>
      <c r="G147" s="30">
        <f t="shared" si="55"/>
        <v>0.12953367875647667</v>
      </c>
      <c r="H147" s="11"/>
      <c r="I147" s="9">
        <v>1842</v>
      </c>
      <c r="J147" s="3">
        <v>961</v>
      </c>
      <c r="K147" s="3">
        <v>0</v>
      </c>
      <c r="L147" s="3">
        <v>0</v>
      </c>
      <c r="M147" s="6">
        <v>202</v>
      </c>
      <c r="N147" s="6">
        <v>443</v>
      </c>
      <c r="O147" s="13"/>
      <c r="P147" s="60">
        <f t="shared" si="63"/>
        <v>7810.0799999999972</v>
      </c>
      <c r="Q147" s="61">
        <f t="shared" si="64"/>
        <v>4074.6399999999985</v>
      </c>
      <c r="R147" s="61">
        <f t="shared" si="65"/>
        <v>0</v>
      </c>
      <c r="S147" s="62">
        <f t="shared" si="66"/>
        <v>0</v>
      </c>
      <c r="T147" s="63">
        <f t="shared" si="67"/>
        <v>856.47999999999968</v>
      </c>
      <c r="U147" s="63">
        <f t="shared" si="56"/>
        <v>1878.3199999999993</v>
      </c>
      <c r="V147" s="64"/>
      <c r="W147" s="60">
        <v>803</v>
      </c>
      <c r="X147" s="61">
        <v>836</v>
      </c>
      <c r="Y147" s="61">
        <v>705</v>
      </c>
      <c r="Z147" s="61">
        <v>988</v>
      </c>
      <c r="AA147" s="65">
        <v>717</v>
      </c>
      <c r="AB147" s="65">
        <v>527</v>
      </c>
      <c r="AC147" s="66"/>
      <c r="AD147" s="67">
        <f t="shared" si="57"/>
        <v>1.0401554404145077</v>
      </c>
      <c r="AE147" s="67">
        <f t="shared" si="58"/>
        <v>1.0829015544041452</v>
      </c>
      <c r="AF147" s="67">
        <f t="shared" si="59"/>
        <v>0.91321243523316065</v>
      </c>
      <c r="AG147" s="67">
        <f t="shared" si="60"/>
        <v>1.2797927461139897</v>
      </c>
      <c r="AH147" s="67">
        <f t="shared" si="61"/>
        <v>0.92875647668393779</v>
      </c>
      <c r="AI147" s="67">
        <f t="shared" si="62"/>
        <v>0.68264248704663211</v>
      </c>
      <c r="AJ147" s="66"/>
      <c r="AK147" s="68">
        <v>3373.6999999999989</v>
      </c>
      <c r="AL147" s="69">
        <v>3177.0199999999982</v>
      </c>
      <c r="AM147" s="69">
        <v>3177.0199999999982</v>
      </c>
      <c r="AN147" s="69">
        <v>3021.1599999999971</v>
      </c>
      <c r="AO147" s="70">
        <v>2828.86</v>
      </c>
      <c r="AP147" s="70">
        <v>1343.57</v>
      </c>
      <c r="AQ147" s="66"/>
      <c r="AR147" s="70" t="s">
        <v>779</v>
      </c>
      <c r="AS147" s="66"/>
      <c r="AT147" s="108">
        <v>35180.300000000003</v>
      </c>
      <c r="AU147" s="109">
        <v>18405.89</v>
      </c>
      <c r="AV147" s="109">
        <v>0</v>
      </c>
      <c r="AW147" s="109">
        <v>0</v>
      </c>
      <c r="AX147" s="110">
        <v>3648.12</v>
      </c>
      <c r="AY147" s="110">
        <v>7863.25</v>
      </c>
    </row>
    <row r="148" spans="1:51" x14ac:dyDescent="0.25">
      <c r="A148" s="8" t="s">
        <v>273</v>
      </c>
      <c r="B148" s="5" t="s">
        <v>274</v>
      </c>
      <c r="C148" s="2">
        <v>4.2200000000000006</v>
      </c>
      <c r="D148" s="24">
        <v>60</v>
      </c>
      <c r="E148" s="26">
        <f t="shared" si="54"/>
        <v>30</v>
      </c>
      <c r="F148" s="26">
        <v>290</v>
      </c>
      <c r="G148" s="30">
        <f t="shared" si="55"/>
        <v>0.10344827586206896</v>
      </c>
      <c r="H148" s="11"/>
      <c r="I148" s="9">
        <v>300</v>
      </c>
      <c r="J148" s="3">
        <v>0</v>
      </c>
      <c r="K148" s="3">
        <v>0</v>
      </c>
      <c r="L148" s="3">
        <v>0</v>
      </c>
      <c r="M148" s="6"/>
      <c r="N148" s="6">
        <v>0</v>
      </c>
      <c r="O148" s="13"/>
      <c r="P148" s="60">
        <f t="shared" si="63"/>
        <v>1266.0000000000002</v>
      </c>
      <c r="Q148" s="61">
        <f t="shared" si="64"/>
        <v>0</v>
      </c>
      <c r="R148" s="61">
        <f t="shared" si="65"/>
        <v>0</v>
      </c>
      <c r="S148" s="62">
        <f t="shared" si="66"/>
        <v>0</v>
      </c>
      <c r="T148" s="63">
        <f t="shared" si="67"/>
        <v>0</v>
      </c>
      <c r="U148" s="63">
        <f t="shared" si="56"/>
        <v>0</v>
      </c>
      <c r="V148" s="64"/>
      <c r="W148" s="60">
        <v>116</v>
      </c>
      <c r="X148" s="61">
        <v>79</v>
      </c>
      <c r="Y148" s="61">
        <v>78</v>
      </c>
      <c r="Z148" s="61">
        <v>53</v>
      </c>
      <c r="AA148" s="65">
        <v>60</v>
      </c>
      <c r="AB148" s="65">
        <v>48</v>
      </c>
      <c r="AC148" s="66"/>
      <c r="AD148" s="67">
        <f t="shared" si="57"/>
        <v>0.4</v>
      </c>
      <c r="AE148" s="67">
        <f t="shared" si="58"/>
        <v>0.27241379310344827</v>
      </c>
      <c r="AF148" s="67">
        <f t="shared" si="59"/>
        <v>0.26896551724137929</v>
      </c>
      <c r="AG148" s="67">
        <f t="shared" si="60"/>
        <v>0.18275862068965518</v>
      </c>
      <c r="AH148" s="67">
        <f t="shared" si="61"/>
        <v>0.20689655172413793</v>
      </c>
      <c r="AI148" s="67">
        <f t="shared" si="62"/>
        <v>0.16551724137931034</v>
      </c>
      <c r="AJ148" s="66"/>
      <c r="AK148" s="68">
        <v>359.7</v>
      </c>
      <c r="AL148" s="69">
        <v>874.48</v>
      </c>
      <c r="AM148" s="69">
        <v>874.48</v>
      </c>
      <c r="AN148" s="69">
        <v>990.86999999999944</v>
      </c>
      <c r="AO148" s="70">
        <v>606.51999999999896</v>
      </c>
      <c r="AP148" s="70">
        <v>236.629999999999</v>
      </c>
      <c r="AQ148" s="66"/>
      <c r="AR148" s="70" t="s">
        <v>779</v>
      </c>
      <c r="AS148" s="66"/>
      <c r="AT148" s="108">
        <v>4738.5</v>
      </c>
      <c r="AU148" s="109">
        <v>0</v>
      </c>
      <c r="AV148" s="109">
        <v>0</v>
      </c>
      <c r="AW148" s="109">
        <v>0</v>
      </c>
      <c r="AX148" s="110">
        <v>0</v>
      </c>
      <c r="AY148" s="110">
        <v>0</v>
      </c>
    </row>
    <row r="149" spans="1:51" x14ac:dyDescent="0.25">
      <c r="A149" s="8">
        <v>5855</v>
      </c>
      <c r="B149" s="5" t="s">
        <v>171</v>
      </c>
      <c r="C149" s="2">
        <v>4.2100000000000009</v>
      </c>
      <c r="D149" s="24">
        <v>80</v>
      </c>
      <c r="E149" s="26">
        <f t="shared" si="54"/>
        <v>40</v>
      </c>
      <c r="F149" s="26">
        <v>159</v>
      </c>
      <c r="G149" s="30">
        <f t="shared" si="55"/>
        <v>0.25157232704402516</v>
      </c>
      <c r="H149" s="11"/>
      <c r="I149" s="9">
        <v>490</v>
      </c>
      <c r="J149" s="3">
        <v>150</v>
      </c>
      <c r="K149" s="3">
        <v>0</v>
      </c>
      <c r="L149" s="3">
        <v>0</v>
      </c>
      <c r="M149" s="6"/>
      <c r="N149" s="6">
        <v>0</v>
      </c>
      <c r="O149" s="13"/>
      <c r="P149" s="60">
        <f t="shared" si="63"/>
        <v>2062.9000000000005</v>
      </c>
      <c r="Q149" s="61">
        <f t="shared" si="64"/>
        <v>631.50000000000011</v>
      </c>
      <c r="R149" s="61">
        <f t="shared" si="65"/>
        <v>0</v>
      </c>
      <c r="S149" s="62">
        <f t="shared" si="66"/>
        <v>0</v>
      </c>
      <c r="T149" s="63">
        <f t="shared" si="67"/>
        <v>0</v>
      </c>
      <c r="U149" s="63">
        <f t="shared" si="56"/>
        <v>0</v>
      </c>
      <c r="V149" s="64"/>
      <c r="W149" s="60">
        <v>84</v>
      </c>
      <c r="X149" s="61">
        <v>102</v>
      </c>
      <c r="Y149" s="61">
        <v>79</v>
      </c>
      <c r="Z149" s="61">
        <v>64</v>
      </c>
      <c r="AA149" s="65">
        <v>69</v>
      </c>
      <c r="AB149" s="65">
        <v>83</v>
      </c>
      <c r="AC149" s="66"/>
      <c r="AD149" s="67">
        <f t="shared" si="57"/>
        <v>0.52830188679245282</v>
      </c>
      <c r="AE149" s="67">
        <f t="shared" si="58"/>
        <v>0.64150943396226412</v>
      </c>
      <c r="AF149" s="67">
        <f t="shared" si="59"/>
        <v>0.49685534591194969</v>
      </c>
      <c r="AG149" s="67">
        <f t="shared" si="60"/>
        <v>0.40251572327044027</v>
      </c>
      <c r="AH149" s="67">
        <f t="shared" si="61"/>
        <v>0.43396226415094341</v>
      </c>
      <c r="AI149" s="67">
        <f t="shared" si="62"/>
        <v>0.5220125786163522</v>
      </c>
      <c r="AJ149" s="66"/>
      <c r="AK149" s="68">
        <v>2356.58</v>
      </c>
      <c r="AL149" s="69">
        <v>2488.2199999999998</v>
      </c>
      <c r="AM149" s="69">
        <v>2488.2199999999998</v>
      </c>
      <c r="AN149" s="69">
        <v>2113.6099999999988</v>
      </c>
      <c r="AO149" s="70">
        <v>1022</v>
      </c>
      <c r="AP149" s="70">
        <v>273.64</v>
      </c>
      <c r="AQ149" s="66"/>
      <c r="AR149" s="70" t="s">
        <v>779</v>
      </c>
      <c r="AS149" s="66"/>
      <c r="AT149" s="108">
        <v>4384.5</v>
      </c>
      <c r="AU149" s="109">
        <v>1339.5</v>
      </c>
      <c r="AV149" s="109">
        <v>0</v>
      </c>
      <c r="AW149" s="109">
        <v>0</v>
      </c>
      <c r="AX149" s="110">
        <v>0</v>
      </c>
      <c r="AY149" s="110">
        <v>0</v>
      </c>
    </row>
    <row r="150" spans="1:51" x14ac:dyDescent="0.25">
      <c r="A150" s="8" t="s">
        <v>406</v>
      </c>
      <c r="B150" s="5" t="s">
        <v>407</v>
      </c>
      <c r="C150" s="2">
        <v>4.18</v>
      </c>
      <c r="D150" s="24">
        <v>300</v>
      </c>
      <c r="E150" s="26">
        <f t="shared" si="54"/>
        <v>150</v>
      </c>
      <c r="F150" s="26">
        <v>188</v>
      </c>
      <c r="G150" s="30">
        <f t="shared" si="55"/>
        <v>0.7978723404255319</v>
      </c>
      <c r="H150" s="11"/>
      <c r="I150" s="9">
        <v>0</v>
      </c>
      <c r="J150" s="3">
        <v>200</v>
      </c>
      <c r="K150" s="3">
        <v>0</v>
      </c>
      <c r="L150" s="3">
        <v>0</v>
      </c>
      <c r="M150" s="6"/>
      <c r="N150" s="6">
        <v>0</v>
      </c>
      <c r="O150" s="13"/>
      <c r="P150" s="60">
        <f t="shared" si="63"/>
        <v>0</v>
      </c>
      <c r="Q150" s="61">
        <f t="shared" si="64"/>
        <v>836</v>
      </c>
      <c r="R150" s="61">
        <f t="shared" si="65"/>
        <v>0</v>
      </c>
      <c r="S150" s="62">
        <f t="shared" si="66"/>
        <v>0</v>
      </c>
      <c r="T150" s="63">
        <f t="shared" si="67"/>
        <v>0</v>
      </c>
      <c r="U150" s="63">
        <f t="shared" si="56"/>
        <v>0</v>
      </c>
      <c r="V150" s="64"/>
      <c r="W150" s="60">
        <v>95</v>
      </c>
      <c r="X150" s="61">
        <v>115</v>
      </c>
      <c r="Y150" s="61">
        <v>102</v>
      </c>
      <c r="Z150" s="61">
        <v>92</v>
      </c>
      <c r="AA150" s="65">
        <v>88</v>
      </c>
      <c r="AB150" s="65">
        <v>90</v>
      </c>
      <c r="AC150" s="66"/>
      <c r="AD150" s="67">
        <f t="shared" si="57"/>
        <v>0.50531914893617025</v>
      </c>
      <c r="AE150" s="67">
        <f t="shared" si="58"/>
        <v>0.61170212765957444</v>
      </c>
      <c r="AF150" s="67">
        <f t="shared" si="59"/>
        <v>0.54255319148936165</v>
      </c>
      <c r="AG150" s="67">
        <f t="shared" si="60"/>
        <v>0.48936170212765956</v>
      </c>
      <c r="AH150" s="67">
        <f t="shared" si="61"/>
        <v>0.46808510638297873</v>
      </c>
      <c r="AI150" s="67">
        <f t="shared" si="62"/>
        <v>0.47872340425531917</v>
      </c>
      <c r="AJ150" s="66"/>
      <c r="AK150" s="68">
        <v>487.2399999999999</v>
      </c>
      <c r="AL150" s="69">
        <v>586.06999999999994</v>
      </c>
      <c r="AM150" s="69">
        <v>586.06999999999971</v>
      </c>
      <c r="AN150" s="69">
        <v>487.79999999999961</v>
      </c>
      <c r="AO150" s="70">
        <v>491.15</v>
      </c>
      <c r="AP150" s="70">
        <v>394.77</v>
      </c>
      <c r="AQ150" s="66"/>
      <c r="AR150" s="70" t="s">
        <v>779</v>
      </c>
      <c r="AS150" s="66"/>
      <c r="AT150" s="108">
        <v>0</v>
      </c>
      <c r="AU150" s="109">
        <v>6036</v>
      </c>
      <c r="AV150" s="109">
        <v>0</v>
      </c>
      <c r="AW150" s="109">
        <v>0</v>
      </c>
      <c r="AX150" s="110">
        <v>0</v>
      </c>
      <c r="AY150" s="110">
        <v>0</v>
      </c>
    </row>
    <row r="151" spans="1:51" x14ac:dyDescent="0.25">
      <c r="A151" s="8" t="s">
        <v>270</v>
      </c>
      <c r="B151" s="5" t="s">
        <v>271</v>
      </c>
      <c r="C151" s="2">
        <v>4.0599999999999987</v>
      </c>
      <c r="D151" s="24">
        <v>3000</v>
      </c>
      <c r="E151" s="26">
        <f t="shared" si="54"/>
        <v>1500</v>
      </c>
      <c r="F151" s="26">
        <v>4553</v>
      </c>
      <c r="G151" s="30">
        <f t="shared" si="55"/>
        <v>0.32945310784098397</v>
      </c>
      <c r="H151" s="11"/>
      <c r="I151" s="9">
        <v>350</v>
      </c>
      <c r="J151" s="3">
        <v>0</v>
      </c>
      <c r="K151" s="3">
        <v>0</v>
      </c>
      <c r="L151" s="3">
        <v>0</v>
      </c>
      <c r="M151" s="6"/>
      <c r="N151" s="6">
        <v>0</v>
      </c>
      <c r="O151" s="13"/>
      <c r="P151" s="60">
        <f t="shared" si="63"/>
        <v>1420.9999999999995</v>
      </c>
      <c r="Q151" s="61">
        <f t="shared" si="64"/>
        <v>0</v>
      </c>
      <c r="R151" s="61">
        <f t="shared" si="65"/>
        <v>0</v>
      </c>
      <c r="S151" s="62">
        <f t="shared" si="66"/>
        <v>0</v>
      </c>
      <c r="T151" s="63">
        <f t="shared" si="67"/>
        <v>0</v>
      </c>
      <c r="U151" s="63">
        <f t="shared" si="56"/>
        <v>0</v>
      </c>
      <c r="V151" s="64"/>
      <c r="W151" s="60">
        <v>0</v>
      </c>
      <c r="X151" s="61">
        <v>349</v>
      </c>
      <c r="Y151" s="61">
        <v>0</v>
      </c>
      <c r="Z151" s="61">
        <v>0</v>
      </c>
      <c r="AA151" s="65">
        <v>0</v>
      </c>
      <c r="AB151" s="65">
        <v>0</v>
      </c>
      <c r="AC151" s="66"/>
      <c r="AD151" s="67">
        <f t="shared" si="57"/>
        <v>0</v>
      </c>
      <c r="AE151" s="67">
        <f t="shared" si="58"/>
        <v>7.6652756424335597E-2</v>
      </c>
      <c r="AF151" s="67">
        <f t="shared" si="59"/>
        <v>0</v>
      </c>
      <c r="AG151" s="67">
        <f t="shared" si="60"/>
        <v>0</v>
      </c>
      <c r="AH151" s="67">
        <f t="shared" si="61"/>
        <v>0</v>
      </c>
      <c r="AI151" s="67">
        <f t="shared" si="62"/>
        <v>0</v>
      </c>
      <c r="AJ151" s="66"/>
      <c r="AK151" s="68">
        <v>0</v>
      </c>
      <c r="AL151" s="69">
        <v>761.97</v>
      </c>
      <c r="AM151" s="69">
        <v>761.97</v>
      </c>
      <c r="AN151" s="69">
        <v>0</v>
      </c>
      <c r="AO151" s="70">
        <v>0</v>
      </c>
      <c r="AP151" s="70">
        <v>0</v>
      </c>
      <c r="AQ151" s="66"/>
      <c r="AR151" s="70" t="s">
        <v>779</v>
      </c>
      <c r="AS151" s="66"/>
      <c r="AT151" s="108">
        <v>5236</v>
      </c>
      <c r="AU151" s="109">
        <v>0</v>
      </c>
      <c r="AV151" s="109">
        <v>0</v>
      </c>
      <c r="AW151" s="109">
        <v>0</v>
      </c>
      <c r="AX151" s="110">
        <v>0</v>
      </c>
      <c r="AY151" s="110">
        <v>0</v>
      </c>
    </row>
    <row r="152" spans="1:51" x14ac:dyDescent="0.25">
      <c r="A152" s="8" t="s">
        <v>265</v>
      </c>
      <c r="B152" s="5" t="s">
        <v>266</v>
      </c>
      <c r="C152" s="2">
        <v>4.0400000000000009</v>
      </c>
      <c r="D152" s="24">
        <v>50</v>
      </c>
      <c r="E152" s="26">
        <f t="shared" si="54"/>
        <v>25</v>
      </c>
      <c r="F152" s="26">
        <v>130</v>
      </c>
      <c r="G152" s="30">
        <f t="shared" si="55"/>
        <v>0.19230769230769232</v>
      </c>
      <c r="H152" s="11"/>
      <c r="I152" s="9">
        <v>100</v>
      </c>
      <c r="J152" s="3">
        <v>0</v>
      </c>
      <c r="K152" s="3">
        <v>96</v>
      </c>
      <c r="L152" s="3">
        <v>100</v>
      </c>
      <c r="M152" s="6"/>
      <c r="N152" s="6">
        <v>154</v>
      </c>
      <c r="O152" s="13"/>
      <c r="P152" s="60">
        <f t="shared" si="63"/>
        <v>404.00000000000011</v>
      </c>
      <c r="Q152" s="61">
        <f t="shared" si="64"/>
        <v>0</v>
      </c>
      <c r="R152" s="61">
        <f t="shared" si="65"/>
        <v>387.84000000000009</v>
      </c>
      <c r="S152" s="62">
        <f t="shared" si="66"/>
        <v>404.00000000000011</v>
      </c>
      <c r="T152" s="63">
        <f t="shared" si="67"/>
        <v>0</v>
      </c>
      <c r="U152" s="63">
        <f t="shared" si="56"/>
        <v>622.1600000000002</v>
      </c>
      <c r="V152" s="64"/>
      <c r="W152" s="60">
        <v>53</v>
      </c>
      <c r="X152" s="61">
        <v>123</v>
      </c>
      <c r="Y152" s="61">
        <v>36</v>
      </c>
      <c r="Z152" s="61">
        <v>98</v>
      </c>
      <c r="AA152" s="65">
        <v>40</v>
      </c>
      <c r="AB152" s="65">
        <v>64</v>
      </c>
      <c r="AC152" s="66"/>
      <c r="AD152" s="67">
        <f t="shared" si="57"/>
        <v>0.40769230769230769</v>
      </c>
      <c r="AE152" s="67">
        <f t="shared" si="58"/>
        <v>0.94615384615384612</v>
      </c>
      <c r="AF152" s="67">
        <f t="shared" si="59"/>
        <v>0.27692307692307694</v>
      </c>
      <c r="AG152" s="67">
        <f t="shared" si="60"/>
        <v>0.75384615384615383</v>
      </c>
      <c r="AH152" s="67">
        <f t="shared" si="61"/>
        <v>0.30769230769230771</v>
      </c>
      <c r="AI152" s="67">
        <f t="shared" si="62"/>
        <v>0.49230769230769234</v>
      </c>
      <c r="AJ152" s="66"/>
      <c r="AK152" s="68">
        <v>425.69000000000011</v>
      </c>
      <c r="AL152" s="69">
        <v>471.25999999999965</v>
      </c>
      <c r="AM152" s="69">
        <v>471.25999999999971</v>
      </c>
      <c r="AN152" s="69">
        <v>121.4899999999999</v>
      </c>
      <c r="AO152" s="70">
        <v>280.849999999999</v>
      </c>
      <c r="AP152" s="70">
        <v>125.81</v>
      </c>
      <c r="AQ152" s="66"/>
      <c r="AR152" s="70" t="s">
        <v>779</v>
      </c>
      <c r="AS152" s="66"/>
      <c r="AT152" s="108">
        <v>1457</v>
      </c>
      <c r="AU152" s="109">
        <v>0</v>
      </c>
      <c r="AV152" s="109">
        <v>1408.32</v>
      </c>
      <c r="AW152" s="109">
        <v>1416</v>
      </c>
      <c r="AX152" s="110">
        <v>0</v>
      </c>
      <c r="AY152" s="110">
        <v>2162.46</v>
      </c>
    </row>
    <row r="153" spans="1:51" x14ac:dyDescent="0.25">
      <c r="A153" s="8" t="s">
        <v>694</v>
      </c>
      <c r="B153" s="5" t="s">
        <v>695</v>
      </c>
      <c r="C153" s="2">
        <v>4.039999999999992</v>
      </c>
      <c r="D153" s="24">
        <v>2000</v>
      </c>
      <c r="E153" s="26">
        <f t="shared" si="54"/>
        <v>1000</v>
      </c>
      <c r="F153" s="26">
        <v>10390</v>
      </c>
      <c r="G153" s="30">
        <f t="shared" si="55"/>
        <v>9.6246390760346481E-2</v>
      </c>
      <c r="H153" s="11"/>
      <c r="I153" s="9">
        <v>97</v>
      </c>
      <c r="J153" s="3">
        <v>50</v>
      </c>
      <c r="K153" s="3">
        <v>0</v>
      </c>
      <c r="L153" s="3">
        <v>0</v>
      </c>
      <c r="M153" s="6">
        <v>29</v>
      </c>
      <c r="N153" s="6">
        <v>91</v>
      </c>
      <c r="O153" s="13"/>
      <c r="P153" s="60">
        <f t="shared" si="63"/>
        <v>391.8799999999992</v>
      </c>
      <c r="Q153" s="61">
        <f t="shared" si="64"/>
        <v>201.9999999999996</v>
      </c>
      <c r="R153" s="61">
        <f t="shared" si="65"/>
        <v>0</v>
      </c>
      <c r="S153" s="62">
        <f t="shared" si="66"/>
        <v>0</v>
      </c>
      <c r="T153" s="63">
        <f t="shared" si="67"/>
        <v>117.15999999999977</v>
      </c>
      <c r="U153" s="63">
        <f t="shared" si="56"/>
        <v>367.6399999999993</v>
      </c>
      <c r="V153" s="64"/>
      <c r="W153" s="60">
        <v>304</v>
      </c>
      <c r="X153" s="61">
        <v>96</v>
      </c>
      <c r="Y153" s="61">
        <v>48</v>
      </c>
      <c r="Z153" s="61">
        <v>0</v>
      </c>
      <c r="AA153" s="65">
        <v>0</v>
      </c>
      <c r="AB153" s="65">
        <v>0</v>
      </c>
      <c r="AC153" s="66"/>
      <c r="AD153" s="67">
        <f t="shared" si="57"/>
        <v>2.9258902791145333E-2</v>
      </c>
      <c r="AE153" s="67">
        <f t="shared" si="58"/>
        <v>9.2396535129932629E-3</v>
      </c>
      <c r="AF153" s="67">
        <f t="shared" si="59"/>
        <v>4.6198267564966315E-3</v>
      </c>
      <c r="AG153" s="67">
        <f t="shared" si="60"/>
        <v>0</v>
      </c>
      <c r="AH153" s="67">
        <f t="shared" si="61"/>
        <v>0</v>
      </c>
      <c r="AI153" s="67">
        <f t="shared" si="62"/>
        <v>0</v>
      </c>
      <c r="AJ153" s="66"/>
      <c r="AK153" s="68">
        <v>180.8599999999999</v>
      </c>
      <c r="AL153" s="69">
        <v>320.64</v>
      </c>
      <c r="AM153" s="69">
        <v>320.64</v>
      </c>
      <c r="AN153" s="69">
        <v>198.72</v>
      </c>
      <c r="AO153" s="70">
        <v>0</v>
      </c>
      <c r="AP153" s="70">
        <v>0</v>
      </c>
      <c r="AQ153" s="66"/>
      <c r="AR153" s="70" t="s">
        <v>780</v>
      </c>
      <c r="AS153" s="66"/>
      <c r="AT153" s="108">
        <v>22318.730000000003</v>
      </c>
      <c r="AU153" s="109">
        <v>11696.5</v>
      </c>
      <c r="AV153" s="109">
        <v>0</v>
      </c>
      <c r="AW153" s="109">
        <v>0</v>
      </c>
      <c r="AX153" s="110">
        <v>6515.43</v>
      </c>
      <c r="AY153" s="110">
        <v>20808.910000000003</v>
      </c>
    </row>
    <row r="154" spans="1:51" x14ac:dyDescent="0.25">
      <c r="A154" s="8">
        <v>5466</v>
      </c>
      <c r="B154" s="5" t="s">
        <v>461</v>
      </c>
      <c r="C154" s="2">
        <v>4.0200000000000031</v>
      </c>
      <c r="D154" s="24">
        <v>500</v>
      </c>
      <c r="E154" s="26">
        <f t="shared" si="54"/>
        <v>250</v>
      </c>
      <c r="F154" s="26">
        <v>122</v>
      </c>
      <c r="G154" s="30">
        <f t="shared" si="55"/>
        <v>2.0491803278688523</v>
      </c>
      <c r="H154" s="11"/>
      <c r="I154" s="9">
        <v>50</v>
      </c>
      <c r="J154" s="3">
        <v>50</v>
      </c>
      <c r="K154" s="3">
        <v>150</v>
      </c>
      <c r="L154" s="3">
        <v>450</v>
      </c>
      <c r="M154" s="6">
        <v>50</v>
      </c>
      <c r="N154" s="6">
        <v>0</v>
      </c>
      <c r="O154" s="13"/>
      <c r="P154" s="60">
        <f t="shared" si="63"/>
        <v>201.00000000000017</v>
      </c>
      <c r="Q154" s="61">
        <f t="shared" si="64"/>
        <v>201.00000000000017</v>
      </c>
      <c r="R154" s="61">
        <f t="shared" si="65"/>
        <v>603.00000000000045</v>
      </c>
      <c r="S154" s="62">
        <f t="shared" si="66"/>
        <v>1809.0000000000014</v>
      </c>
      <c r="T154" s="63">
        <f t="shared" si="67"/>
        <v>201.00000000000017</v>
      </c>
      <c r="U154" s="63">
        <f t="shared" si="56"/>
        <v>0</v>
      </c>
      <c r="V154" s="64"/>
      <c r="W154" s="60">
        <v>490</v>
      </c>
      <c r="X154" s="61">
        <v>280</v>
      </c>
      <c r="Y154" s="61">
        <v>336</v>
      </c>
      <c r="Z154" s="61">
        <v>263</v>
      </c>
      <c r="AA154" s="65">
        <v>266</v>
      </c>
      <c r="AB154" s="65">
        <v>342</v>
      </c>
      <c r="AC154" s="66"/>
      <c r="AD154" s="67">
        <f t="shared" si="57"/>
        <v>4.0163934426229506</v>
      </c>
      <c r="AE154" s="67">
        <f t="shared" si="58"/>
        <v>2.2950819672131146</v>
      </c>
      <c r="AF154" s="67">
        <f t="shared" si="59"/>
        <v>2.7540983606557377</v>
      </c>
      <c r="AG154" s="67">
        <f t="shared" si="60"/>
        <v>2.1557377049180326</v>
      </c>
      <c r="AH154" s="67">
        <f t="shared" si="61"/>
        <v>2.180327868852459</v>
      </c>
      <c r="AI154" s="67">
        <f t="shared" si="62"/>
        <v>2.8032786885245899</v>
      </c>
      <c r="AJ154" s="66"/>
      <c r="AK154" s="68">
        <v>1310.1500000000001</v>
      </c>
      <c r="AL154" s="69">
        <v>914.1299999999992</v>
      </c>
      <c r="AM154" s="69">
        <v>914.12999999999897</v>
      </c>
      <c r="AN154" s="69">
        <v>488.49999999999886</v>
      </c>
      <c r="AO154" s="70">
        <v>208.54999999999899</v>
      </c>
      <c r="AP154" s="70">
        <v>528.35</v>
      </c>
      <c r="AQ154" s="66"/>
      <c r="AR154" s="70" t="s">
        <v>780</v>
      </c>
      <c r="AS154" s="66"/>
      <c r="AT154" s="108">
        <v>2035.5</v>
      </c>
      <c r="AU154" s="109">
        <v>2079.5</v>
      </c>
      <c r="AV154" s="109">
        <v>6271.5</v>
      </c>
      <c r="AW154" s="109">
        <v>17919</v>
      </c>
      <c r="AX154" s="110">
        <v>1850</v>
      </c>
      <c r="AY154" s="110">
        <v>0</v>
      </c>
    </row>
    <row r="155" spans="1:51" x14ac:dyDescent="0.25">
      <c r="A155" s="8" t="s">
        <v>526</v>
      </c>
      <c r="B155" s="5" t="s">
        <v>527</v>
      </c>
      <c r="C155" s="2">
        <v>4.0200000000000031</v>
      </c>
      <c r="D155" s="24">
        <v>1000</v>
      </c>
      <c r="E155" s="26">
        <f t="shared" si="54"/>
        <v>500</v>
      </c>
      <c r="F155" s="26">
        <v>1689</v>
      </c>
      <c r="G155" s="30">
        <f t="shared" si="55"/>
        <v>0.29603315571343991</v>
      </c>
      <c r="H155" s="11"/>
      <c r="I155" s="9">
        <v>68</v>
      </c>
      <c r="J155" s="3">
        <v>136</v>
      </c>
      <c r="K155" s="3">
        <v>0</v>
      </c>
      <c r="L155" s="3">
        <v>70</v>
      </c>
      <c r="M155" s="6"/>
      <c r="N155" s="6">
        <v>0</v>
      </c>
      <c r="O155" s="13"/>
      <c r="P155" s="60">
        <f t="shared" si="63"/>
        <v>273.36000000000024</v>
      </c>
      <c r="Q155" s="61">
        <f t="shared" si="64"/>
        <v>546.72000000000048</v>
      </c>
      <c r="R155" s="61">
        <f t="shared" si="65"/>
        <v>0</v>
      </c>
      <c r="S155" s="62">
        <f t="shared" si="66"/>
        <v>281.4000000000002</v>
      </c>
      <c r="T155" s="63">
        <f t="shared" si="67"/>
        <v>0</v>
      </c>
      <c r="U155" s="63">
        <f t="shared" si="56"/>
        <v>0</v>
      </c>
      <c r="V155" s="64"/>
      <c r="W155" s="60">
        <v>376</v>
      </c>
      <c r="X155" s="61">
        <v>363</v>
      </c>
      <c r="Y155" s="61">
        <v>630</v>
      </c>
      <c r="Z155" s="61">
        <v>169</v>
      </c>
      <c r="AA155" s="65">
        <v>412</v>
      </c>
      <c r="AB155" s="65">
        <v>740</v>
      </c>
      <c r="AC155" s="66"/>
      <c r="AD155" s="67">
        <f t="shared" si="57"/>
        <v>0.22261693309650682</v>
      </c>
      <c r="AE155" s="67">
        <f t="shared" si="58"/>
        <v>0.21492007104795738</v>
      </c>
      <c r="AF155" s="67">
        <f t="shared" si="59"/>
        <v>0.37300177619893427</v>
      </c>
      <c r="AG155" s="67">
        <f t="shared" si="60"/>
        <v>0.10005920663114269</v>
      </c>
      <c r="AH155" s="67">
        <f t="shared" si="61"/>
        <v>0.24393132030787448</v>
      </c>
      <c r="AI155" s="67">
        <f t="shared" si="62"/>
        <v>0.43812907045589106</v>
      </c>
      <c r="AJ155" s="66"/>
      <c r="AK155" s="68">
        <v>2388.0699999999988</v>
      </c>
      <c r="AL155" s="69">
        <v>1611.6399999999996</v>
      </c>
      <c r="AM155" s="69">
        <v>1611.6399999999999</v>
      </c>
      <c r="AN155" s="69">
        <v>1497.3099999999981</v>
      </c>
      <c r="AO155" s="70">
        <v>693.05000000000098</v>
      </c>
      <c r="AP155" s="70">
        <v>2842.6999999999898</v>
      </c>
      <c r="AQ155" s="66"/>
      <c r="AR155" s="70" t="s">
        <v>780</v>
      </c>
      <c r="AS155" s="66"/>
      <c r="AT155" s="108">
        <v>3272.16</v>
      </c>
      <c r="AU155" s="109">
        <v>6508.2</v>
      </c>
      <c r="AV155" s="109">
        <v>0</v>
      </c>
      <c r="AW155" s="109">
        <v>3342</v>
      </c>
      <c r="AX155" s="110">
        <v>0</v>
      </c>
      <c r="AY155" s="110">
        <v>0</v>
      </c>
    </row>
    <row r="156" spans="1:51" x14ac:dyDescent="0.25">
      <c r="A156" s="8">
        <v>5559</v>
      </c>
      <c r="B156" s="5" t="s">
        <v>231</v>
      </c>
      <c r="C156" s="2">
        <v>4.01</v>
      </c>
      <c r="D156" s="24">
        <v>500</v>
      </c>
      <c r="E156" s="26">
        <f t="shared" si="54"/>
        <v>250</v>
      </c>
      <c r="F156" s="26">
        <v>555</v>
      </c>
      <c r="G156" s="30">
        <f t="shared" si="55"/>
        <v>0.45045045045045046</v>
      </c>
      <c r="H156" s="11"/>
      <c r="I156" s="9">
        <v>0</v>
      </c>
      <c r="J156" s="3">
        <v>400</v>
      </c>
      <c r="K156" s="3">
        <v>100</v>
      </c>
      <c r="L156" s="3">
        <v>150</v>
      </c>
      <c r="M156" s="6">
        <v>2240</v>
      </c>
      <c r="N156" s="6">
        <v>0</v>
      </c>
      <c r="O156" s="13"/>
      <c r="P156" s="60">
        <f t="shared" si="63"/>
        <v>0</v>
      </c>
      <c r="Q156" s="61">
        <f t="shared" si="64"/>
        <v>1604</v>
      </c>
      <c r="R156" s="61">
        <f t="shared" si="65"/>
        <v>401</v>
      </c>
      <c r="S156" s="62">
        <f t="shared" si="66"/>
        <v>601.5</v>
      </c>
      <c r="T156" s="63">
        <f t="shared" si="67"/>
        <v>8982.4</v>
      </c>
      <c r="U156" s="63">
        <f t="shared" si="56"/>
        <v>0</v>
      </c>
      <c r="V156" s="64"/>
      <c r="W156" s="60">
        <v>523</v>
      </c>
      <c r="X156" s="61">
        <v>350</v>
      </c>
      <c r="Y156" s="61">
        <v>410</v>
      </c>
      <c r="Z156" s="61">
        <v>161</v>
      </c>
      <c r="AA156" s="65">
        <v>89</v>
      </c>
      <c r="AB156" s="65">
        <v>363</v>
      </c>
      <c r="AC156" s="66"/>
      <c r="AD156" s="67">
        <f t="shared" si="57"/>
        <v>0.94234234234234238</v>
      </c>
      <c r="AE156" s="67">
        <f t="shared" si="58"/>
        <v>0.63063063063063063</v>
      </c>
      <c r="AF156" s="67">
        <f t="shared" si="59"/>
        <v>0.73873873873873874</v>
      </c>
      <c r="AG156" s="67">
        <f t="shared" si="60"/>
        <v>0.29009009009009007</v>
      </c>
      <c r="AH156" s="67">
        <f t="shared" si="61"/>
        <v>0.16036036036036036</v>
      </c>
      <c r="AI156" s="67">
        <f t="shared" si="62"/>
        <v>0.65405405405405403</v>
      </c>
      <c r="AJ156" s="66"/>
      <c r="AK156" s="68">
        <v>4693.26</v>
      </c>
      <c r="AL156" s="69">
        <v>3159.0199999999954</v>
      </c>
      <c r="AM156" s="69">
        <v>3159.0199999999945</v>
      </c>
      <c r="AN156" s="69">
        <v>2034.8499999999981</v>
      </c>
      <c r="AO156" s="70">
        <v>260.41000000000003</v>
      </c>
      <c r="AP156" s="70">
        <v>1494.8599999999899</v>
      </c>
      <c r="AQ156" s="66"/>
      <c r="AR156" s="70" t="s">
        <v>779</v>
      </c>
      <c r="AS156" s="66"/>
      <c r="AT156" s="108">
        <v>0</v>
      </c>
      <c r="AU156" s="109">
        <v>4284</v>
      </c>
      <c r="AV156" s="109">
        <v>1069</v>
      </c>
      <c r="AW156" s="109">
        <v>1603.5</v>
      </c>
      <c r="AX156" s="110">
        <v>24530.400000000001</v>
      </c>
      <c r="AY156" s="110">
        <v>0</v>
      </c>
    </row>
    <row r="157" spans="1:51" x14ac:dyDescent="0.25">
      <c r="A157" s="8" t="s">
        <v>791</v>
      </c>
      <c r="B157" s="5" t="s">
        <v>834</v>
      </c>
      <c r="C157" s="2">
        <v>3.9302076620121733</v>
      </c>
      <c r="D157" s="24">
        <v>100</v>
      </c>
      <c r="E157" s="26">
        <f t="shared" si="54"/>
        <v>50</v>
      </c>
      <c r="F157" s="26">
        <v>36</v>
      </c>
      <c r="G157" s="30">
        <f t="shared" si="55"/>
        <v>1.3888888888888888</v>
      </c>
      <c r="H157" s="11"/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6">
        <v>0</v>
      </c>
      <c r="O157" s="13"/>
      <c r="P157" s="60"/>
      <c r="Q157" s="61"/>
      <c r="R157" s="61"/>
      <c r="S157" s="62"/>
      <c r="T157" s="63"/>
      <c r="U157" s="63">
        <f t="shared" si="56"/>
        <v>0</v>
      </c>
      <c r="V157" s="64"/>
      <c r="W157" s="60"/>
      <c r="X157" s="61"/>
      <c r="Y157" s="61"/>
      <c r="Z157" s="61"/>
      <c r="AA157" s="65"/>
      <c r="AB157" s="65"/>
      <c r="AC157" s="66"/>
      <c r="AD157" s="67">
        <f t="shared" si="57"/>
        <v>0</v>
      </c>
      <c r="AE157" s="67">
        <f t="shared" si="58"/>
        <v>0</v>
      </c>
      <c r="AF157" s="67">
        <f t="shared" si="59"/>
        <v>0</v>
      </c>
      <c r="AG157" s="67">
        <f t="shared" si="60"/>
        <v>0</v>
      </c>
      <c r="AH157" s="67">
        <f t="shared" si="61"/>
        <v>0</v>
      </c>
      <c r="AI157" s="67">
        <f t="shared" si="62"/>
        <v>0</v>
      </c>
      <c r="AJ157" s="66"/>
      <c r="AK157" s="68"/>
      <c r="AL157" s="69"/>
      <c r="AM157" s="69"/>
      <c r="AN157" s="69"/>
      <c r="AO157" s="70"/>
      <c r="AP157" s="70"/>
      <c r="AQ157" s="66"/>
      <c r="AR157" s="70" t="s">
        <v>779</v>
      </c>
      <c r="AS157" s="66"/>
      <c r="AT157" s="108">
        <v>0</v>
      </c>
      <c r="AU157" s="109">
        <v>0</v>
      </c>
      <c r="AV157" s="109">
        <v>0</v>
      </c>
      <c r="AW157" s="109">
        <v>0</v>
      </c>
      <c r="AX157" s="110">
        <v>0</v>
      </c>
      <c r="AY157" s="110">
        <v>0</v>
      </c>
    </row>
    <row r="158" spans="1:51" x14ac:dyDescent="0.25">
      <c r="A158" s="8">
        <v>5856</v>
      </c>
      <c r="B158" s="5" t="s">
        <v>237</v>
      </c>
      <c r="C158" s="2">
        <v>3.9299999999999997</v>
      </c>
      <c r="D158" s="24">
        <v>200</v>
      </c>
      <c r="E158" s="26">
        <f t="shared" si="54"/>
        <v>100</v>
      </c>
      <c r="F158" s="26">
        <v>165</v>
      </c>
      <c r="G158" s="30">
        <f t="shared" si="55"/>
        <v>0.60606060606060608</v>
      </c>
      <c r="H158" s="11"/>
      <c r="I158" s="9">
        <v>170</v>
      </c>
      <c r="J158" s="3">
        <v>0</v>
      </c>
      <c r="K158" s="3">
        <v>0</v>
      </c>
      <c r="L158" s="3">
        <v>0</v>
      </c>
      <c r="M158" s="6"/>
      <c r="N158" s="6">
        <v>0</v>
      </c>
      <c r="O158" s="13"/>
      <c r="P158" s="60">
        <f t="shared" ref="P158:P163" si="68">+I158*C158</f>
        <v>668.09999999999991</v>
      </c>
      <c r="Q158" s="61">
        <f t="shared" ref="Q158:Q163" si="69">+J158*C158</f>
        <v>0</v>
      </c>
      <c r="R158" s="61">
        <f t="shared" ref="R158:R163" si="70">+K158*C158</f>
        <v>0</v>
      </c>
      <c r="S158" s="62">
        <f t="shared" ref="S158:S163" si="71">+L158*C158</f>
        <v>0</v>
      </c>
      <c r="T158" s="63">
        <f t="shared" ref="T158:T163" si="72">+M158*C158</f>
        <v>0</v>
      </c>
      <c r="U158" s="63">
        <f t="shared" si="56"/>
        <v>0</v>
      </c>
      <c r="V158" s="64"/>
      <c r="W158" s="60">
        <v>125</v>
      </c>
      <c r="X158" s="61">
        <v>82</v>
      </c>
      <c r="Y158" s="61">
        <v>179</v>
      </c>
      <c r="Z158" s="61">
        <v>43</v>
      </c>
      <c r="AA158" s="65">
        <v>134</v>
      </c>
      <c r="AB158" s="65">
        <v>140</v>
      </c>
      <c r="AC158" s="66"/>
      <c r="AD158" s="67">
        <f t="shared" si="57"/>
        <v>0.75757575757575757</v>
      </c>
      <c r="AE158" s="67">
        <f t="shared" si="58"/>
        <v>0.49696969696969695</v>
      </c>
      <c r="AF158" s="67">
        <f t="shared" si="59"/>
        <v>1.084848484848485</v>
      </c>
      <c r="AG158" s="67">
        <f t="shared" si="60"/>
        <v>0.26060606060606062</v>
      </c>
      <c r="AH158" s="67">
        <f t="shared" si="61"/>
        <v>0.81212121212121213</v>
      </c>
      <c r="AI158" s="67">
        <f t="shared" si="62"/>
        <v>0.84848484848484851</v>
      </c>
      <c r="AJ158" s="66"/>
      <c r="AK158" s="68">
        <v>6493.4600000000009</v>
      </c>
      <c r="AL158" s="69">
        <v>3541.0900000000006</v>
      </c>
      <c r="AM158" s="69">
        <v>3541.0900000000011</v>
      </c>
      <c r="AN158" s="69">
        <v>7052.5599999999904</v>
      </c>
      <c r="AO158" s="70">
        <v>980.89999999999895</v>
      </c>
      <c r="AP158" s="70">
        <v>548.48</v>
      </c>
      <c r="AQ158" s="66"/>
      <c r="AR158" s="70" t="s">
        <v>779</v>
      </c>
      <c r="AS158" s="66"/>
      <c r="AT158" s="108">
        <v>1897.2</v>
      </c>
      <c r="AU158" s="109">
        <v>0</v>
      </c>
      <c r="AV158" s="109">
        <v>0</v>
      </c>
      <c r="AW158" s="109">
        <v>0</v>
      </c>
      <c r="AX158" s="110">
        <v>0</v>
      </c>
      <c r="AY158" s="110">
        <v>0</v>
      </c>
    </row>
    <row r="159" spans="1:51" x14ac:dyDescent="0.25">
      <c r="A159" s="8" t="s">
        <v>88</v>
      </c>
      <c r="B159" s="5" t="s">
        <v>89</v>
      </c>
      <c r="C159" s="2">
        <v>3.88</v>
      </c>
      <c r="D159" s="24">
        <v>120</v>
      </c>
      <c r="E159" s="26">
        <f t="shared" si="54"/>
        <v>60</v>
      </c>
      <c r="F159" s="26">
        <v>249</v>
      </c>
      <c r="G159" s="30">
        <f t="shared" si="55"/>
        <v>0.24096385542168675</v>
      </c>
      <c r="H159" s="11"/>
      <c r="I159" s="9">
        <v>0</v>
      </c>
      <c r="J159" s="3">
        <v>0</v>
      </c>
      <c r="K159" s="3">
        <v>516</v>
      </c>
      <c r="L159" s="3">
        <v>0</v>
      </c>
      <c r="M159" s="6"/>
      <c r="N159" s="6">
        <v>0</v>
      </c>
      <c r="O159" s="13"/>
      <c r="P159" s="60">
        <f t="shared" si="68"/>
        <v>0</v>
      </c>
      <c r="Q159" s="61">
        <f t="shared" si="69"/>
        <v>0</v>
      </c>
      <c r="R159" s="61">
        <f t="shared" si="70"/>
        <v>2002.08</v>
      </c>
      <c r="S159" s="62">
        <f t="shared" si="71"/>
        <v>0</v>
      </c>
      <c r="T159" s="63">
        <f t="shared" si="72"/>
        <v>0</v>
      </c>
      <c r="U159" s="63">
        <f t="shared" si="56"/>
        <v>0</v>
      </c>
      <c r="V159" s="64"/>
      <c r="W159" s="60">
        <v>0</v>
      </c>
      <c r="X159" s="61">
        <v>0</v>
      </c>
      <c r="Y159" s="61">
        <v>0</v>
      </c>
      <c r="Z159" s="61">
        <v>2</v>
      </c>
      <c r="AA159" s="65">
        <v>0</v>
      </c>
      <c r="AB159" s="65">
        <v>0</v>
      </c>
      <c r="AC159" s="66"/>
      <c r="AD159" s="67">
        <f t="shared" si="57"/>
        <v>0</v>
      </c>
      <c r="AE159" s="67">
        <f t="shared" si="58"/>
        <v>0</v>
      </c>
      <c r="AF159" s="67">
        <f t="shared" si="59"/>
        <v>0</v>
      </c>
      <c r="AG159" s="67">
        <f t="shared" si="60"/>
        <v>8.0321285140562242E-3</v>
      </c>
      <c r="AH159" s="67">
        <f t="shared" si="61"/>
        <v>0</v>
      </c>
      <c r="AI159" s="67">
        <f t="shared" si="62"/>
        <v>0</v>
      </c>
      <c r="AJ159" s="66"/>
      <c r="AK159" s="68">
        <v>0</v>
      </c>
      <c r="AL159" s="69">
        <v>0</v>
      </c>
      <c r="AM159" s="69">
        <v>0</v>
      </c>
      <c r="AN159" s="69">
        <v>7.76</v>
      </c>
      <c r="AO159" s="70">
        <v>7.76</v>
      </c>
      <c r="AP159" s="70">
        <v>0</v>
      </c>
      <c r="AQ159" s="66"/>
      <c r="AR159" s="70" t="s">
        <v>779</v>
      </c>
      <c r="AS159" s="66"/>
      <c r="AT159" s="108">
        <v>0</v>
      </c>
      <c r="AU159" s="109">
        <v>0</v>
      </c>
      <c r="AV159" s="109">
        <v>2365.08</v>
      </c>
      <c r="AW159" s="109">
        <v>0</v>
      </c>
      <c r="AX159" s="110">
        <v>0</v>
      </c>
      <c r="AY159" s="110">
        <v>0</v>
      </c>
    </row>
    <row r="160" spans="1:51" x14ac:dyDescent="0.25">
      <c r="A160" s="8">
        <v>6004</v>
      </c>
      <c r="B160" s="5" t="s">
        <v>80</v>
      </c>
      <c r="C160" s="2">
        <v>3.8400000000000007</v>
      </c>
      <c r="D160" s="24">
        <v>5000</v>
      </c>
      <c r="E160" s="26">
        <f t="shared" si="54"/>
        <v>2500</v>
      </c>
      <c r="F160" s="26">
        <v>1810</v>
      </c>
      <c r="G160" s="30">
        <f t="shared" si="55"/>
        <v>1.3812154696132597</v>
      </c>
      <c r="H160" s="11"/>
      <c r="I160" s="9">
        <v>1975.7575757575758</v>
      </c>
      <c r="J160" s="3">
        <v>2127.272727272727</v>
      </c>
      <c r="K160" s="3">
        <v>0</v>
      </c>
      <c r="L160" s="3">
        <v>972.72727272727275</v>
      </c>
      <c r="M160" s="6"/>
      <c r="N160" s="6">
        <v>135</v>
      </c>
      <c r="O160" s="13"/>
      <c r="P160" s="60">
        <f t="shared" si="68"/>
        <v>7586.9090909090928</v>
      </c>
      <c r="Q160" s="61">
        <f t="shared" si="69"/>
        <v>8168.727272727273</v>
      </c>
      <c r="R160" s="61">
        <f t="shared" si="70"/>
        <v>0</v>
      </c>
      <c r="S160" s="62">
        <f t="shared" si="71"/>
        <v>3735.2727272727279</v>
      </c>
      <c r="T160" s="63">
        <f t="shared" si="72"/>
        <v>0</v>
      </c>
      <c r="U160" s="63">
        <f t="shared" si="56"/>
        <v>518.40000000000009</v>
      </c>
      <c r="V160" s="64"/>
      <c r="W160" s="60">
        <v>975</v>
      </c>
      <c r="X160" s="61">
        <v>980</v>
      </c>
      <c r="Y160" s="61">
        <v>2639</v>
      </c>
      <c r="Z160" s="61">
        <v>1644</v>
      </c>
      <c r="AA160" s="65">
        <v>1332</v>
      </c>
      <c r="AB160" s="65">
        <v>364</v>
      </c>
      <c r="AC160" s="66"/>
      <c r="AD160" s="67">
        <f t="shared" si="57"/>
        <v>0.53867403314917128</v>
      </c>
      <c r="AE160" s="67">
        <f t="shared" si="58"/>
        <v>0.54143646408839774</v>
      </c>
      <c r="AF160" s="67">
        <f t="shared" si="59"/>
        <v>1.4580110497237568</v>
      </c>
      <c r="AG160" s="67">
        <f t="shared" si="60"/>
        <v>0.9082872928176795</v>
      </c>
      <c r="AH160" s="67">
        <f t="shared" si="61"/>
        <v>0.73591160220994478</v>
      </c>
      <c r="AI160" s="67">
        <f t="shared" si="62"/>
        <v>0.20110497237569061</v>
      </c>
      <c r="AJ160" s="66"/>
      <c r="AK160" s="68">
        <v>822.02999999999986</v>
      </c>
      <c r="AL160" s="69">
        <v>1978.6099999999985</v>
      </c>
      <c r="AM160" s="69">
        <v>1978.6099999999985</v>
      </c>
      <c r="AN160" s="69">
        <v>3909.3999999999955</v>
      </c>
      <c r="AO160" s="70">
        <v>3344.92</v>
      </c>
      <c r="AP160" s="70">
        <v>958.11999999999898</v>
      </c>
      <c r="AQ160" s="66"/>
      <c r="AR160" s="70" t="s">
        <v>779</v>
      </c>
      <c r="AS160" s="66"/>
      <c r="AT160" s="108">
        <v>11304.920000000002</v>
      </c>
      <c r="AU160" s="109">
        <v>9890.7799999999988</v>
      </c>
      <c r="AV160" s="109">
        <v>0</v>
      </c>
      <c r="AW160" s="109">
        <v>5613.08</v>
      </c>
      <c r="AX160" s="110">
        <v>531</v>
      </c>
      <c r="AY160" s="110">
        <v>587.25</v>
      </c>
    </row>
    <row r="161" spans="1:51" x14ac:dyDescent="0.25">
      <c r="A161" s="8">
        <v>5643</v>
      </c>
      <c r="B161" s="5" t="s">
        <v>504</v>
      </c>
      <c r="C161" s="2">
        <v>3.8200000000000003</v>
      </c>
      <c r="D161" s="24">
        <v>1000</v>
      </c>
      <c r="E161" s="26">
        <f t="shared" si="54"/>
        <v>500</v>
      </c>
      <c r="F161" s="26">
        <v>921</v>
      </c>
      <c r="G161" s="30">
        <f t="shared" si="55"/>
        <v>0.54288816503800219</v>
      </c>
      <c r="H161" s="11"/>
      <c r="I161" s="9">
        <v>60</v>
      </c>
      <c r="J161" s="3">
        <v>30</v>
      </c>
      <c r="K161" s="3">
        <v>50</v>
      </c>
      <c r="L161" s="3">
        <v>30</v>
      </c>
      <c r="M161" s="6"/>
      <c r="N161" s="6">
        <v>390</v>
      </c>
      <c r="O161" s="13"/>
      <c r="P161" s="60">
        <f t="shared" si="68"/>
        <v>229.20000000000002</v>
      </c>
      <c r="Q161" s="61">
        <f t="shared" si="69"/>
        <v>114.60000000000001</v>
      </c>
      <c r="R161" s="61">
        <f t="shared" si="70"/>
        <v>191</v>
      </c>
      <c r="S161" s="62">
        <f t="shared" si="71"/>
        <v>114.60000000000001</v>
      </c>
      <c r="T161" s="63">
        <f t="shared" si="72"/>
        <v>0</v>
      </c>
      <c r="U161" s="63">
        <f t="shared" si="56"/>
        <v>1489.8000000000002</v>
      </c>
      <c r="V161" s="64"/>
      <c r="W161" s="60">
        <v>202</v>
      </c>
      <c r="X161" s="61">
        <v>140</v>
      </c>
      <c r="Y161" s="61">
        <v>29</v>
      </c>
      <c r="Z161" s="61">
        <v>49</v>
      </c>
      <c r="AA161" s="65">
        <v>29</v>
      </c>
      <c r="AB161" s="65">
        <v>0</v>
      </c>
      <c r="AC161" s="66"/>
      <c r="AD161" s="67">
        <f t="shared" si="57"/>
        <v>0.21932681867535286</v>
      </c>
      <c r="AE161" s="67">
        <f t="shared" si="58"/>
        <v>0.15200868621064062</v>
      </c>
      <c r="AF161" s="67">
        <f t="shared" si="59"/>
        <v>3.1487513572204126E-2</v>
      </c>
      <c r="AG161" s="67">
        <f t="shared" si="60"/>
        <v>5.3203040173724216E-2</v>
      </c>
      <c r="AH161" s="67">
        <f t="shared" si="61"/>
        <v>3.1487513572204126E-2</v>
      </c>
      <c r="AI161" s="67">
        <f t="shared" si="62"/>
        <v>0</v>
      </c>
      <c r="AJ161" s="66"/>
      <c r="AK161" s="68">
        <v>307.67</v>
      </c>
      <c r="AL161" s="69">
        <v>317.72999999999996</v>
      </c>
      <c r="AM161" s="69">
        <v>317.7299999999999</v>
      </c>
      <c r="AN161" s="69">
        <v>130.75</v>
      </c>
      <c r="AO161" s="70">
        <v>276.35999999999899</v>
      </c>
      <c r="AP161" s="70">
        <v>0</v>
      </c>
      <c r="AQ161" s="66"/>
      <c r="AR161" s="70" t="s">
        <v>780</v>
      </c>
      <c r="AS161" s="66"/>
      <c r="AT161" s="108">
        <v>2718.4</v>
      </c>
      <c r="AU161" s="109">
        <v>1288.5</v>
      </c>
      <c r="AV161" s="109">
        <v>2329</v>
      </c>
      <c r="AW161" s="109">
        <v>1697.4</v>
      </c>
      <c r="AX161" s="110">
        <v>220</v>
      </c>
      <c r="AY161" s="110">
        <v>17407.8</v>
      </c>
    </row>
    <row r="162" spans="1:51" x14ac:dyDescent="0.25">
      <c r="A162" s="8">
        <v>5328</v>
      </c>
      <c r="B162" s="5" t="s">
        <v>606</v>
      </c>
      <c r="C162" s="2">
        <v>3.8000000000000114</v>
      </c>
      <c r="D162" s="24">
        <v>3000</v>
      </c>
      <c r="E162" s="26">
        <f t="shared" si="54"/>
        <v>1500</v>
      </c>
      <c r="F162" s="26">
        <v>6985</v>
      </c>
      <c r="G162" s="30">
        <f t="shared" si="55"/>
        <v>0.21474588403722261</v>
      </c>
      <c r="H162" s="11"/>
      <c r="I162" s="9">
        <v>209</v>
      </c>
      <c r="J162" s="3">
        <v>272</v>
      </c>
      <c r="K162" s="3">
        <v>248</v>
      </c>
      <c r="L162" s="3">
        <v>658</v>
      </c>
      <c r="M162" s="6">
        <v>228</v>
      </c>
      <c r="N162" s="6">
        <v>0</v>
      </c>
      <c r="O162" s="13"/>
      <c r="P162" s="60">
        <f t="shared" si="68"/>
        <v>794.20000000000232</v>
      </c>
      <c r="Q162" s="61">
        <f t="shared" si="69"/>
        <v>1033.6000000000031</v>
      </c>
      <c r="R162" s="61">
        <f t="shared" si="70"/>
        <v>942.40000000000282</v>
      </c>
      <c r="S162" s="62">
        <f t="shared" si="71"/>
        <v>2500.4000000000074</v>
      </c>
      <c r="T162" s="63">
        <f t="shared" si="72"/>
        <v>866.40000000000259</v>
      </c>
      <c r="U162" s="63">
        <f t="shared" si="56"/>
        <v>0</v>
      </c>
      <c r="V162" s="64"/>
      <c r="W162" s="60">
        <v>433</v>
      </c>
      <c r="X162" s="61">
        <v>918</v>
      </c>
      <c r="Y162" s="61">
        <v>748</v>
      </c>
      <c r="Z162" s="61">
        <v>465</v>
      </c>
      <c r="AA162" s="65">
        <v>658</v>
      </c>
      <c r="AB162" s="65">
        <v>420</v>
      </c>
      <c r="AC162" s="66"/>
      <c r="AD162" s="67">
        <f t="shared" si="57"/>
        <v>6.1989978525411597E-2</v>
      </c>
      <c r="AE162" s="67">
        <f t="shared" si="58"/>
        <v>0.13142448103078025</v>
      </c>
      <c r="AF162" s="67">
        <f t="shared" si="59"/>
        <v>0.10708661417322834</v>
      </c>
      <c r="AG162" s="67">
        <f t="shared" si="60"/>
        <v>6.6571224051539007E-2</v>
      </c>
      <c r="AH162" s="67">
        <f t="shared" si="61"/>
        <v>9.420186113099499E-2</v>
      </c>
      <c r="AI162" s="67">
        <f t="shared" si="62"/>
        <v>6.012884753042233E-2</v>
      </c>
      <c r="AJ162" s="66"/>
      <c r="AK162" s="68">
        <v>973.38000000000011</v>
      </c>
      <c r="AL162" s="69">
        <v>1422.379999999999</v>
      </c>
      <c r="AM162" s="69">
        <v>1422.3799999999992</v>
      </c>
      <c r="AN162" s="69">
        <v>864.80999999999983</v>
      </c>
      <c r="AO162" s="70">
        <v>862.22999999999797</v>
      </c>
      <c r="AP162" s="70">
        <v>983.77999999999895</v>
      </c>
      <c r="AQ162" s="66"/>
      <c r="AR162" s="70" t="s">
        <v>780</v>
      </c>
      <c r="AS162" s="66"/>
      <c r="AT162" s="108">
        <v>16276.919999999998</v>
      </c>
      <c r="AU162" s="109">
        <v>21391.200000000004</v>
      </c>
      <c r="AV162" s="109">
        <v>19230.080000000002</v>
      </c>
      <c r="AW162" s="109">
        <v>50953.899999999994</v>
      </c>
      <c r="AX162" s="110">
        <v>17393.48</v>
      </c>
      <c r="AY162" s="110">
        <v>0</v>
      </c>
    </row>
    <row r="163" spans="1:51" x14ac:dyDescent="0.25">
      <c r="A163" s="8" t="s">
        <v>547</v>
      </c>
      <c r="B163" s="5" t="s">
        <v>548</v>
      </c>
      <c r="C163" s="2">
        <v>3.7399999999999949</v>
      </c>
      <c r="D163" s="24">
        <v>1500</v>
      </c>
      <c r="E163" s="26">
        <f t="shared" si="54"/>
        <v>750</v>
      </c>
      <c r="F163" s="26">
        <v>2860</v>
      </c>
      <c r="G163" s="30">
        <f t="shared" si="55"/>
        <v>0.26223776223776224</v>
      </c>
      <c r="H163" s="11"/>
      <c r="I163" s="9">
        <v>0</v>
      </c>
      <c r="J163" s="3">
        <v>154</v>
      </c>
      <c r="K163" s="3">
        <v>660</v>
      </c>
      <c r="L163" s="3">
        <v>479</v>
      </c>
      <c r="M163" s="6">
        <v>151</v>
      </c>
      <c r="N163" s="6">
        <v>0</v>
      </c>
      <c r="O163" s="13"/>
      <c r="P163" s="60">
        <f t="shared" si="68"/>
        <v>0</v>
      </c>
      <c r="Q163" s="61">
        <f t="shared" si="69"/>
        <v>575.95999999999924</v>
      </c>
      <c r="R163" s="61">
        <f t="shared" si="70"/>
        <v>2468.3999999999965</v>
      </c>
      <c r="S163" s="62">
        <f t="shared" si="71"/>
        <v>1791.4599999999975</v>
      </c>
      <c r="T163" s="63">
        <f t="shared" si="72"/>
        <v>564.73999999999921</v>
      </c>
      <c r="U163" s="63">
        <f t="shared" si="56"/>
        <v>0</v>
      </c>
      <c r="V163" s="64"/>
      <c r="W163" s="60">
        <v>48</v>
      </c>
      <c r="X163" s="61">
        <v>118</v>
      </c>
      <c r="Y163" s="61">
        <v>79</v>
      </c>
      <c r="Z163" s="61">
        <v>521</v>
      </c>
      <c r="AA163" s="65">
        <v>796</v>
      </c>
      <c r="AB163" s="65">
        <v>83</v>
      </c>
      <c r="AC163" s="66"/>
      <c r="AD163" s="67">
        <f t="shared" si="57"/>
        <v>1.6783216783216783E-2</v>
      </c>
      <c r="AE163" s="67">
        <f t="shared" si="58"/>
        <v>4.1258741258741259E-2</v>
      </c>
      <c r="AF163" s="67">
        <f t="shared" si="59"/>
        <v>2.7622377622377622E-2</v>
      </c>
      <c r="AG163" s="67">
        <f t="shared" si="60"/>
        <v>0.18216783216783217</v>
      </c>
      <c r="AH163" s="67">
        <f t="shared" si="61"/>
        <v>0.27832167832167831</v>
      </c>
      <c r="AI163" s="67">
        <f t="shared" si="62"/>
        <v>2.9020979020979019E-2</v>
      </c>
      <c r="AJ163" s="66"/>
      <c r="AK163" s="68">
        <v>63.03</v>
      </c>
      <c r="AL163" s="69">
        <v>185.95999999999984</v>
      </c>
      <c r="AM163" s="69">
        <v>185.95999999999987</v>
      </c>
      <c r="AN163" s="69">
        <v>127.76</v>
      </c>
      <c r="AO163" s="70">
        <v>2001.8299999999899</v>
      </c>
      <c r="AP163" s="70">
        <v>270.159999999999</v>
      </c>
      <c r="AQ163" s="66"/>
      <c r="AR163" s="70" t="s">
        <v>780</v>
      </c>
      <c r="AS163" s="66"/>
      <c r="AT163" s="108">
        <v>0</v>
      </c>
      <c r="AU163" s="109">
        <v>8068.54</v>
      </c>
      <c r="AV163" s="109">
        <v>36217.74</v>
      </c>
      <c r="AW163" s="109">
        <v>26057.820000000003</v>
      </c>
      <c r="AX163" s="110">
        <v>8182.6900000000005</v>
      </c>
      <c r="AY163" s="110">
        <v>0</v>
      </c>
    </row>
    <row r="164" spans="1:51" x14ac:dyDescent="0.25">
      <c r="A164" s="8" t="s">
        <v>798</v>
      </c>
      <c r="B164" s="5" t="s">
        <v>841</v>
      </c>
      <c r="C164" s="2">
        <v>3.660769094453304</v>
      </c>
      <c r="D164" s="24">
        <v>400</v>
      </c>
      <c r="E164" s="26">
        <f t="shared" si="54"/>
        <v>200</v>
      </c>
      <c r="F164" s="26">
        <v>1118</v>
      </c>
      <c r="G164" s="30">
        <f t="shared" si="55"/>
        <v>0.17889087656529518</v>
      </c>
      <c r="H164" s="11"/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6">
        <v>381</v>
      </c>
      <c r="O164" s="13"/>
      <c r="P164" s="60"/>
      <c r="Q164" s="61"/>
      <c r="R164" s="61"/>
      <c r="S164" s="62"/>
      <c r="T164" s="63"/>
      <c r="U164" s="63">
        <f t="shared" si="56"/>
        <v>1394.7530249867089</v>
      </c>
      <c r="V164" s="64"/>
      <c r="W164" s="60"/>
      <c r="X164" s="61"/>
      <c r="Y164" s="61"/>
      <c r="Z164" s="61"/>
      <c r="AA164" s="65"/>
      <c r="AB164" s="65"/>
      <c r="AC164" s="66"/>
      <c r="AD164" s="67">
        <f t="shared" si="57"/>
        <v>0</v>
      </c>
      <c r="AE164" s="67">
        <f t="shared" si="58"/>
        <v>0</v>
      </c>
      <c r="AF164" s="67">
        <f t="shared" si="59"/>
        <v>0</v>
      </c>
      <c r="AG164" s="67">
        <f t="shared" si="60"/>
        <v>0</v>
      </c>
      <c r="AH164" s="67">
        <f t="shared" si="61"/>
        <v>0</v>
      </c>
      <c r="AI164" s="67">
        <f t="shared" si="62"/>
        <v>0</v>
      </c>
      <c r="AJ164" s="66"/>
      <c r="AK164" s="68"/>
      <c r="AL164" s="69"/>
      <c r="AM164" s="69"/>
      <c r="AN164" s="69"/>
      <c r="AO164" s="70"/>
      <c r="AP164" s="70"/>
      <c r="AQ164" s="66"/>
      <c r="AR164" s="70" t="s">
        <v>780</v>
      </c>
      <c r="AS164" s="66"/>
      <c r="AT164" s="108">
        <v>0</v>
      </c>
      <c r="AU164" s="109">
        <v>0</v>
      </c>
      <c r="AV164" s="109">
        <v>0</v>
      </c>
      <c r="AW164" s="109">
        <v>0</v>
      </c>
      <c r="AX164" s="110">
        <v>0</v>
      </c>
      <c r="AY164" s="110">
        <v>7775.12</v>
      </c>
    </row>
    <row r="165" spans="1:51" x14ac:dyDescent="0.25">
      <c r="A165" s="8">
        <v>5329</v>
      </c>
      <c r="B165" s="5" t="s">
        <v>149</v>
      </c>
      <c r="C165" s="2">
        <v>3.6500000000000004</v>
      </c>
      <c r="D165" s="24">
        <v>400</v>
      </c>
      <c r="E165" s="26">
        <f t="shared" si="54"/>
        <v>200</v>
      </c>
      <c r="F165" s="26">
        <v>429</v>
      </c>
      <c r="G165" s="30">
        <f t="shared" si="55"/>
        <v>0.46620046620046618</v>
      </c>
      <c r="H165" s="11"/>
      <c r="I165" s="9">
        <v>325</v>
      </c>
      <c r="J165" s="3">
        <v>0</v>
      </c>
      <c r="K165" s="3">
        <v>0</v>
      </c>
      <c r="L165" s="3">
        <v>0</v>
      </c>
      <c r="M165" s="6"/>
      <c r="N165" s="6">
        <v>0</v>
      </c>
      <c r="O165" s="13"/>
      <c r="P165" s="60">
        <f t="shared" ref="P165:P176" si="73">+I165*C165</f>
        <v>1186.2500000000002</v>
      </c>
      <c r="Q165" s="61">
        <f t="shared" ref="Q165:Q176" si="74">+J165*C165</f>
        <v>0</v>
      </c>
      <c r="R165" s="61">
        <f t="shared" ref="R165:R176" si="75">+K165*C165</f>
        <v>0</v>
      </c>
      <c r="S165" s="62">
        <f t="shared" ref="S165:S176" si="76">+L165*C165</f>
        <v>0</v>
      </c>
      <c r="T165" s="63">
        <f t="shared" ref="T165:T176" si="77">+M165*C165</f>
        <v>0</v>
      </c>
      <c r="U165" s="63">
        <f t="shared" si="56"/>
        <v>0</v>
      </c>
      <c r="V165" s="64"/>
      <c r="W165" s="60">
        <v>88</v>
      </c>
      <c r="X165" s="61">
        <v>115</v>
      </c>
      <c r="Y165" s="61">
        <v>238</v>
      </c>
      <c r="Z165" s="61">
        <v>107</v>
      </c>
      <c r="AA165" s="65">
        <v>0</v>
      </c>
      <c r="AB165" s="65">
        <v>97</v>
      </c>
      <c r="AC165" s="66"/>
      <c r="AD165" s="67">
        <f t="shared" si="57"/>
        <v>0.20512820512820512</v>
      </c>
      <c r="AE165" s="67">
        <f t="shared" si="58"/>
        <v>0.26806526806526809</v>
      </c>
      <c r="AF165" s="67">
        <f t="shared" si="59"/>
        <v>0.55477855477855476</v>
      </c>
      <c r="AG165" s="67">
        <f t="shared" si="60"/>
        <v>0.24941724941724941</v>
      </c>
      <c r="AH165" s="67">
        <f t="shared" si="61"/>
        <v>0</v>
      </c>
      <c r="AI165" s="67">
        <f t="shared" si="62"/>
        <v>0.22610722610722611</v>
      </c>
      <c r="AJ165" s="66"/>
      <c r="AK165" s="68">
        <v>347.2</v>
      </c>
      <c r="AL165" s="69">
        <v>589.30999999999995</v>
      </c>
      <c r="AM165" s="69">
        <v>589.31000000000006</v>
      </c>
      <c r="AN165" s="69">
        <v>256.13999999999993</v>
      </c>
      <c r="AO165" s="70">
        <v>22.98</v>
      </c>
      <c r="AP165" s="70">
        <v>273.31</v>
      </c>
      <c r="AQ165" s="66"/>
      <c r="AR165" s="70" t="s">
        <v>779</v>
      </c>
      <c r="AS165" s="66"/>
      <c r="AT165" s="108">
        <v>0</v>
      </c>
      <c r="AU165" s="109">
        <v>0</v>
      </c>
      <c r="AV165" s="109">
        <v>0</v>
      </c>
      <c r="AW165" s="109">
        <v>0</v>
      </c>
      <c r="AX165" s="110">
        <v>0</v>
      </c>
      <c r="AY165" s="110">
        <v>0</v>
      </c>
    </row>
    <row r="166" spans="1:51" x14ac:dyDescent="0.25">
      <c r="A166" s="8" t="s">
        <v>452</v>
      </c>
      <c r="B166" s="5" t="s">
        <v>453</v>
      </c>
      <c r="C166" s="2">
        <v>3.6099999999999994</v>
      </c>
      <c r="D166" s="24">
        <v>340</v>
      </c>
      <c r="E166" s="26">
        <f t="shared" si="54"/>
        <v>170</v>
      </c>
      <c r="F166" s="26">
        <v>314</v>
      </c>
      <c r="G166" s="30">
        <f t="shared" si="55"/>
        <v>0.54140127388535031</v>
      </c>
      <c r="H166" s="11"/>
      <c r="I166" s="9">
        <v>0</v>
      </c>
      <c r="J166" s="3">
        <v>0</v>
      </c>
      <c r="K166" s="3">
        <v>312</v>
      </c>
      <c r="L166" s="3">
        <v>195</v>
      </c>
      <c r="M166" s="6">
        <v>185</v>
      </c>
      <c r="N166" s="6">
        <v>0</v>
      </c>
      <c r="O166" s="13"/>
      <c r="P166" s="60">
        <f t="shared" si="73"/>
        <v>0</v>
      </c>
      <c r="Q166" s="61">
        <f t="shared" si="74"/>
        <v>0</v>
      </c>
      <c r="R166" s="61">
        <f t="shared" si="75"/>
        <v>1126.3199999999997</v>
      </c>
      <c r="S166" s="62">
        <f t="shared" si="76"/>
        <v>703.94999999999993</v>
      </c>
      <c r="T166" s="63">
        <f t="shared" si="77"/>
        <v>667.84999999999991</v>
      </c>
      <c r="U166" s="63">
        <f t="shared" si="56"/>
        <v>0</v>
      </c>
      <c r="V166" s="64"/>
      <c r="W166" s="60">
        <v>133</v>
      </c>
      <c r="X166" s="61">
        <v>139</v>
      </c>
      <c r="Y166" s="61">
        <v>32</v>
      </c>
      <c r="Z166" s="61">
        <v>84</v>
      </c>
      <c r="AA166" s="65">
        <v>190</v>
      </c>
      <c r="AB166" s="65">
        <v>114</v>
      </c>
      <c r="AC166" s="66"/>
      <c r="AD166" s="67">
        <f t="shared" si="57"/>
        <v>0.42356687898089174</v>
      </c>
      <c r="AE166" s="67">
        <f t="shared" si="58"/>
        <v>0.4426751592356688</v>
      </c>
      <c r="AF166" s="67">
        <f t="shared" si="59"/>
        <v>0.10191082802547771</v>
      </c>
      <c r="AG166" s="67">
        <f t="shared" si="60"/>
        <v>0.26751592356687898</v>
      </c>
      <c r="AH166" s="67">
        <f t="shared" si="61"/>
        <v>0.60509554140127386</v>
      </c>
      <c r="AI166" s="67">
        <f t="shared" si="62"/>
        <v>0.36305732484076431</v>
      </c>
      <c r="AJ166" s="66"/>
      <c r="AK166" s="68">
        <v>1237.73</v>
      </c>
      <c r="AL166" s="69">
        <v>1055.9099999999996</v>
      </c>
      <c r="AM166" s="69">
        <v>1055.9099999999996</v>
      </c>
      <c r="AN166" s="69">
        <v>241.88999999999982</v>
      </c>
      <c r="AO166" s="70">
        <v>514.70999999999901</v>
      </c>
      <c r="AP166" s="70">
        <v>332.62</v>
      </c>
      <c r="AQ166" s="66"/>
      <c r="AR166" s="70" t="s">
        <v>780</v>
      </c>
      <c r="AS166" s="66"/>
      <c r="AT166" s="108">
        <v>0</v>
      </c>
      <c r="AU166" s="109">
        <v>0</v>
      </c>
      <c r="AV166" s="109">
        <v>10565.82</v>
      </c>
      <c r="AW166" s="109">
        <v>6476.2500000000009</v>
      </c>
      <c r="AX166" s="110">
        <v>5949.6</v>
      </c>
      <c r="AY166" s="110">
        <v>0</v>
      </c>
    </row>
    <row r="167" spans="1:51" x14ac:dyDescent="0.25">
      <c r="A167" s="8">
        <v>6104</v>
      </c>
      <c r="B167" s="5" t="s">
        <v>283</v>
      </c>
      <c r="C167" s="2">
        <v>3.5800000000000018</v>
      </c>
      <c r="D167" s="24">
        <v>200</v>
      </c>
      <c r="E167" s="26">
        <f t="shared" si="54"/>
        <v>100</v>
      </c>
      <c r="F167" s="26">
        <v>252</v>
      </c>
      <c r="G167" s="30">
        <f t="shared" si="55"/>
        <v>0.3968253968253968</v>
      </c>
      <c r="H167" s="11"/>
      <c r="I167" s="9">
        <v>0</v>
      </c>
      <c r="J167" s="3">
        <v>0</v>
      </c>
      <c r="K167" s="3">
        <v>0</v>
      </c>
      <c r="L167" s="3">
        <v>234</v>
      </c>
      <c r="M167" s="6"/>
      <c r="N167" s="6">
        <v>249</v>
      </c>
      <c r="O167" s="13"/>
      <c r="P167" s="60">
        <f t="shared" si="73"/>
        <v>0</v>
      </c>
      <c r="Q167" s="61">
        <f t="shared" si="74"/>
        <v>0</v>
      </c>
      <c r="R167" s="61">
        <f t="shared" si="75"/>
        <v>0</v>
      </c>
      <c r="S167" s="62">
        <f t="shared" si="76"/>
        <v>837.72000000000048</v>
      </c>
      <c r="T167" s="63">
        <f t="shared" si="77"/>
        <v>0</v>
      </c>
      <c r="U167" s="63">
        <f t="shared" si="56"/>
        <v>891.42000000000041</v>
      </c>
      <c r="V167" s="64"/>
      <c r="W167" s="60">
        <v>71</v>
      </c>
      <c r="X167" s="61">
        <v>74</v>
      </c>
      <c r="Y167" s="61">
        <v>142</v>
      </c>
      <c r="Z167" s="61">
        <v>46</v>
      </c>
      <c r="AA167" s="65">
        <v>178</v>
      </c>
      <c r="AB167" s="65">
        <v>143</v>
      </c>
      <c r="AC167" s="66"/>
      <c r="AD167" s="67">
        <f t="shared" si="57"/>
        <v>0.28174603174603174</v>
      </c>
      <c r="AE167" s="67">
        <f t="shared" si="58"/>
        <v>0.29365079365079366</v>
      </c>
      <c r="AF167" s="67">
        <f t="shared" si="59"/>
        <v>0.56349206349206349</v>
      </c>
      <c r="AG167" s="67">
        <f t="shared" si="60"/>
        <v>0.18253968253968253</v>
      </c>
      <c r="AH167" s="67">
        <f t="shared" si="61"/>
        <v>0.70634920634920639</v>
      </c>
      <c r="AI167" s="67">
        <f t="shared" si="62"/>
        <v>0.56746031746031744</v>
      </c>
      <c r="AJ167" s="66"/>
      <c r="AK167" s="68">
        <v>103.01</v>
      </c>
      <c r="AL167" s="69">
        <v>72.049999999999983</v>
      </c>
      <c r="AM167" s="69">
        <v>72.050000000000011</v>
      </c>
      <c r="AN167" s="69">
        <v>124.66999999999999</v>
      </c>
      <c r="AO167" s="70">
        <v>72.779999999999902</v>
      </c>
      <c r="AP167" s="70">
        <v>626.099999999999</v>
      </c>
      <c r="AQ167" s="66"/>
      <c r="AR167" s="70" t="s">
        <v>779</v>
      </c>
      <c r="AS167" s="66"/>
      <c r="AT167" s="108">
        <v>0</v>
      </c>
      <c r="AU167" s="109">
        <v>0</v>
      </c>
      <c r="AV167" s="109">
        <v>0</v>
      </c>
      <c r="AW167" s="109">
        <v>4038.84</v>
      </c>
      <c r="AX167" s="110">
        <v>0</v>
      </c>
      <c r="AY167" s="110">
        <v>4168.26</v>
      </c>
    </row>
    <row r="168" spans="1:51" x14ac:dyDescent="0.25">
      <c r="A168" s="8">
        <v>5054</v>
      </c>
      <c r="B168" s="5" t="s">
        <v>358</v>
      </c>
      <c r="C168" s="2">
        <v>3.4699999999999989</v>
      </c>
      <c r="D168" s="24">
        <v>1000</v>
      </c>
      <c r="E168" s="26">
        <f t="shared" si="54"/>
        <v>500</v>
      </c>
      <c r="F168" s="26">
        <v>789</v>
      </c>
      <c r="G168" s="30">
        <f t="shared" si="55"/>
        <v>0.63371356147021551</v>
      </c>
      <c r="H168" s="11"/>
      <c r="I168" s="9">
        <v>610.71428571428567</v>
      </c>
      <c r="J168" s="3">
        <v>0</v>
      </c>
      <c r="K168" s="3">
        <v>135.71428571428569</v>
      </c>
      <c r="L168" s="3">
        <v>210.71428571428569</v>
      </c>
      <c r="M168" s="6"/>
      <c r="N168" s="6">
        <v>0</v>
      </c>
      <c r="O168" s="13"/>
      <c r="P168" s="60">
        <f t="shared" si="73"/>
        <v>2119.1785714285706</v>
      </c>
      <c r="Q168" s="61">
        <f t="shared" si="74"/>
        <v>0</v>
      </c>
      <c r="R168" s="61">
        <f t="shared" si="75"/>
        <v>470.92857142857122</v>
      </c>
      <c r="S168" s="62">
        <f t="shared" si="76"/>
        <v>731.1785714285711</v>
      </c>
      <c r="T168" s="63">
        <f t="shared" si="77"/>
        <v>0</v>
      </c>
      <c r="U168" s="63">
        <f t="shared" si="56"/>
        <v>0</v>
      </c>
      <c r="V168" s="64"/>
      <c r="W168" s="60">
        <v>111</v>
      </c>
      <c r="X168" s="61">
        <v>190</v>
      </c>
      <c r="Y168" s="61">
        <v>254</v>
      </c>
      <c r="Z168" s="61">
        <v>458</v>
      </c>
      <c r="AA168" s="65">
        <v>179</v>
      </c>
      <c r="AB168" s="65">
        <v>0</v>
      </c>
      <c r="AC168" s="66"/>
      <c r="AD168" s="67">
        <f t="shared" si="57"/>
        <v>0.14068441064638784</v>
      </c>
      <c r="AE168" s="67">
        <f t="shared" si="58"/>
        <v>0.24081115335868186</v>
      </c>
      <c r="AF168" s="67">
        <f t="shared" si="59"/>
        <v>0.32192648922686945</v>
      </c>
      <c r="AG168" s="67">
        <f t="shared" si="60"/>
        <v>0.5804816223067174</v>
      </c>
      <c r="AH168" s="67">
        <f t="shared" si="61"/>
        <v>0.22686945500633712</v>
      </c>
      <c r="AI168" s="67">
        <f t="shared" si="62"/>
        <v>0</v>
      </c>
      <c r="AJ168" s="66"/>
      <c r="AK168" s="68">
        <v>168.78</v>
      </c>
      <c r="AL168" s="69">
        <v>555.73999999999933</v>
      </c>
      <c r="AM168" s="69">
        <v>555.73999999999933</v>
      </c>
      <c r="AN168" s="69">
        <v>790.9099999999986</v>
      </c>
      <c r="AO168" s="70">
        <v>1226.6400000000001</v>
      </c>
      <c r="AP168" s="70">
        <v>0</v>
      </c>
      <c r="AQ168" s="66"/>
      <c r="AR168" s="70" t="s">
        <v>779</v>
      </c>
      <c r="AS168" s="66"/>
      <c r="AT168" s="108">
        <v>11540.740000000002</v>
      </c>
      <c r="AU168" s="109">
        <v>0</v>
      </c>
      <c r="AV168" s="109">
        <v>2539.16</v>
      </c>
      <c r="AW168" s="109">
        <v>3942.38</v>
      </c>
      <c r="AX168" s="110">
        <v>0</v>
      </c>
      <c r="AY168" s="110">
        <v>0</v>
      </c>
    </row>
    <row r="169" spans="1:51" x14ac:dyDescent="0.25">
      <c r="A169" s="8" t="s">
        <v>366</v>
      </c>
      <c r="B169" s="5" t="s">
        <v>367</v>
      </c>
      <c r="C169" s="2">
        <v>3.4499999999999993</v>
      </c>
      <c r="D169" s="24">
        <v>400</v>
      </c>
      <c r="E169" s="26">
        <f t="shared" si="54"/>
        <v>200</v>
      </c>
      <c r="F169" s="26">
        <v>470</v>
      </c>
      <c r="G169" s="30">
        <f t="shared" si="55"/>
        <v>0.42553191489361702</v>
      </c>
      <c r="H169" s="11"/>
      <c r="I169" s="9">
        <v>138</v>
      </c>
      <c r="J169" s="3">
        <v>182</v>
      </c>
      <c r="K169" s="3">
        <v>154</v>
      </c>
      <c r="L169" s="3">
        <v>613</v>
      </c>
      <c r="M169" s="6">
        <v>600</v>
      </c>
      <c r="N169" s="6">
        <v>59</v>
      </c>
      <c r="O169" s="13"/>
      <c r="P169" s="60">
        <f t="shared" si="73"/>
        <v>476.09999999999991</v>
      </c>
      <c r="Q169" s="61">
        <f t="shared" si="74"/>
        <v>627.89999999999986</v>
      </c>
      <c r="R169" s="61">
        <f t="shared" si="75"/>
        <v>531.29999999999984</v>
      </c>
      <c r="S169" s="62">
        <f t="shared" si="76"/>
        <v>2114.8499999999995</v>
      </c>
      <c r="T169" s="63">
        <f t="shared" si="77"/>
        <v>2069.9999999999995</v>
      </c>
      <c r="U169" s="63">
        <f t="shared" si="56"/>
        <v>203.54999999999995</v>
      </c>
      <c r="V169" s="64"/>
      <c r="W169" s="60">
        <v>118</v>
      </c>
      <c r="X169" s="61">
        <v>62</v>
      </c>
      <c r="Y169" s="61">
        <v>202</v>
      </c>
      <c r="Z169" s="61">
        <v>50</v>
      </c>
      <c r="AA169" s="65">
        <v>155</v>
      </c>
      <c r="AB169" s="65">
        <v>182</v>
      </c>
      <c r="AC169" s="66"/>
      <c r="AD169" s="67">
        <f t="shared" si="57"/>
        <v>0.25106382978723402</v>
      </c>
      <c r="AE169" s="67">
        <f t="shared" si="58"/>
        <v>0.13191489361702127</v>
      </c>
      <c r="AF169" s="67">
        <f t="shared" si="59"/>
        <v>0.4297872340425532</v>
      </c>
      <c r="AG169" s="67">
        <f t="shared" si="60"/>
        <v>0.10638297872340426</v>
      </c>
      <c r="AH169" s="67">
        <f t="shared" si="61"/>
        <v>0.32978723404255317</v>
      </c>
      <c r="AI169" s="67">
        <f t="shared" si="62"/>
        <v>0.38723404255319149</v>
      </c>
      <c r="AJ169" s="66"/>
      <c r="AK169" s="68">
        <v>593.38</v>
      </c>
      <c r="AL169" s="69">
        <v>355.70999999999992</v>
      </c>
      <c r="AM169" s="69">
        <v>355.70999999999992</v>
      </c>
      <c r="AN169" s="69">
        <v>991.72999999999968</v>
      </c>
      <c r="AO169" s="70">
        <v>260.06</v>
      </c>
      <c r="AP169" s="70">
        <v>570.24</v>
      </c>
      <c r="AQ169" s="66"/>
      <c r="AR169" s="70" t="s">
        <v>779</v>
      </c>
      <c r="AS169" s="66"/>
      <c r="AT169" s="108">
        <v>2678.5</v>
      </c>
      <c r="AU169" s="109">
        <v>3477.43</v>
      </c>
      <c r="AV169" s="109">
        <v>2913</v>
      </c>
      <c r="AW169" s="109">
        <v>12103.02</v>
      </c>
      <c r="AX169" s="110">
        <v>11942.01</v>
      </c>
      <c r="AY169" s="110">
        <v>1156.56</v>
      </c>
    </row>
    <row r="170" spans="1:51" x14ac:dyDescent="0.25">
      <c r="A170" s="8" t="s">
        <v>443</v>
      </c>
      <c r="B170" s="5" t="s">
        <v>444</v>
      </c>
      <c r="C170" s="2">
        <v>3.4300000000000033</v>
      </c>
      <c r="D170" s="24">
        <v>500</v>
      </c>
      <c r="E170" s="26">
        <f t="shared" si="54"/>
        <v>250</v>
      </c>
      <c r="F170" s="26">
        <v>2287</v>
      </c>
      <c r="G170" s="30">
        <f t="shared" si="55"/>
        <v>0.10931351114997814</v>
      </c>
      <c r="H170" s="11"/>
      <c r="I170" s="9">
        <v>95</v>
      </c>
      <c r="J170" s="3">
        <v>46</v>
      </c>
      <c r="K170" s="3">
        <v>0</v>
      </c>
      <c r="L170" s="3">
        <v>38</v>
      </c>
      <c r="M170" s="6"/>
      <c r="N170" s="6">
        <v>0</v>
      </c>
      <c r="O170" s="13"/>
      <c r="P170" s="60">
        <f t="shared" si="73"/>
        <v>325.85000000000031</v>
      </c>
      <c r="Q170" s="61">
        <f t="shared" si="74"/>
        <v>157.78000000000014</v>
      </c>
      <c r="R170" s="61">
        <f t="shared" si="75"/>
        <v>0</v>
      </c>
      <c r="S170" s="62">
        <f t="shared" si="76"/>
        <v>130.34000000000012</v>
      </c>
      <c r="T170" s="63">
        <f t="shared" si="77"/>
        <v>0</v>
      </c>
      <c r="U170" s="63">
        <f t="shared" si="56"/>
        <v>0</v>
      </c>
      <c r="V170" s="64"/>
      <c r="W170" s="60">
        <v>740</v>
      </c>
      <c r="X170" s="61">
        <v>352</v>
      </c>
      <c r="Y170" s="61">
        <v>589</v>
      </c>
      <c r="Z170" s="61">
        <v>210</v>
      </c>
      <c r="AA170" s="65">
        <v>31</v>
      </c>
      <c r="AB170" s="65">
        <v>36</v>
      </c>
      <c r="AC170" s="66"/>
      <c r="AD170" s="67">
        <f t="shared" si="57"/>
        <v>0.32356799300393529</v>
      </c>
      <c r="AE170" s="67">
        <f t="shared" si="58"/>
        <v>0.15391342369916922</v>
      </c>
      <c r="AF170" s="67">
        <f t="shared" si="59"/>
        <v>0.25754263226934848</v>
      </c>
      <c r="AG170" s="67">
        <f t="shared" si="60"/>
        <v>9.1823349365981632E-2</v>
      </c>
      <c r="AH170" s="67">
        <f t="shared" si="61"/>
        <v>1.355487538259729E-2</v>
      </c>
      <c r="AI170" s="67">
        <f t="shared" si="62"/>
        <v>1.5741145605596852E-2</v>
      </c>
      <c r="AJ170" s="66"/>
      <c r="AK170" s="68">
        <v>1808.2</v>
      </c>
      <c r="AL170" s="69">
        <v>1470.8899999999969</v>
      </c>
      <c r="AM170" s="69">
        <v>1470.8899999999969</v>
      </c>
      <c r="AN170" s="69">
        <v>1635.969999999995</v>
      </c>
      <c r="AO170" s="70">
        <v>575.85999999999899</v>
      </c>
      <c r="AP170" s="70">
        <v>119.229999999999</v>
      </c>
      <c r="AQ170" s="66"/>
      <c r="AR170" s="70" t="s">
        <v>779</v>
      </c>
      <c r="AS170" s="66"/>
      <c r="AT170" s="108">
        <v>2768.3</v>
      </c>
      <c r="AU170" s="109">
        <v>1355.16</v>
      </c>
      <c r="AV170" s="109">
        <v>0</v>
      </c>
      <c r="AW170" s="109">
        <v>1121.76</v>
      </c>
      <c r="AX170" s="110">
        <v>0</v>
      </c>
      <c r="AY170" s="110">
        <v>0</v>
      </c>
    </row>
    <row r="171" spans="1:51" x14ac:dyDescent="0.25">
      <c r="A171" s="8" t="s">
        <v>128</v>
      </c>
      <c r="B171" s="5" t="s">
        <v>129</v>
      </c>
      <c r="C171" s="2">
        <v>3.42</v>
      </c>
      <c r="D171" s="24">
        <v>400</v>
      </c>
      <c r="E171" s="26">
        <f t="shared" si="54"/>
        <v>200</v>
      </c>
      <c r="F171" s="26">
        <v>1492</v>
      </c>
      <c r="G171" s="30">
        <f t="shared" si="55"/>
        <v>0.13404825737265416</v>
      </c>
      <c r="H171" s="11"/>
      <c r="I171" s="9">
        <v>0</v>
      </c>
      <c r="J171" s="3">
        <v>0</v>
      </c>
      <c r="K171" s="3">
        <v>0</v>
      </c>
      <c r="L171" s="3">
        <v>50</v>
      </c>
      <c r="M171" s="6">
        <v>105</v>
      </c>
      <c r="N171" s="6">
        <v>50</v>
      </c>
      <c r="O171" s="13"/>
      <c r="P171" s="60">
        <f t="shared" si="73"/>
        <v>0</v>
      </c>
      <c r="Q171" s="61">
        <f t="shared" si="74"/>
        <v>0</v>
      </c>
      <c r="R171" s="61">
        <f t="shared" si="75"/>
        <v>0</v>
      </c>
      <c r="S171" s="62">
        <f t="shared" si="76"/>
        <v>171</v>
      </c>
      <c r="T171" s="63">
        <f t="shared" si="77"/>
        <v>359.09999999999997</v>
      </c>
      <c r="U171" s="63">
        <f t="shared" si="56"/>
        <v>171</v>
      </c>
      <c r="V171" s="64"/>
      <c r="W171" s="60">
        <v>35</v>
      </c>
      <c r="X171" s="61">
        <v>99</v>
      </c>
      <c r="Y171" s="61">
        <v>61</v>
      </c>
      <c r="Z171" s="61">
        <v>64</v>
      </c>
      <c r="AA171" s="65">
        <v>214</v>
      </c>
      <c r="AB171" s="65">
        <v>131</v>
      </c>
      <c r="AC171" s="66"/>
      <c r="AD171" s="67">
        <f t="shared" si="57"/>
        <v>2.3458445040214475E-2</v>
      </c>
      <c r="AE171" s="67">
        <f t="shared" si="58"/>
        <v>6.635388739946381E-2</v>
      </c>
      <c r="AF171" s="67">
        <f t="shared" si="59"/>
        <v>4.0884718498659517E-2</v>
      </c>
      <c r="AG171" s="67">
        <f t="shared" si="60"/>
        <v>4.2895442359249331E-2</v>
      </c>
      <c r="AH171" s="67">
        <f t="shared" si="61"/>
        <v>0.14343163538873996</v>
      </c>
      <c r="AI171" s="67">
        <f t="shared" si="62"/>
        <v>8.7801608579088475E-2</v>
      </c>
      <c r="AJ171" s="66"/>
      <c r="AK171" s="68">
        <v>57.17</v>
      </c>
      <c r="AL171" s="69">
        <v>125.03999999999999</v>
      </c>
      <c r="AM171" s="69">
        <v>125.03999999999998</v>
      </c>
      <c r="AN171" s="69">
        <v>63.28</v>
      </c>
      <c r="AO171" s="70">
        <v>73.900000000000006</v>
      </c>
      <c r="AP171" s="70">
        <v>50.05</v>
      </c>
      <c r="AQ171" s="66"/>
      <c r="AR171" s="70" t="s">
        <v>779</v>
      </c>
      <c r="AS171" s="66"/>
      <c r="AT171" s="108">
        <v>0</v>
      </c>
      <c r="AU171" s="109">
        <v>0</v>
      </c>
      <c r="AV171" s="109">
        <v>0</v>
      </c>
      <c r="AW171" s="109">
        <v>256.5</v>
      </c>
      <c r="AX171" s="110">
        <v>538.01</v>
      </c>
      <c r="AY171" s="110">
        <v>252</v>
      </c>
    </row>
    <row r="172" spans="1:51" x14ac:dyDescent="0.25">
      <c r="A172" s="8" t="s">
        <v>121</v>
      </c>
      <c r="B172" s="5" t="s">
        <v>122</v>
      </c>
      <c r="C172" s="2">
        <v>3.410000000000001</v>
      </c>
      <c r="D172" s="24">
        <v>15</v>
      </c>
      <c r="E172" s="26">
        <f t="shared" si="54"/>
        <v>7.5</v>
      </c>
      <c r="F172" s="26">
        <v>26</v>
      </c>
      <c r="G172" s="30">
        <f t="shared" si="55"/>
        <v>0.28846153846153844</v>
      </c>
      <c r="H172" s="11"/>
      <c r="I172" s="9">
        <v>50</v>
      </c>
      <c r="J172" s="3">
        <v>0</v>
      </c>
      <c r="K172" s="3">
        <v>0</v>
      </c>
      <c r="L172" s="3">
        <v>0</v>
      </c>
      <c r="M172" s="6">
        <v>140</v>
      </c>
      <c r="N172" s="6">
        <v>100</v>
      </c>
      <c r="O172" s="13"/>
      <c r="P172" s="60">
        <f t="shared" si="73"/>
        <v>170.50000000000006</v>
      </c>
      <c r="Q172" s="61">
        <f t="shared" si="74"/>
        <v>0</v>
      </c>
      <c r="R172" s="61">
        <f t="shared" si="75"/>
        <v>0</v>
      </c>
      <c r="S172" s="62">
        <f t="shared" si="76"/>
        <v>0</v>
      </c>
      <c r="T172" s="63">
        <f t="shared" si="77"/>
        <v>477.40000000000015</v>
      </c>
      <c r="U172" s="63">
        <f t="shared" si="56"/>
        <v>341.00000000000011</v>
      </c>
      <c r="V172" s="64"/>
      <c r="W172" s="60">
        <v>0</v>
      </c>
      <c r="X172" s="61">
        <v>0</v>
      </c>
      <c r="Y172" s="61">
        <v>0</v>
      </c>
      <c r="Z172" s="61">
        <v>0</v>
      </c>
      <c r="AA172" s="65">
        <v>0</v>
      </c>
      <c r="AB172" s="65">
        <v>0</v>
      </c>
      <c r="AC172" s="66"/>
      <c r="AD172" s="67">
        <f t="shared" si="57"/>
        <v>0</v>
      </c>
      <c r="AE172" s="67">
        <f t="shared" si="58"/>
        <v>0</v>
      </c>
      <c r="AF172" s="67">
        <f t="shared" si="59"/>
        <v>0</v>
      </c>
      <c r="AG172" s="67">
        <f t="shared" si="60"/>
        <v>0</v>
      </c>
      <c r="AH172" s="67">
        <f t="shared" si="61"/>
        <v>0</v>
      </c>
      <c r="AI172" s="67">
        <f t="shared" si="62"/>
        <v>0</v>
      </c>
      <c r="AJ172" s="66"/>
      <c r="AK172" s="68">
        <v>0</v>
      </c>
      <c r="AL172" s="69">
        <v>0</v>
      </c>
      <c r="AM172" s="69">
        <v>0</v>
      </c>
      <c r="AN172" s="69">
        <v>0</v>
      </c>
      <c r="AO172" s="70">
        <v>0</v>
      </c>
      <c r="AP172" s="70">
        <v>0</v>
      </c>
      <c r="AQ172" s="66"/>
      <c r="AR172" s="70" t="s">
        <v>779</v>
      </c>
      <c r="AS172" s="66"/>
      <c r="AT172" s="108">
        <v>234.5</v>
      </c>
      <c r="AU172" s="109">
        <v>0</v>
      </c>
      <c r="AV172" s="109">
        <v>0</v>
      </c>
      <c r="AW172" s="109">
        <v>0</v>
      </c>
      <c r="AX172" s="110">
        <v>604.79999999999995</v>
      </c>
      <c r="AY172" s="110">
        <v>486</v>
      </c>
    </row>
    <row r="173" spans="1:51" x14ac:dyDescent="0.25">
      <c r="A173" s="8" t="s">
        <v>130</v>
      </c>
      <c r="B173" s="5" t="s">
        <v>131</v>
      </c>
      <c r="C173" s="2">
        <v>3.3999999999999995</v>
      </c>
      <c r="D173" s="24">
        <v>4000</v>
      </c>
      <c r="E173" s="26">
        <f t="shared" si="54"/>
        <v>2000</v>
      </c>
      <c r="F173" s="26">
        <v>8505</v>
      </c>
      <c r="G173" s="30">
        <f t="shared" si="55"/>
        <v>0.23515579071134626</v>
      </c>
      <c r="H173" s="11"/>
      <c r="I173" s="9">
        <v>0</v>
      </c>
      <c r="J173" s="3">
        <v>500</v>
      </c>
      <c r="K173" s="3">
        <v>900</v>
      </c>
      <c r="L173" s="3">
        <v>1300</v>
      </c>
      <c r="M173" s="6">
        <v>329</v>
      </c>
      <c r="N173" s="6">
        <v>880</v>
      </c>
      <c r="O173" s="13"/>
      <c r="P173" s="60">
        <f t="shared" si="73"/>
        <v>0</v>
      </c>
      <c r="Q173" s="61">
        <f t="shared" si="74"/>
        <v>1699.9999999999998</v>
      </c>
      <c r="R173" s="61">
        <f t="shared" si="75"/>
        <v>3059.9999999999995</v>
      </c>
      <c r="S173" s="62">
        <f t="shared" si="76"/>
        <v>4419.9999999999991</v>
      </c>
      <c r="T173" s="63">
        <f t="shared" si="77"/>
        <v>1118.5999999999999</v>
      </c>
      <c r="U173" s="63">
        <f t="shared" si="56"/>
        <v>2991.9999999999995</v>
      </c>
      <c r="V173" s="64"/>
      <c r="W173" s="60">
        <v>0</v>
      </c>
      <c r="X173" s="61">
        <v>0</v>
      </c>
      <c r="Y173" s="61">
        <v>0</v>
      </c>
      <c r="Z173" s="61">
        <v>0</v>
      </c>
      <c r="AA173" s="65">
        <v>0</v>
      </c>
      <c r="AB173" s="65">
        <v>457</v>
      </c>
      <c r="AC173" s="66"/>
      <c r="AD173" s="67">
        <f t="shared" si="57"/>
        <v>0</v>
      </c>
      <c r="AE173" s="67">
        <f t="shared" si="58"/>
        <v>0</v>
      </c>
      <c r="AF173" s="67">
        <f t="shared" si="59"/>
        <v>0</v>
      </c>
      <c r="AG173" s="67">
        <f t="shared" si="60"/>
        <v>0</v>
      </c>
      <c r="AH173" s="67">
        <f t="shared" si="61"/>
        <v>0</v>
      </c>
      <c r="AI173" s="67">
        <f t="shared" si="62"/>
        <v>5.3733098177542619E-2</v>
      </c>
      <c r="AJ173" s="66"/>
      <c r="AK173" s="68">
        <v>0</v>
      </c>
      <c r="AL173" s="69">
        <v>0</v>
      </c>
      <c r="AM173" s="69">
        <v>0</v>
      </c>
      <c r="AN173" s="69">
        <v>0</v>
      </c>
      <c r="AO173" s="70">
        <v>0</v>
      </c>
      <c r="AP173" s="70">
        <v>1185.1599999999901</v>
      </c>
      <c r="AQ173" s="66"/>
      <c r="AR173" s="70" t="s">
        <v>779</v>
      </c>
      <c r="AS173" s="66"/>
      <c r="AT173" s="108">
        <v>0</v>
      </c>
      <c r="AU173" s="109">
        <v>2010</v>
      </c>
      <c r="AV173" s="109">
        <v>3582</v>
      </c>
      <c r="AW173" s="109">
        <v>5225</v>
      </c>
      <c r="AX173" s="110">
        <v>1306.3399999999999</v>
      </c>
      <c r="AY173" s="110">
        <v>3565</v>
      </c>
    </row>
    <row r="174" spans="1:51" x14ac:dyDescent="0.25">
      <c r="A174" s="8" t="s">
        <v>337</v>
      </c>
      <c r="B174" s="5" t="s">
        <v>338</v>
      </c>
      <c r="C174" s="2">
        <v>3.370000000000001</v>
      </c>
      <c r="D174" s="24">
        <v>200</v>
      </c>
      <c r="E174" s="26">
        <f t="shared" si="54"/>
        <v>100</v>
      </c>
      <c r="F174" s="26">
        <v>197</v>
      </c>
      <c r="G174" s="30">
        <f t="shared" si="55"/>
        <v>0.50761421319796951</v>
      </c>
      <c r="H174" s="11"/>
      <c r="I174" s="9">
        <v>0</v>
      </c>
      <c r="J174" s="3">
        <v>0</v>
      </c>
      <c r="K174" s="3">
        <v>0</v>
      </c>
      <c r="L174" s="3">
        <v>30</v>
      </c>
      <c r="M174" s="6">
        <v>100</v>
      </c>
      <c r="N174" s="6">
        <v>0</v>
      </c>
      <c r="O174" s="13"/>
      <c r="P174" s="60">
        <f t="shared" si="73"/>
        <v>0</v>
      </c>
      <c r="Q174" s="61">
        <f t="shared" si="74"/>
        <v>0</v>
      </c>
      <c r="R174" s="61">
        <f t="shared" si="75"/>
        <v>0</v>
      </c>
      <c r="S174" s="62">
        <f t="shared" si="76"/>
        <v>101.10000000000002</v>
      </c>
      <c r="T174" s="63">
        <f t="shared" si="77"/>
        <v>337.00000000000011</v>
      </c>
      <c r="U174" s="63">
        <f t="shared" si="56"/>
        <v>0</v>
      </c>
      <c r="V174" s="64"/>
      <c r="W174" s="60">
        <v>66</v>
      </c>
      <c r="X174" s="61">
        <v>104</v>
      </c>
      <c r="Y174" s="61">
        <v>33</v>
      </c>
      <c r="Z174" s="61">
        <v>65</v>
      </c>
      <c r="AA174" s="65">
        <v>42</v>
      </c>
      <c r="AB174" s="65">
        <v>131</v>
      </c>
      <c r="AC174" s="66"/>
      <c r="AD174" s="67">
        <f t="shared" si="57"/>
        <v>0.3350253807106599</v>
      </c>
      <c r="AE174" s="67">
        <f t="shared" si="58"/>
        <v>0.52791878172588835</v>
      </c>
      <c r="AF174" s="67">
        <f t="shared" si="59"/>
        <v>0.16751269035532995</v>
      </c>
      <c r="AG174" s="67">
        <f t="shared" si="60"/>
        <v>0.32994923857868019</v>
      </c>
      <c r="AH174" s="67">
        <f t="shared" si="61"/>
        <v>0.21319796954314721</v>
      </c>
      <c r="AI174" s="67">
        <f t="shared" si="62"/>
        <v>0.6649746192893401</v>
      </c>
      <c r="AJ174" s="66"/>
      <c r="AK174" s="68">
        <v>33.290000000000013</v>
      </c>
      <c r="AL174" s="69">
        <v>77.599999999999994</v>
      </c>
      <c r="AM174" s="69">
        <v>77.599999999999994</v>
      </c>
      <c r="AN174" s="69">
        <v>133.86999999999989</v>
      </c>
      <c r="AO174" s="70">
        <v>127.32</v>
      </c>
      <c r="AP174" s="70">
        <v>203.039999999999</v>
      </c>
      <c r="AQ174" s="66"/>
      <c r="AR174" s="70" t="s">
        <v>779</v>
      </c>
      <c r="AS174" s="66"/>
      <c r="AT174" s="108">
        <v>0</v>
      </c>
      <c r="AU174" s="109">
        <v>0</v>
      </c>
      <c r="AV174" s="109">
        <v>0</v>
      </c>
      <c r="AW174" s="109">
        <v>491.1</v>
      </c>
      <c r="AX174" s="110">
        <v>1637</v>
      </c>
      <c r="AY174" s="110">
        <v>0</v>
      </c>
    </row>
    <row r="175" spans="1:51" x14ac:dyDescent="0.25">
      <c r="A175" s="8" t="s">
        <v>604</v>
      </c>
      <c r="B175" s="5" t="s">
        <v>605</v>
      </c>
      <c r="C175" s="2">
        <v>3.3499999999999943</v>
      </c>
      <c r="D175" s="24">
        <v>300</v>
      </c>
      <c r="E175" s="26">
        <f t="shared" si="54"/>
        <v>150</v>
      </c>
      <c r="F175" s="26">
        <v>846</v>
      </c>
      <c r="G175" s="30">
        <f t="shared" si="55"/>
        <v>0.1773049645390071</v>
      </c>
      <c r="H175" s="11"/>
      <c r="I175" s="9">
        <v>0</v>
      </c>
      <c r="J175" s="3">
        <v>164</v>
      </c>
      <c r="K175" s="3">
        <v>230</v>
      </c>
      <c r="L175" s="3">
        <v>262</v>
      </c>
      <c r="M175" s="6">
        <v>33</v>
      </c>
      <c r="N175" s="6">
        <v>130</v>
      </c>
      <c r="O175" s="13"/>
      <c r="P175" s="60">
        <f t="shared" si="73"/>
        <v>0</v>
      </c>
      <c r="Q175" s="61">
        <f t="shared" si="74"/>
        <v>549.39999999999907</v>
      </c>
      <c r="R175" s="61">
        <f t="shared" si="75"/>
        <v>770.49999999999864</v>
      </c>
      <c r="S175" s="62">
        <f t="shared" si="76"/>
        <v>877.69999999999845</v>
      </c>
      <c r="T175" s="63">
        <f t="shared" si="77"/>
        <v>110.54999999999981</v>
      </c>
      <c r="U175" s="63">
        <f t="shared" si="56"/>
        <v>435.49999999999926</v>
      </c>
      <c r="V175" s="64"/>
      <c r="W175" s="60">
        <v>127</v>
      </c>
      <c r="X175" s="61">
        <v>204</v>
      </c>
      <c r="Y175" s="61">
        <v>35</v>
      </c>
      <c r="Z175" s="61">
        <v>316</v>
      </c>
      <c r="AA175" s="65">
        <v>273</v>
      </c>
      <c r="AB175" s="65">
        <v>106</v>
      </c>
      <c r="AC175" s="66"/>
      <c r="AD175" s="67">
        <f t="shared" si="57"/>
        <v>0.15011820330969267</v>
      </c>
      <c r="AE175" s="67">
        <f t="shared" si="58"/>
        <v>0.24113475177304963</v>
      </c>
      <c r="AF175" s="67">
        <f t="shared" si="59"/>
        <v>4.1371158392434985E-2</v>
      </c>
      <c r="AG175" s="67">
        <f t="shared" si="60"/>
        <v>0.37352245862884159</v>
      </c>
      <c r="AH175" s="67">
        <f t="shared" si="61"/>
        <v>0.32269503546099293</v>
      </c>
      <c r="AI175" s="67">
        <f t="shared" si="62"/>
        <v>0.12529550827423167</v>
      </c>
      <c r="AJ175" s="66"/>
      <c r="AK175" s="68">
        <v>450.32000000000011</v>
      </c>
      <c r="AL175" s="69">
        <v>574.70999999999958</v>
      </c>
      <c r="AM175" s="69">
        <v>574.70999999999958</v>
      </c>
      <c r="AN175" s="69">
        <v>250.19999999999979</v>
      </c>
      <c r="AO175" s="70">
        <v>1003.22</v>
      </c>
      <c r="AP175" s="70">
        <v>264.66000000000003</v>
      </c>
      <c r="AQ175" s="66"/>
      <c r="AR175" s="70" t="s">
        <v>780</v>
      </c>
      <c r="AS175" s="66"/>
      <c r="AT175" s="108">
        <v>0</v>
      </c>
      <c r="AU175" s="109">
        <v>11280.62</v>
      </c>
      <c r="AV175" s="109">
        <v>15763.99</v>
      </c>
      <c r="AW175" s="109">
        <v>17822.080000000002</v>
      </c>
      <c r="AX175" s="110">
        <v>4744.32</v>
      </c>
      <c r="AY175" s="110">
        <v>8858.2000000000007</v>
      </c>
    </row>
    <row r="176" spans="1:51" x14ac:dyDescent="0.25">
      <c r="A176" s="8">
        <v>5220</v>
      </c>
      <c r="B176" s="5" t="s">
        <v>264</v>
      </c>
      <c r="C176" s="2">
        <v>3.3100000000000005</v>
      </c>
      <c r="D176" s="24">
        <v>500</v>
      </c>
      <c r="E176" s="26">
        <f t="shared" si="54"/>
        <v>250</v>
      </c>
      <c r="F176" s="26">
        <v>456</v>
      </c>
      <c r="G176" s="30">
        <f t="shared" si="55"/>
        <v>0.54824561403508776</v>
      </c>
      <c r="H176" s="11"/>
      <c r="I176" s="9">
        <v>0</v>
      </c>
      <c r="J176" s="3">
        <v>0</v>
      </c>
      <c r="K176" s="3">
        <v>0</v>
      </c>
      <c r="L176" s="3">
        <v>50</v>
      </c>
      <c r="M176" s="6">
        <v>100</v>
      </c>
      <c r="N176" s="6">
        <v>110</v>
      </c>
      <c r="O176" s="13"/>
      <c r="P176" s="60">
        <f t="shared" si="73"/>
        <v>0</v>
      </c>
      <c r="Q176" s="61">
        <f t="shared" si="74"/>
        <v>0</v>
      </c>
      <c r="R176" s="61">
        <f t="shared" si="75"/>
        <v>0</v>
      </c>
      <c r="S176" s="62">
        <f t="shared" si="76"/>
        <v>165.50000000000003</v>
      </c>
      <c r="T176" s="63">
        <f t="shared" si="77"/>
        <v>331.00000000000006</v>
      </c>
      <c r="U176" s="63">
        <f t="shared" si="56"/>
        <v>364.10000000000008</v>
      </c>
      <c r="V176" s="64"/>
      <c r="W176" s="60">
        <v>132</v>
      </c>
      <c r="X176" s="61">
        <v>196</v>
      </c>
      <c r="Y176" s="61">
        <v>117</v>
      </c>
      <c r="Z176" s="61">
        <v>0</v>
      </c>
      <c r="AA176" s="65">
        <v>50</v>
      </c>
      <c r="AB176" s="65">
        <v>172</v>
      </c>
      <c r="AC176" s="66"/>
      <c r="AD176" s="67">
        <f t="shared" si="57"/>
        <v>0.28947368421052633</v>
      </c>
      <c r="AE176" s="67">
        <f t="shared" si="58"/>
        <v>0.42982456140350878</v>
      </c>
      <c r="AF176" s="67">
        <f t="shared" si="59"/>
        <v>0.25657894736842107</v>
      </c>
      <c r="AG176" s="67">
        <f t="shared" si="60"/>
        <v>0</v>
      </c>
      <c r="AH176" s="67">
        <f t="shared" si="61"/>
        <v>0.10964912280701754</v>
      </c>
      <c r="AI176" s="67">
        <f t="shared" si="62"/>
        <v>0.37719298245614036</v>
      </c>
      <c r="AJ176" s="66"/>
      <c r="AK176" s="68">
        <v>209.41</v>
      </c>
      <c r="AL176" s="69">
        <v>264.91999999999928</v>
      </c>
      <c r="AM176" s="69">
        <v>264.91999999999933</v>
      </c>
      <c r="AN176" s="69">
        <v>156.1799999999995</v>
      </c>
      <c r="AO176" s="70">
        <v>165.50000000000003</v>
      </c>
      <c r="AP176" s="70">
        <v>461.09</v>
      </c>
      <c r="AQ176" s="66"/>
      <c r="AR176" s="70" t="s">
        <v>779</v>
      </c>
      <c r="AS176" s="66"/>
      <c r="AT176" s="108">
        <v>0</v>
      </c>
      <c r="AU176" s="109">
        <v>0</v>
      </c>
      <c r="AV176" s="109">
        <v>0</v>
      </c>
      <c r="AW176" s="109">
        <v>580.5</v>
      </c>
      <c r="AX176" s="110">
        <v>1147.5</v>
      </c>
      <c r="AY176" s="110">
        <v>1288.3</v>
      </c>
    </row>
    <row r="177" spans="1:51" x14ac:dyDescent="0.25">
      <c r="A177" s="8" t="s">
        <v>793</v>
      </c>
      <c r="B177" s="5" t="s">
        <v>836</v>
      </c>
      <c r="C177" s="2">
        <v>3.2939887074006853</v>
      </c>
      <c r="D177" s="24">
        <v>1000</v>
      </c>
      <c r="E177" s="26">
        <f t="shared" si="54"/>
        <v>500</v>
      </c>
      <c r="F177" s="26">
        <v>5279</v>
      </c>
      <c r="G177" s="30">
        <f t="shared" si="55"/>
        <v>9.4714908126539113E-2</v>
      </c>
      <c r="H177" s="11"/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6">
        <v>578</v>
      </c>
      <c r="O177" s="13"/>
      <c r="P177" s="60"/>
      <c r="Q177" s="61"/>
      <c r="R177" s="61"/>
      <c r="S177" s="62"/>
      <c r="T177" s="63"/>
      <c r="U177" s="63">
        <f t="shared" si="56"/>
        <v>1903.9254728775961</v>
      </c>
      <c r="V177" s="64"/>
      <c r="W177" s="60"/>
      <c r="X177" s="61"/>
      <c r="Y177" s="61"/>
      <c r="Z177" s="61"/>
      <c r="AA177" s="65"/>
      <c r="AB177" s="65"/>
      <c r="AC177" s="66"/>
      <c r="AD177" s="67">
        <f t="shared" si="57"/>
        <v>0</v>
      </c>
      <c r="AE177" s="67">
        <f t="shared" si="58"/>
        <v>0</v>
      </c>
      <c r="AF177" s="67">
        <f t="shared" si="59"/>
        <v>0</v>
      </c>
      <c r="AG177" s="67">
        <f t="shared" si="60"/>
        <v>0</v>
      </c>
      <c r="AH177" s="67">
        <f t="shared" si="61"/>
        <v>0</v>
      </c>
      <c r="AI177" s="67">
        <f t="shared" si="62"/>
        <v>0</v>
      </c>
      <c r="AJ177" s="66"/>
      <c r="AK177" s="68"/>
      <c r="AL177" s="69"/>
      <c r="AM177" s="69"/>
      <c r="AN177" s="69"/>
      <c r="AO177" s="70"/>
      <c r="AP177" s="70"/>
      <c r="AQ177" s="66"/>
      <c r="AR177" s="70" t="s">
        <v>779</v>
      </c>
      <c r="AS177" s="66"/>
      <c r="AT177" s="108">
        <v>0</v>
      </c>
      <c r="AU177" s="109">
        <v>0</v>
      </c>
      <c r="AV177" s="109">
        <v>0</v>
      </c>
      <c r="AW177" s="109">
        <v>0</v>
      </c>
      <c r="AX177" s="110">
        <v>0</v>
      </c>
      <c r="AY177" s="110">
        <v>1953.64</v>
      </c>
    </row>
    <row r="178" spans="1:51" x14ac:dyDescent="0.25">
      <c r="A178" s="8" t="s">
        <v>78</v>
      </c>
      <c r="B178" s="5" t="s">
        <v>79</v>
      </c>
      <c r="C178" s="2">
        <v>3.2800000000000002</v>
      </c>
      <c r="D178" s="24">
        <v>4000</v>
      </c>
      <c r="E178" s="26">
        <f t="shared" si="54"/>
        <v>2000</v>
      </c>
      <c r="F178" s="26">
        <v>2207</v>
      </c>
      <c r="G178" s="30">
        <f t="shared" si="55"/>
        <v>0.90620752152242867</v>
      </c>
      <c r="H178" s="11"/>
      <c r="I178" s="9">
        <v>4000</v>
      </c>
      <c r="J178" s="3">
        <v>0</v>
      </c>
      <c r="K178" s="3">
        <v>500</v>
      </c>
      <c r="L178" s="3">
        <v>70</v>
      </c>
      <c r="M178" s="6"/>
      <c r="N178" s="6">
        <v>0</v>
      </c>
      <c r="O178" s="13"/>
      <c r="P178" s="60">
        <f>+I178*C178</f>
        <v>13120.000000000002</v>
      </c>
      <c r="Q178" s="61">
        <f>+J178*C178</f>
        <v>0</v>
      </c>
      <c r="R178" s="61">
        <f>+K178*C178</f>
        <v>1640.0000000000002</v>
      </c>
      <c r="S178" s="62">
        <f>+L178*C178</f>
        <v>229.60000000000002</v>
      </c>
      <c r="T178" s="63">
        <f>+M178*C178</f>
        <v>0</v>
      </c>
      <c r="U178" s="63">
        <f t="shared" si="56"/>
        <v>0</v>
      </c>
      <c r="V178" s="64"/>
      <c r="W178" s="60">
        <v>4</v>
      </c>
      <c r="X178" s="61">
        <v>7</v>
      </c>
      <c r="Y178" s="61">
        <v>4</v>
      </c>
      <c r="Z178" s="61">
        <v>0</v>
      </c>
      <c r="AA178" s="65">
        <v>3</v>
      </c>
      <c r="AB178" s="65">
        <v>0</v>
      </c>
      <c r="AC178" s="66"/>
      <c r="AD178" s="67">
        <f t="shared" si="57"/>
        <v>1.8124150430448573E-3</v>
      </c>
      <c r="AE178" s="67">
        <f t="shared" si="58"/>
        <v>3.1717263253285004E-3</v>
      </c>
      <c r="AF178" s="67">
        <f t="shared" si="59"/>
        <v>1.8124150430448573E-3</v>
      </c>
      <c r="AG178" s="67">
        <f t="shared" si="60"/>
        <v>0</v>
      </c>
      <c r="AH178" s="67">
        <f t="shared" si="61"/>
        <v>1.3593112822836431E-3</v>
      </c>
      <c r="AI178" s="67">
        <f t="shared" si="62"/>
        <v>0</v>
      </c>
      <c r="AJ178" s="66"/>
      <c r="AK178" s="68">
        <v>13</v>
      </c>
      <c r="AL178" s="69">
        <v>22.75</v>
      </c>
      <c r="AM178" s="69">
        <v>22.75</v>
      </c>
      <c r="AN178" s="69">
        <v>13</v>
      </c>
      <c r="AO178" s="70">
        <v>9.84</v>
      </c>
      <c r="AP178" s="70">
        <v>0</v>
      </c>
      <c r="AQ178" s="66"/>
      <c r="AR178" s="70" t="s">
        <v>779</v>
      </c>
      <c r="AS178" s="66"/>
      <c r="AT178" s="108">
        <v>14135</v>
      </c>
      <c r="AU178" s="109">
        <v>0</v>
      </c>
      <c r="AV178" s="109">
        <v>1780</v>
      </c>
      <c r="AW178" s="109">
        <v>247.8</v>
      </c>
      <c r="AX178" s="110">
        <v>0</v>
      </c>
      <c r="AY178" s="110">
        <v>0</v>
      </c>
    </row>
    <row r="179" spans="1:51" x14ac:dyDescent="0.25">
      <c r="A179" s="8">
        <v>5555</v>
      </c>
      <c r="B179" s="5" t="s">
        <v>225</v>
      </c>
      <c r="C179" s="2">
        <v>3.2799999999999994</v>
      </c>
      <c r="D179" s="24">
        <v>8000</v>
      </c>
      <c r="E179" s="26">
        <f t="shared" si="54"/>
        <v>4000</v>
      </c>
      <c r="F179" s="26">
        <v>13542</v>
      </c>
      <c r="G179" s="30">
        <f t="shared" si="55"/>
        <v>0.29537734455767245</v>
      </c>
      <c r="H179" s="11"/>
      <c r="I179" s="9">
        <v>1400</v>
      </c>
      <c r="J179" s="3">
        <v>1636</v>
      </c>
      <c r="K179" s="3">
        <v>321</v>
      </c>
      <c r="L179" s="3">
        <v>2231</v>
      </c>
      <c r="M179" s="6"/>
      <c r="N179" s="6">
        <v>259</v>
      </c>
      <c r="O179" s="13"/>
      <c r="P179" s="60">
        <f>+I179*C179</f>
        <v>4591.9999999999991</v>
      </c>
      <c r="Q179" s="61">
        <f>+J179*C179</f>
        <v>5366.079999999999</v>
      </c>
      <c r="R179" s="61">
        <f>+K179*C179</f>
        <v>1052.8799999999999</v>
      </c>
      <c r="S179" s="62">
        <f>+L179*C179</f>
        <v>7317.6799999999985</v>
      </c>
      <c r="T179" s="63">
        <f>+M179*C179</f>
        <v>0</v>
      </c>
      <c r="U179" s="63">
        <f t="shared" si="56"/>
        <v>849.51999999999987</v>
      </c>
      <c r="V179" s="64"/>
      <c r="W179" s="60">
        <v>165</v>
      </c>
      <c r="X179" s="61">
        <v>1621</v>
      </c>
      <c r="Y179" s="61">
        <v>1529</v>
      </c>
      <c r="Z179" s="61">
        <v>295</v>
      </c>
      <c r="AA179" s="65">
        <v>2275</v>
      </c>
      <c r="AB179" s="65">
        <v>57</v>
      </c>
      <c r="AC179" s="66"/>
      <c r="AD179" s="67">
        <f t="shared" si="57"/>
        <v>1.2184315463003987E-2</v>
      </c>
      <c r="AE179" s="67">
        <f t="shared" si="58"/>
        <v>0.11970166888199675</v>
      </c>
      <c r="AF179" s="67">
        <f t="shared" si="59"/>
        <v>0.11290798995717029</v>
      </c>
      <c r="AG179" s="67">
        <f t="shared" si="60"/>
        <v>2.1784079161128341E-2</v>
      </c>
      <c r="AH179" s="67">
        <f t="shared" si="61"/>
        <v>0.1679958647171762</v>
      </c>
      <c r="AI179" s="67">
        <f t="shared" si="62"/>
        <v>4.2091271599468318E-3</v>
      </c>
      <c r="AJ179" s="66"/>
      <c r="AK179" s="68">
        <v>593.18000000000006</v>
      </c>
      <c r="AL179" s="69">
        <v>5971.659999999968</v>
      </c>
      <c r="AM179" s="69">
        <v>5971.659999999968</v>
      </c>
      <c r="AN179" s="69">
        <v>6318.659999999988</v>
      </c>
      <c r="AO179" s="70">
        <v>827.30999999999904</v>
      </c>
      <c r="AP179" s="70">
        <v>126.36</v>
      </c>
      <c r="AQ179" s="66"/>
      <c r="AR179" s="70" t="s">
        <v>779</v>
      </c>
      <c r="AS179" s="66"/>
      <c r="AT179" s="108">
        <v>0</v>
      </c>
      <c r="AU179" s="109">
        <v>0</v>
      </c>
      <c r="AV179" s="109">
        <v>0</v>
      </c>
      <c r="AW179" s="109">
        <v>0</v>
      </c>
      <c r="AX179" s="110">
        <v>0</v>
      </c>
      <c r="AY179" s="110">
        <v>0</v>
      </c>
    </row>
    <row r="180" spans="1:51" x14ac:dyDescent="0.25">
      <c r="A180" s="8" t="s">
        <v>813</v>
      </c>
      <c r="B180" s="5" t="s">
        <v>856</v>
      </c>
      <c r="C180" s="2">
        <v>3.2705263157894677</v>
      </c>
      <c r="D180" s="24">
        <v>2000</v>
      </c>
      <c r="E180" s="26">
        <f t="shared" si="54"/>
        <v>1000</v>
      </c>
      <c r="F180" s="26">
        <v>8972</v>
      </c>
      <c r="G180" s="30">
        <f t="shared" si="55"/>
        <v>0.11145786892554614</v>
      </c>
      <c r="H180" s="11"/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6">
        <v>883</v>
      </c>
      <c r="O180" s="13"/>
      <c r="P180" s="60"/>
      <c r="Q180" s="61"/>
      <c r="R180" s="61"/>
      <c r="S180" s="62"/>
      <c r="T180" s="63"/>
      <c r="U180" s="63">
        <f t="shared" si="56"/>
        <v>2887.8747368421</v>
      </c>
      <c r="V180" s="64"/>
      <c r="W180" s="60"/>
      <c r="X180" s="61"/>
      <c r="Y180" s="61"/>
      <c r="Z180" s="61"/>
      <c r="AA180" s="65"/>
      <c r="AB180" s="65"/>
      <c r="AC180" s="66"/>
      <c r="AD180" s="67">
        <f t="shared" si="57"/>
        <v>0</v>
      </c>
      <c r="AE180" s="67">
        <f t="shared" si="58"/>
        <v>0</v>
      </c>
      <c r="AF180" s="67">
        <f t="shared" si="59"/>
        <v>0</v>
      </c>
      <c r="AG180" s="67">
        <f t="shared" si="60"/>
        <v>0</v>
      </c>
      <c r="AH180" s="67">
        <f t="shared" si="61"/>
        <v>0</v>
      </c>
      <c r="AI180" s="67">
        <f t="shared" si="62"/>
        <v>0</v>
      </c>
      <c r="AJ180" s="66"/>
      <c r="AK180" s="68"/>
      <c r="AL180" s="69"/>
      <c r="AM180" s="69"/>
      <c r="AN180" s="69"/>
      <c r="AO180" s="70"/>
      <c r="AP180" s="70"/>
      <c r="AQ180" s="66"/>
      <c r="AR180" s="70" t="s">
        <v>780</v>
      </c>
      <c r="AS180" s="66"/>
      <c r="AT180" s="108">
        <v>137934.07999999999</v>
      </c>
      <c r="AU180" s="109">
        <v>321779.88</v>
      </c>
      <c r="AV180" s="109">
        <v>203277.83000000005</v>
      </c>
      <c r="AW180" s="109">
        <v>65872.240000000005</v>
      </c>
      <c r="AX180" s="110">
        <v>26324.880000000001</v>
      </c>
      <c r="AY180" s="110">
        <v>59669.380000000005</v>
      </c>
    </row>
    <row r="181" spans="1:51" x14ac:dyDescent="0.25">
      <c r="A181" s="8" t="s">
        <v>333</v>
      </c>
      <c r="B181" s="5" t="s">
        <v>334</v>
      </c>
      <c r="C181" s="2">
        <v>3.1899999999999995</v>
      </c>
      <c r="D181" s="24">
        <v>2000</v>
      </c>
      <c r="E181" s="26">
        <f t="shared" si="54"/>
        <v>1000</v>
      </c>
      <c r="F181" s="26">
        <v>3806</v>
      </c>
      <c r="G181" s="30">
        <f t="shared" si="55"/>
        <v>0.26274303730951132</v>
      </c>
      <c r="H181" s="11"/>
      <c r="I181" s="9">
        <v>496</v>
      </c>
      <c r="J181" s="3">
        <v>0</v>
      </c>
      <c r="K181" s="3">
        <v>0</v>
      </c>
      <c r="L181" s="3">
        <v>0</v>
      </c>
      <c r="M181" s="6"/>
      <c r="N181" s="6">
        <v>0</v>
      </c>
      <c r="O181" s="13"/>
      <c r="P181" s="60">
        <f>+I181*C181</f>
        <v>1582.2399999999998</v>
      </c>
      <c r="Q181" s="61">
        <f>+J181*C181</f>
        <v>0</v>
      </c>
      <c r="R181" s="61">
        <f>+K181*C181</f>
        <v>0</v>
      </c>
      <c r="S181" s="62">
        <f>+L181*C181</f>
        <v>0</v>
      </c>
      <c r="T181" s="63">
        <f>+M181*C181</f>
        <v>0</v>
      </c>
      <c r="U181" s="63">
        <f t="shared" si="56"/>
        <v>0</v>
      </c>
      <c r="V181" s="64"/>
      <c r="W181" s="60">
        <v>976</v>
      </c>
      <c r="X181" s="61">
        <v>-5</v>
      </c>
      <c r="Y181" s="61">
        <v>0</v>
      </c>
      <c r="Z181" s="61">
        <v>0</v>
      </c>
      <c r="AA181" s="65">
        <v>0</v>
      </c>
      <c r="AB181" s="65">
        <v>0</v>
      </c>
      <c r="AC181" s="66"/>
      <c r="AD181" s="67">
        <f t="shared" si="57"/>
        <v>0.25643720441408302</v>
      </c>
      <c r="AE181" s="67">
        <f t="shared" si="58"/>
        <v>-1.3137151865475565E-3</v>
      </c>
      <c r="AF181" s="67">
        <f t="shared" si="59"/>
        <v>0</v>
      </c>
      <c r="AG181" s="67">
        <f t="shared" si="60"/>
        <v>0</v>
      </c>
      <c r="AH181" s="67">
        <f t="shared" si="61"/>
        <v>0</v>
      </c>
      <c r="AI181" s="67">
        <f t="shared" si="62"/>
        <v>0</v>
      </c>
      <c r="AJ181" s="66"/>
      <c r="AK181" s="68">
        <v>2521.4900000000011</v>
      </c>
      <c r="AL181" s="69">
        <v>1154.8099999999961</v>
      </c>
      <c r="AM181" s="69">
        <v>1154.8099999999961</v>
      </c>
      <c r="AN181" s="69">
        <v>0</v>
      </c>
      <c r="AO181" s="70">
        <v>0</v>
      </c>
      <c r="AP181" s="70">
        <v>0</v>
      </c>
      <c r="AQ181" s="66"/>
      <c r="AR181" s="70" t="s">
        <v>779</v>
      </c>
      <c r="AS181" s="66"/>
      <c r="AT181" s="108">
        <v>7400.32</v>
      </c>
      <c r="AU181" s="109">
        <v>0</v>
      </c>
      <c r="AV181" s="109">
        <v>0</v>
      </c>
      <c r="AW181" s="109">
        <v>0</v>
      </c>
      <c r="AX181" s="110">
        <v>0</v>
      </c>
      <c r="AY181" s="110">
        <v>0</v>
      </c>
    </row>
    <row r="182" spans="1:51" x14ac:dyDescent="0.25">
      <c r="A182" s="8" t="s">
        <v>387</v>
      </c>
      <c r="B182" s="5" t="s">
        <v>388</v>
      </c>
      <c r="C182" s="2">
        <v>3.1500000000000021</v>
      </c>
      <c r="D182" s="24">
        <v>612.80000000000007</v>
      </c>
      <c r="E182" s="26">
        <f t="shared" si="54"/>
        <v>306.40000000000003</v>
      </c>
      <c r="F182" s="26">
        <v>3064</v>
      </c>
      <c r="G182" s="30">
        <f t="shared" si="55"/>
        <v>0.1</v>
      </c>
      <c r="H182" s="11"/>
      <c r="I182" s="9">
        <v>0</v>
      </c>
      <c r="J182" s="3">
        <v>200</v>
      </c>
      <c r="K182" s="3">
        <v>0</v>
      </c>
      <c r="L182" s="3">
        <v>0</v>
      </c>
      <c r="M182" s="6"/>
      <c r="N182" s="6">
        <v>0</v>
      </c>
      <c r="O182" s="13"/>
      <c r="P182" s="60">
        <f>+I182*C182</f>
        <v>0</v>
      </c>
      <c r="Q182" s="61">
        <f>+J182*C182</f>
        <v>630.00000000000045</v>
      </c>
      <c r="R182" s="61">
        <f>+K182*C182</f>
        <v>0</v>
      </c>
      <c r="S182" s="62">
        <f>+L182*C182</f>
        <v>0</v>
      </c>
      <c r="T182" s="63">
        <f>+M182*C182</f>
        <v>0</v>
      </c>
      <c r="U182" s="63">
        <f t="shared" si="56"/>
        <v>0</v>
      </c>
      <c r="V182" s="64"/>
      <c r="W182" s="60">
        <v>22</v>
      </c>
      <c r="X182" s="61">
        <v>26</v>
      </c>
      <c r="Y182" s="61">
        <v>11</v>
      </c>
      <c r="Z182" s="61">
        <v>28</v>
      </c>
      <c r="AA182" s="65">
        <v>22</v>
      </c>
      <c r="AB182" s="65">
        <v>22</v>
      </c>
      <c r="AC182" s="66"/>
      <c r="AD182" s="67">
        <f t="shared" si="57"/>
        <v>7.1801566579634468E-3</v>
      </c>
      <c r="AE182" s="67">
        <f t="shared" si="58"/>
        <v>8.4856396866840739E-3</v>
      </c>
      <c r="AF182" s="67">
        <f t="shared" si="59"/>
        <v>3.5900783289817234E-3</v>
      </c>
      <c r="AG182" s="67">
        <f t="shared" si="60"/>
        <v>9.138381201044387E-3</v>
      </c>
      <c r="AH182" s="67">
        <f t="shared" si="61"/>
        <v>7.1801566579634468E-3</v>
      </c>
      <c r="AI182" s="67">
        <f t="shared" si="62"/>
        <v>7.1801566579634468E-3</v>
      </c>
      <c r="AJ182" s="66"/>
      <c r="AK182" s="68">
        <v>48.99</v>
      </c>
      <c r="AL182" s="69">
        <v>349.90999999999997</v>
      </c>
      <c r="AM182" s="69">
        <v>349.90999999999997</v>
      </c>
      <c r="AN182" s="69">
        <v>80.31</v>
      </c>
      <c r="AO182" s="70">
        <v>117.49999999999901</v>
      </c>
      <c r="AP182" s="70">
        <v>72.45</v>
      </c>
      <c r="AQ182" s="66"/>
      <c r="AR182" s="70" t="s">
        <v>779</v>
      </c>
      <c r="AS182" s="66"/>
      <c r="AT182" s="108">
        <v>0</v>
      </c>
      <c r="AU182" s="109">
        <v>4356</v>
      </c>
      <c r="AV182" s="109">
        <v>0</v>
      </c>
      <c r="AW182" s="109">
        <v>0</v>
      </c>
      <c r="AX182" s="110">
        <v>0</v>
      </c>
      <c r="AY182" s="110">
        <v>0</v>
      </c>
    </row>
    <row r="183" spans="1:51" x14ac:dyDescent="0.25">
      <c r="A183" s="8">
        <v>5904</v>
      </c>
      <c r="B183" s="5" t="s">
        <v>109</v>
      </c>
      <c r="C183" s="2">
        <v>3.1300000000000008</v>
      </c>
      <c r="D183" s="24">
        <v>3000</v>
      </c>
      <c r="E183" s="26">
        <f t="shared" si="54"/>
        <v>1500</v>
      </c>
      <c r="F183" s="26">
        <v>22201</v>
      </c>
      <c r="G183" s="30">
        <f t="shared" si="55"/>
        <v>6.756452412053511E-2</v>
      </c>
      <c r="H183" s="11"/>
      <c r="I183" s="9">
        <v>10000</v>
      </c>
      <c r="J183" s="3">
        <v>0</v>
      </c>
      <c r="K183" s="3">
        <v>4000</v>
      </c>
      <c r="L183" s="3">
        <v>0</v>
      </c>
      <c r="M183" s="6">
        <v>3000</v>
      </c>
      <c r="N183" s="6">
        <v>6000</v>
      </c>
      <c r="O183" s="13"/>
      <c r="P183" s="60">
        <f>+I183*C183</f>
        <v>31300.000000000007</v>
      </c>
      <c r="Q183" s="61">
        <f>+J183*C183</f>
        <v>0</v>
      </c>
      <c r="R183" s="61">
        <f>+K183*C183</f>
        <v>12520.000000000004</v>
      </c>
      <c r="S183" s="62">
        <f>+L183*C183</f>
        <v>0</v>
      </c>
      <c r="T183" s="63">
        <f>+M183*C183</f>
        <v>9390.0000000000018</v>
      </c>
      <c r="U183" s="63">
        <f t="shared" si="56"/>
        <v>18780.000000000004</v>
      </c>
      <c r="V183" s="64"/>
      <c r="W183" s="60">
        <v>3794</v>
      </c>
      <c r="X183" s="61">
        <v>1969</v>
      </c>
      <c r="Y183" s="61">
        <v>4128</v>
      </c>
      <c r="Z183" s="61">
        <v>2797</v>
      </c>
      <c r="AA183" s="65">
        <v>2296</v>
      </c>
      <c r="AB183" s="65">
        <v>3799</v>
      </c>
      <c r="AC183" s="66"/>
      <c r="AD183" s="67">
        <f t="shared" si="57"/>
        <v>0.17089320300887348</v>
      </c>
      <c r="AE183" s="67">
        <f t="shared" si="58"/>
        <v>8.8689698662222427E-2</v>
      </c>
      <c r="AF183" s="67">
        <f t="shared" si="59"/>
        <v>0.18593757037971262</v>
      </c>
      <c r="AG183" s="67">
        <f t="shared" si="60"/>
        <v>0.1259853159767578</v>
      </c>
      <c r="AH183" s="67">
        <f t="shared" si="61"/>
        <v>0.10341876492049908</v>
      </c>
      <c r="AI183" s="67">
        <f t="shared" si="62"/>
        <v>0.17111841808927525</v>
      </c>
      <c r="AJ183" s="66"/>
      <c r="AK183" s="68">
        <v>5319.0799999999981</v>
      </c>
      <c r="AL183" s="69">
        <v>1469.2399999999998</v>
      </c>
      <c r="AM183" s="69">
        <v>1469.2399999999998</v>
      </c>
      <c r="AN183" s="69">
        <v>2565.6499999999946</v>
      </c>
      <c r="AO183" s="70">
        <v>7640.95999999997</v>
      </c>
      <c r="AP183" s="70">
        <v>10387.2499999999</v>
      </c>
      <c r="AQ183" s="66"/>
      <c r="AR183" s="70" t="s">
        <v>779</v>
      </c>
      <c r="AS183" s="66"/>
      <c r="AT183" s="108">
        <v>44359.999999999993</v>
      </c>
      <c r="AU183" s="109">
        <v>0</v>
      </c>
      <c r="AV183" s="109">
        <v>16760</v>
      </c>
      <c r="AW183" s="109">
        <v>0</v>
      </c>
      <c r="AX183" s="110">
        <v>13230</v>
      </c>
      <c r="AY183" s="110">
        <v>26340.000000000004</v>
      </c>
    </row>
    <row r="184" spans="1:51" x14ac:dyDescent="0.25">
      <c r="A184" s="8" t="s">
        <v>809</v>
      </c>
      <c r="B184" s="5" t="s">
        <v>852</v>
      </c>
      <c r="C184" s="2">
        <v>3.1035087719298247</v>
      </c>
      <c r="D184" s="24">
        <v>8000</v>
      </c>
      <c r="E184" s="26">
        <f t="shared" si="54"/>
        <v>4000</v>
      </c>
      <c r="F184" s="26">
        <v>14774</v>
      </c>
      <c r="G184" s="30">
        <f t="shared" si="55"/>
        <v>0.27074590496818735</v>
      </c>
      <c r="H184" s="11"/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6">
        <v>149</v>
      </c>
      <c r="O184" s="13"/>
      <c r="P184" s="60"/>
      <c r="Q184" s="61"/>
      <c r="R184" s="61"/>
      <c r="S184" s="62"/>
      <c r="T184" s="63"/>
      <c r="U184" s="63">
        <f t="shared" si="56"/>
        <v>462.42280701754385</v>
      </c>
      <c r="V184" s="64"/>
      <c r="W184" s="60"/>
      <c r="X184" s="61"/>
      <c r="Y184" s="61"/>
      <c r="Z184" s="61"/>
      <c r="AA184" s="65"/>
      <c r="AB184" s="65"/>
      <c r="AC184" s="66"/>
      <c r="AD184" s="67">
        <f t="shared" si="57"/>
        <v>0</v>
      </c>
      <c r="AE184" s="67">
        <f t="shared" si="58"/>
        <v>0</v>
      </c>
      <c r="AF184" s="67">
        <f t="shared" si="59"/>
        <v>0</v>
      </c>
      <c r="AG184" s="67">
        <f t="shared" si="60"/>
        <v>0</v>
      </c>
      <c r="AH184" s="67">
        <f t="shared" si="61"/>
        <v>0</v>
      </c>
      <c r="AI184" s="67">
        <f t="shared" si="62"/>
        <v>0</v>
      </c>
      <c r="AJ184" s="66"/>
      <c r="AK184" s="68"/>
      <c r="AL184" s="69"/>
      <c r="AM184" s="69"/>
      <c r="AN184" s="69"/>
      <c r="AO184" s="70"/>
      <c r="AP184" s="70"/>
      <c r="AQ184" s="66"/>
      <c r="AR184" s="70" t="s">
        <v>780</v>
      </c>
      <c r="AS184" s="66"/>
      <c r="AT184" s="108">
        <v>76835.34</v>
      </c>
      <c r="AU184" s="109">
        <v>122500.25</v>
      </c>
      <c r="AV184" s="109">
        <v>45805.82</v>
      </c>
      <c r="AW184" s="109">
        <v>47223.100000000006</v>
      </c>
      <c r="AX184" s="110">
        <v>29909.16</v>
      </c>
      <c r="AY184" s="110">
        <v>10194.58</v>
      </c>
    </row>
    <row r="185" spans="1:51" x14ac:dyDescent="0.25">
      <c r="A185" s="8" t="s">
        <v>339</v>
      </c>
      <c r="B185" s="5" t="s">
        <v>340</v>
      </c>
      <c r="C185" s="2">
        <v>3.01</v>
      </c>
      <c r="D185" s="24">
        <v>500</v>
      </c>
      <c r="E185" s="26">
        <f t="shared" si="54"/>
        <v>250</v>
      </c>
      <c r="F185" s="26">
        <v>1098</v>
      </c>
      <c r="G185" s="30">
        <f t="shared" si="55"/>
        <v>0.22768670309653916</v>
      </c>
      <c r="H185" s="11"/>
      <c r="I185" s="9">
        <v>0</v>
      </c>
      <c r="J185" s="3">
        <v>149</v>
      </c>
      <c r="K185" s="3">
        <v>200</v>
      </c>
      <c r="L185" s="3">
        <v>410</v>
      </c>
      <c r="M185" s="6">
        <v>100</v>
      </c>
      <c r="N185" s="6">
        <v>600</v>
      </c>
      <c r="O185" s="13"/>
      <c r="P185" s="60">
        <f t="shared" ref="P185:P196" si="78">+I185*C185</f>
        <v>0</v>
      </c>
      <c r="Q185" s="61">
        <f t="shared" ref="Q185:Q196" si="79">+J185*C185</f>
        <v>448.48999999999995</v>
      </c>
      <c r="R185" s="61">
        <f t="shared" ref="R185:R196" si="80">+K185*C185</f>
        <v>602</v>
      </c>
      <c r="S185" s="62">
        <f t="shared" ref="S185:S196" si="81">+L185*C185</f>
        <v>1234.0999999999999</v>
      </c>
      <c r="T185" s="63">
        <f t="shared" ref="T185:T196" si="82">+M185*C185</f>
        <v>301</v>
      </c>
      <c r="U185" s="63">
        <f t="shared" si="56"/>
        <v>1805.9999999999998</v>
      </c>
      <c r="V185" s="64"/>
      <c r="W185" s="60">
        <v>32</v>
      </c>
      <c r="X185" s="61">
        <v>379</v>
      </c>
      <c r="Y185" s="61">
        <v>235</v>
      </c>
      <c r="Z185" s="61">
        <v>220</v>
      </c>
      <c r="AA185" s="65">
        <v>328</v>
      </c>
      <c r="AB185" s="65">
        <v>219</v>
      </c>
      <c r="AC185" s="66"/>
      <c r="AD185" s="67">
        <f t="shared" si="57"/>
        <v>2.9143897996357013E-2</v>
      </c>
      <c r="AE185" s="67">
        <f t="shared" si="58"/>
        <v>0.34517304189435338</v>
      </c>
      <c r="AF185" s="67">
        <f t="shared" si="59"/>
        <v>0.21402550091074682</v>
      </c>
      <c r="AG185" s="67">
        <f t="shared" si="60"/>
        <v>0.20036429872495445</v>
      </c>
      <c r="AH185" s="67">
        <f t="shared" si="61"/>
        <v>0.2987249544626594</v>
      </c>
      <c r="AI185" s="67">
        <f t="shared" si="62"/>
        <v>0.19945355191256831</v>
      </c>
      <c r="AJ185" s="66"/>
      <c r="AK185" s="68">
        <v>47.55</v>
      </c>
      <c r="AL185" s="69">
        <v>414.23999999999972</v>
      </c>
      <c r="AM185" s="69">
        <v>414.23999999999978</v>
      </c>
      <c r="AN185" s="69">
        <v>318.87999999999977</v>
      </c>
      <c r="AO185" s="70">
        <v>234.35</v>
      </c>
      <c r="AP185" s="70">
        <v>409.81999999999903</v>
      </c>
      <c r="AQ185" s="66"/>
      <c r="AR185" s="70" t="s">
        <v>779</v>
      </c>
      <c r="AS185" s="66"/>
      <c r="AT185" s="108">
        <v>0</v>
      </c>
      <c r="AU185" s="109">
        <v>2297.58</v>
      </c>
      <c r="AV185" s="109">
        <v>2908</v>
      </c>
      <c r="AW185" s="109">
        <v>6204</v>
      </c>
      <c r="AX185" s="110">
        <v>1460</v>
      </c>
      <c r="AY185" s="110">
        <v>3652</v>
      </c>
    </row>
    <row r="186" spans="1:51" x14ac:dyDescent="0.25">
      <c r="A186" s="8" t="s">
        <v>221</v>
      </c>
      <c r="B186" s="5" t="s">
        <v>222</v>
      </c>
      <c r="C186" s="2">
        <v>3</v>
      </c>
      <c r="D186" s="24">
        <v>1396.6000000000001</v>
      </c>
      <c r="E186" s="26">
        <f t="shared" si="54"/>
        <v>698.30000000000007</v>
      </c>
      <c r="F186" s="26">
        <v>6983</v>
      </c>
      <c r="G186" s="30">
        <f t="shared" si="55"/>
        <v>0.1</v>
      </c>
      <c r="H186" s="11"/>
      <c r="I186" s="9">
        <v>0</v>
      </c>
      <c r="J186" s="3">
        <v>0</v>
      </c>
      <c r="K186" s="3">
        <v>0</v>
      </c>
      <c r="L186" s="3">
        <v>0</v>
      </c>
      <c r="M186" s="6">
        <v>500</v>
      </c>
      <c r="N186" s="6">
        <v>0</v>
      </c>
      <c r="O186" s="13"/>
      <c r="P186" s="60">
        <f t="shared" si="78"/>
        <v>0</v>
      </c>
      <c r="Q186" s="61">
        <f t="shared" si="79"/>
        <v>0</v>
      </c>
      <c r="R186" s="61">
        <f t="shared" si="80"/>
        <v>0</v>
      </c>
      <c r="S186" s="62">
        <f t="shared" si="81"/>
        <v>0</v>
      </c>
      <c r="T186" s="63">
        <f t="shared" si="82"/>
        <v>1500</v>
      </c>
      <c r="U186" s="63">
        <f t="shared" si="56"/>
        <v>0</v>
      </c>
      <c r="V186" s="64"/>
      <c r="W186" s="60">
        <v>289</v>
      </c>
      <c r="X186" s="61">
        <v>55</v>
      </c>
      <c r="Y186" s="61">
        <v>310</v>
      </c>
      <c r="Z186" s="61">
        <v>448</v>
      </c>
      <c r="AA186" s="65">
        <v>244</v>
      </c>
      <c r="AB186" s="65">
        <v>205</v>
      </c>
      <c r="AC186" s="66"/>
      <c r="AD186" s="67">
        <f t="shared" si="57"/>
        <v>4.1386223686094799E-2</v>
      </c>
      <c r="AE186" s="67">
        <f t="shared" si="58"/>
        <v>7.8762709437204641E-3</v>
      </c>
      <c r="AF186" s="67">
        <f t="shared" si="59"/>
        <v>4.4393527137333522E-2</v>
      </c>
      <c r="AG186" s="67">
        <f t="shared" si="60"/>
        <v>6.415580695975942E-2</v>
      </c>
      <c r="AH186" s="67">
        <f t="shared" si="61"/>
        <v>3.4942002004868966E-2</v>
      </c>
      <c r="AI186" s="67">
        <f t="shared" si="62"/>
        <v>2.9357009881139911E-2</v>
      </c>
      <c r="AJ186" s="66"/>
      <c r="AK186" s="68">
        <v>735.5899999999998</v>
      </c>
      <c r="AL186" s="69">
        <v>75.889999999999887</v>
      </c>
      <c r="AM186" s="69">
        <v>75.889999999999887</v>
      </c>
      <c r="AN186" s="69">
        <v>423.40999999999917</v>
      </c>
      <c r="AO186" s="70">
        <v>448.54999999999899</v>
      </c>
      <c r="AP186" s="70">
        <v>652.41</v>
      </c>
      <c r="AQ186" s="66"/>
      <c r="AR186" s="70" t="s">
        <v>779</v>
      </c>
      <c r="AS186" s="66"/>
      <c r="AT186" s="108">
        <v>0</v>
      </c>
      <c r="AU186" s="109">
        <v>0</v>
      </c>
      <c r="AV186" s="109">
        <v>0</v>
      </c>
      <c r="AW186" s="109">
        <v>0</v>
      </c>
      <c r="AX186" s="110">
        <v>2435</v>
      </c>
      <c r="AY186" s="110">
        <v>0</v>
      </c>
    </row>
    <row r="187" spans="1:51" x14ac:dyDescent="0.25">
      <c r="A187" s="8" t="s">
        <v>246</v>
      </c>
      <c r="B187" s="5" t="s">
        <v>247</v>
      </c>
      <c r="C187" s="2">
        <v>2.9499999999999993</v>
      </c>
      <c r="D187" s="24">
        <v>2000</v>
      </c>
      <c r="E187" s="26">
        <f t="shared" si="54"/>
        <v>1000</v>
      </c>
      <c r="F187" s="26">
        <v>12369</v>
      </c>
      <c r="G187" s="30">
        <f t="shared" si="55"/>
        <v>8.0847279489045187E-2</v>
      </c>
      <c r="H187" s="11"/>
      <c r="I187" s="9">
        <v>0</v>
      </c>
      <c r="J187" s="3">
        <v>0</v>
      </c>
      <c r="K187" s="3">
        <v>193</v>
      </c>
      <c r="L187" s="3">
        <v>465</v>
      </c>
      <c r="M187" s="6">
        <v>483</v>
      </c>
      <c r="N187" s="6">
        <v>167</v>
      </c>
      <c r="O187" s="13"/>
      <c r="P187" s="60">
        <f t="shared" si="78"/>
        <v>0</v>
      </c>
      <c r="Q187" s="61">
        <f t="shared" si="79"/>
        <v>0</v>
      </c>
      <c r="R187" s="61">
        <f t="shared" si="80"/>
        <v>569.34999999999991</v>
      </c>
      <c r="S187" s="62">
        <f t="shared" si="81"/>
        <v>1371.7499999999998</v>
      </c>
      <c r="T187" s="63">
        <f t="shared" si="82"/>
        <v>1424.8499999999997</v>
      </c>
      <c r="U187" s="63">
        <f t="shared" si="56"/>
        <v>492.64999999999986</v>
      </c>
      <c r="V187" s="64"/>
      <c r="W187" s="60">
        <v>346</v>
      </c>
      <c r="X187" s="61">
        <v>199</v>
      </c>
      <c r="Y187" s="61">
        <v>20</v>
      </c>
      <c r="Z187" s="61">
        <v>372</v>
      </c>
      <c r="AA187" s="65">
        <v>440</v>
      </c>
      <c r="AB187" s="65">
        <v>390</v>
      </c>
      <c r="AC187" s="66"/>
      <c r="AD187" s="67">
        <f t="shared" si="57"/>
        <v>2.7973158703209638E-2</v>
      </c>
      <c r="AE187" s="67">
        <f t="shared" si="58"/>
        <v>1.6088608618319993E-2</v>
      </c>
      <c r="AF187" s="67">
        <f t="shared" si="59"/>
        <v>1.6169455897809039E-3</v>
      </c>
      <c r="AG187" s="67">
        <f t="shared" si="60"/>
        <v>3.007518796992481E-2</v>
      </c>
      <c r="AH187" s="67">
        <f t="shared" si="61"/>
        <v>3.5572802975179882E-2</v>
      </c>
      <c r="AI187" s="67">
        <f t="shared" si="62"/>
        <v>3.1530439000727627E-2</v>
      </c>
      <c r="AJ187" s="66"/>
      <c r="AK187" s="68">
        <v>1256.2300000000009</v>
      </c>
      <c r="AL187" s="69">
        <v>566.66999999999882</v>
      </c>
      <c r="AM187" s="69">
        <v>566.66999999999882</v>
      </c>
      <c r="AN187" s="69">
        <v>42.409999999999897</v>
      </c>
      <c r="AO187" s="70">
        <v>1265.8599999999999</v>
      </c>
      <c r="AP187" s="70">
        <v>1220.26999999999</v>
      </c>
      <c r="AQ187" s="66"/>
      <c r="AR187" s="70" t="s">
        <v>779</v>
      </c>
      <c r="AS187" s="66"/>
      <c r="AT187" s="108">
        <v>0</v>
      </c>
      <c r="AU187" s="109">
        <v>0</v>
      </c>
      <c r="AV187" s="109">
        <v>1704.19</v>
      </c>
      <c r="AW187" s="109">
        <v>4120.09</v>
      </c>
      <c r="AX187" s="110">
        <v>4278.51</v>
      </c>
      <c r="AY187" s="110">
        <v>1472.35</v>
      </c>
    </row>
    <row r="188" spans="1:51" x14ac:dyDescent="0.25">
      <c r="A188" s="8" t="s">
        <v>507</v>
      </c>
      <c r="B188" s="5" t="s">
        <v>508</v>
      </c>
      <c r="C188" s="2">
        <v>2.9200000000000017</v>
      </c>
      <c r="D188" s="24">
        <v>2000</v>
      </c>
      <c r="E188" s="26">
        <f t="shared" si="54"/>
        <v>1000</v>
      </c>
      <c r="F188" s="26">
        <v>2331</v>
      </c>
      <c r="G188" s="30">
        <f t="shared" si="55"/>
        <v>0.42900042900042901</v>
      </c>
      <c r="H188" s="11"/>
      <c r="I188" s="9">
        <v>503</v>
      </c>
      <c r="J188" s="3">
        <v>299</v>
      </c>
      <c r="K188" s="3">
        <v>100</v>
      </c>
      <c r="L188" s="3">
        <v>195</v>
      </c>
      <c r="M188" s="6"/>
      <c r="N188" s="6">
        <v>444</v>
      </c>
      <c r="O188" s="13"/>
      <c r="P188" s="60">
        <f t="shared" si="78"/>
        <v>1468.7600000000009</v>
      </c>
      <c r="Q188" s="61">
        <f t="shared" si="79"/>
        <v>873.0800000000005</v>
      </c>
      <c r="R188" s="61">
        <f t="shared" si="80"/>
        <v>292.00000000000017</v>
      </c>
      <c r="S188" s="62">
        <f t="shared" si="81"/>
        <v>569.40000000000032</v>
      </c>
      <c r="T188" s="63">
        <f t="shared" si="82"/>
        <v>0</v>
      </c>
      <c r="U188" s="63">
        <f t="shared" si="56"/>
        <v>1296.4800000000007</v>
      </c>
      <c r="V188" s="64"/>
      <c r="W188" s="60">
        <v>0</v>
      </c>
      <c r="X188" s="61">
        <v>134</v>
      </c>
      <c r="Y188" s="61">
        <v>515</v>
      </c>
      <c r="Z188" s="61">
        <v>0</v>
      </c>
      <c r="AA188" s="65">
        <v>0</v>
      </c>
      <c r="AB188" s="65">
        <v>0</v>
      </c>
      <c r="AC188" s="66"/>
      <c r="AD188" s="67">
        <f t="shared" si="57"/>
        <v>0</v>
      </c>
      <c r="AE188" s="67">
        <f t="shared" si="58"/>
        <v>5.7486057486057486E-2</v>
      </c>
      <c r="AF188" s="67">
        <f t="shared" si="59"/>
        <v>0.22093522093522094</v>
      </c>
      <c r="AG188" s="67">
        <f t="shared" si="60"/>
        <v>0</v>
      </c>
      <c r="AH188" s="67">
        <f t="shared" si="61"/>
        <v>0</v>
      </c>
      <c r="AI188" s="67">
        <f t="shared" si="62"/>
        <v>0</v>
      </c>
      <c r="AJ188" s="66"/>
      <c r="AK188" s="68">
        <v>0</v>
      </c>
      <c r="AL188" s="69">
        <v>562.92999999999893</v>
      </c>
      <c r="AM188" s="69">
        <v>562.92999999999893</v>
      </c>
      <c r="AN188" s="69">
        <v>1926.189999999996</v>
      </c>
      <c r="AO188" s="70">
        <v>0</v>
      </c>
      <c r="AP188" s="70">
        <v>0</v>
      </c>
      <c r="AQ188" s="66"/>
      <c r="AR188" s="70" t="s">
        <v>780</v>
      </c>
      <c r="AS188" s="66"/>
      <c r="AT188" s="108">
        <v>17544.64</v>
      </c>
      <c r="AU188" s="109">
        <v>11310.15</v>
      </c>
      <c r="AV188" s="109">
        <v>3831</v>
      </c>
      <c r="AW188" s="109">
        <v>7333.95</v>
      </c>
      <c r="AX188" s="110">
        <v>0</v>
      </c>
      <c r="AY188" s="110">
        <v>16312.56</v>
      </c>
    </row>
    <row r="189" spans="1:51" x14ac:dyDescent="0.25">
      <c r="A189" s="8" t="s">
        <v>330</v>
      </c>
      <c r="B189" s="5" t="s">
        <v>331</v>
      </c>
      <c r="C189" s="2">
        <v>2.91</v>
      </c>
      <c r="D189" s="24">
        <v>2500</v>
      </c>
      <c r="E189" s="26">
        <f t="shared" si="54"/>
        <v>1250</v>
      </c>
      <c r="F189" s="26">
        <v>5143</v>
      </c>
      <c r="G189" s="30">
        <f t="shared" si="55"/>
        <v>0.24304880419988334</v>
      </c>
      <c r="H189" s="11"/>
      <c r="I189" s="9">
        <v>0</v>
      </c>
      <c r="J189" s="3">
        <v>1020</v>
      </c>
      <c r="K189" s="3">
        <v>0</v>
      </c>
      <c r="L189" s="3">
        <v>893</v>
      </c>
      <c r="M189" s="6"/>
      <c r="N189" s="6">
        <v>0</v>
      </c>
      <c r="O189" s="13"/>
      <c r="P189" s="60">
        <f t="shared" si="78"/>
        <v>0</v>
      </c>
      <c r="Q189" s="61">
        <f t="shared" si="79"/>
        <v>2968.2000000000003</v>
      </c>
      <c r="R189" s="61">
        <f t="shared" si="80"/>
        <v>0</v>
      </c>
      <c r="S189" s="62">
        <f t="shared" si="81"/>
        <v>2598.63</v>
      </c>
      <c r="T189" s="63">
        <f t="shared" si="82"/>
        <v>0</v>
      </c>
      <c r="U189" s="63">
        <f t="shared" si="56"/>
        <v>0</v>
      </c>
      <c r="V189" s="64"/>
      <c r="W189" s="60">
        <v>0</v>
      </c>
      <c r="X189" s="61">
        <v>0</v>
      </c>
      <c r="Y189" s="61">
        <v>1</v>
      </c>
      <c r="Z189" s="61">
        <v>1</v>
      </c>
      <c r="AA189" s="65">
        <v>0</v>
      </c>
      <c r="AB189" s="65">
        <v>2</v>
      </c>
      <c r="AC189" s="66"/>
      <c r="AD189" s="67">
        <f t="shared" si="57"/>
        <v>0</v>
      </c>
      <c r="AE189" s="67">
        <f t="shared" si="58"/>
        <v>0</v>
      </c>
      <c r="AF189" s="67">
        <f t="shared" si="59"/>
        <v>1.9443904335990667E-4</v>
      </c>
      <c r="AG189" s="67">
        <f t="shared" si="60"/>
        <v>1.9443904335990667E-4</v>
      </c>
      <c r="AH189" s="67">
        <f t="shared" si="61"/>
        <v>0</v>
      </c>
      <c r="AI189" s="67">
        <f t="shared" si="62"/>
        <v>3.8887808671981335E-4</v>
      </c>
      <c r="AJ189" s="66"/>
      <c r="AK189" s="68">
        <v>0</v>
      </c>
      <c r="AL189" s="69">
        <v>0</v>
      </c>
      <c r="AM189" s="69">
        <v>2.91</v>
      </c>
      <c r="AN189" s="69">
        <v>8.16</v>
      </c>
      <c r="AO189" s="70">
        <v>7.55</v>
      </c>
      <c r="AP189" s="70">
        <v>5.42</v>
      </c>
      <c r="AQ189" s="66"/>
      <c r="AR189" s="70" t="s">
        <v>779</v>
      </c>
      <c r="AS189" s="66"/>
      <c r="AT189" s="108">
        <v>0</v>
      </c>
      <c r="AU189" s="109">
        <v>8861.1</v>
      </c>
      <c r="AV189" s="109">
        <v>0</v>
      </c>
      <c r="AW189" s="109">
        <v>12189.86</v>
      </c>
      <c r="AX189" s="110">
        <v>0</v>
      </c>
      <c r="AY189" s="110">
        <v>0</v>
      </c>
    </row>
    <row r="190" spans="1:51" x14ac:dyDescent="0.25">
      <c r="A190" s="8">
        <v>5342</v>
      </c>
      <c r="B190" s="5" t="s">
        <v>462</v>
      </c>
      <c r="C190" s="2">
        <v>2.91</v>
      </c>
      <c r="D190" s="24">
        <v>500</v>
      </c>
      <c r="E190" s="26">
        <f t="shared" si="54"/>
        <v>250</v>
      </c>
      <c r="F190" s="26">
        <v>200</v>
      </c>
      <c r="G190" s="30">
        <f t="shared" si="55"/>
        <v>1.25</v>
      </c>
      <c r="H190" s="11"/>
      <c r="I190" s="9">
        <v>118</v>
      </c>
      <c r="J190" s="3">
        <v>0</v>
      </c>
      <c r="K190" s="3">
        <v>0</v>
      </c>
      <c r="L190" s="3">
        <v>0</v>
      </c>
      <c r="M190" s="6"/>
      <c r="N190" s="6">
        <v>0</v>
      </c>
      <c r="O190" s="13"/>
      <c r="P190" s="60">
        <f t="shared" si="78"/>
        <v>343.38</v>
      </c>
      <c r="Q190" s="61">
        <f t="shared" si="79"/>
        <v>0</v>
      </c>
      <c r="R190" s="61">
        <f t="shared" si="80"/>
        <v>0</v>
      </c>
      <c r="S190" s="62">
        <f t="shared" si="81"/>
        <v>0</v>
      </c>
      <c r="T190" s="63">
        <f t="shared" si="82"/>
        <v>0</v>
      </c>
      <c r="U190" s="63">
        <f t="shared" si="56"/>
        <v>0</v>
      </c>
      <c r="V190" s="64"/>
      <c r="W190" s="60">
        <v>128</v>
      </c>
      <c r="X190" s="61">
        <v>102</v>
      </c>
      <c r="Y190" s="61">
        <v>47</v>
      </c>
      <c r="Z190" s="61">
        <v>20</v>
      </c>
      <c r="AA190" s="65">
        <v>0</v>
      </c>
      <c r="AB190" s="65">
        <v>-3</v>
      </c>
      <c r="AC190" s="66"/>
      <c r="AD190" s="67">
        <f t="shared" si="57"/>
        <v>0.64</v>
      </c>
      <c r="AE190" s="67">
        <f t="shared" si="58"/>
        <v>0.51</v>
      </c>
      <c r="AF190" s="67">
        <f t="shared" si="59"/>
        <v>0.23499999999999999</v>
      </c>
      <c r="AG190" s="67">
        <f t="shared" si="60"/>
        <v>0.1</v>
      </c>
      <c r="AH190" s="67">
        <f t="shared" si="61"/>
        <v>0</v>
      </c>
      <c r="AI190" s="67">
        <f t="shared" si="62"/>
        <v>-1.4999999999999999E-2</v>
      </c>
      <c r="AJ190" s="66"/>
      <c r="AK190" s="68">
        <v>81.099999999999994</v>
      </c>
      <c r="AL190" s="69">
        <v>66.69</v>
      </c>
      <c r="AM190" s="69">
        <v>66.69</v>
      </c>
      <c r="AN190" s="69">
        <v>26.269999999999989</v>
      </c>
      <c r="AO190" s="70">
        <v>11.4</v>
      </c>
      <c r="AP190" s="70">
        <v>-0.33</v>
      </c>
      <c r="AQ190" s="66"/>
      <c r="AR190" s="70" t="s">
        <v>780</v>
      </c>
      <c r="AS190" s="66"/>
      <c r="AT190" s="108">
        <v>3279.74</v>
      </c>
      <c r="AU190" s="109">
        <v>0</v>
      </c>
      <c r="AV190" s="109">
        <v>0</v>
      </c>
      <c r="AW190" s="109">
        <v>0</v>
      </c>
      <c r="AX190" s="110">
        <v>0</v>
      </c>
      <c r="AY190" s="110">
        <v>0</v>
      </c>
    </row>
    <row r="191" spans="1:51" x14ac:dyDescent="0.25">
      <c r="A191" s="8">
        <v>5751</v>
      </c>
      <c r="B191" s="5" t="s">
        <v>177</v>
      </c>
      <c r="C191" s="2">
        <v>2.8899999999999997</v>
      </c>
      <c r="D191" s="24">
        <v>5000</v>
      </c>
      <c r="E191" s="26">
        <f t="shared" si="54"/>
        <v>2500</v>
      </c>
      <c r="F191" s="26">
        <v>3204</v>
      </c>
      <c r="G191" s="30">
        <f t="shared" si="55"/>
        <v>0.78027465667915108</v>
      </c>
      <c r="H191" s="11"/>
      <c r="I191" s="9">
        <v>1320</v>
      </c>
      <c r="J191" s="3">
        <v>0</v>
      </c>
      <c r="K191" s="3">
        <v>0</v>
      </c>
      <c r="L191" s="3">
        <v>0</v>
      </c>
      <c r="M191" s="6"/>
      <c r="N191" s="6">
        <v>0</v>
      </c>
      <c r="O191" s="13"/>
      <c r="P191" s="60">
        <f t="shared" si="78"/>
        <v>3814.7999999999997</v>
      </c>
      <c r="Q191" s="61">
        <f t="shared" si="79"/>
        <v>0</v>
      </c>
      <c r="R191" s="61">
        <f t="shared" si="80"/>
        <v>0</v>
      </c>
      <c r="S191" s="62">
        <f t="shared" si="81"/>
        <v>0</v>
      </c>
      <c r="T191" s="63">
        <f t="shared" si="82"/>
        <v>0</v>
      </c>
      <c r="U191" s="63">
        <f t="shared" si="56"/>
        <v>0</v>
      </c>
      <c r="V191" s="64"/>
      <c r="W191" s="60">
        <v>814</v>
      </c>
      <c r="X191" s="61">
        <v>2656</v>
      </c>
      <c r="Y191" s="61">
        <v>7</v>
      </c>
      <c r="Z191" s="61">
        <v>1</v>
      </c>
      <c r="AA191" s="65">
        <v>0</v>
      </c>
      <c r="AB191" s="65">
        <v>0</v>
      </c>
      <c r="AC191" s="66"/>
      <c r="AD191" s="67">
        <f t="shared" si="57"/>
        <v>0.2540574282147316</v>
      </c>
      <c r="AE191" s="67">
        <f t="shared" si="58"/>
        <v>0.82896379525593011</v>
      </c>
      <c r="AF191" s="67">
        <f t="shared" si="59"/>
        <v>2.1847690387016231E-3</v>
      </c>
      <c r="AG191" s="67">
        <f t="shared" si="60"/>
        <v>3.1210986267166043E-4</v>
      </c>
      <c r="AH191" s="67">
        <f t="shared" si="61"/>
        <v>0</v>
      </c>
      <c r="AI191" s="67">
        <f t="shared" si="62"/>
        <v>0</v>
      </c>
      <c r="AJ191" s="66"/>
      <c r="AK191" s="68">
        <v>1128.97</v>
      </c>
      <c r="AL191" s="69">
        <v>5917.7999999999856</v>
      </c>
      <c r="AM191" s="69">
        <v>5917.7999999999856</v>
      </c>
      <c r="AN191" s="69">
        <v>20.190000000000001</v>
      </c>
      <c r="AO191" s="70">
        <v>2.89</v>
      </c>
      <c r="AP191" s="70">
        <v>0</v>
      </c>
      <c r="AQ191" s="66"/>
      <c r="AR191" s="70" t="s">
        <v>779</v>
      </c>
      <c r="AS191" s="66"/>
      <c r="AT191" s="108">
        <v>8373</v>
      </c>
      <c r="AU191" s="109">
        <v>0</v>
      </c>
      <c r="AV191" s="109">
        <v>0</v>
      </c>
      <c r="AW191" s="109">
        <v>0</v>
      </c>
      <c r="AX191" s="110">
        <v>0</v>
      </c>
      <c r="AY191" s="110">
        <v>0</v>
      </c>
    </row>
    <row r="192" spans="1:51" x14ac:dyDescent="0.25">
      <c r="A192" s="8" t="s">
        <v>571</v>
      </c>
      <c r="B192" s="5" t="s">
        <v>572</v>
      </c>
      <c r="C192" s="2">
        <v>2.8799999999999955</v>
      </c>
      <c r="D192" s="24">
        <v>15000</v>
      </c>
      <c r="E192" s="26">
        <f t="shared" si="54"/>
        <v>7500</v>
      </c>
      <c r="F192" s="26">
        <v>128574</v>
      </c>
      <c r="G192" s="30">
        <f t="shared" si="55"/>
        <v>5.8332166689999534E-2</v>
      </c>
      <c r="H192" s="11"/>
      <c r="I192" s="9">
        <v>1449</v>
      </c>
      <c r="J192" s="3">
        <v>240</v>
      </c>
      <c r="K192" s="3">
        <v>320</v>
      </c>
      <c r="L192" s="3">
        <v>240</v>
      </c>
      <c r="M192" s="6">
        <v>360</v>
      </c>
      <c r="N192" s="6">
        <v>58</v>
      </c>
      <c r="O192" s="13"/>
      <c r="P192" s="60">
        <f t="shared" si="78"/>
        <v>4173.1199999999935</v>
      </c>
      <c r="Q192" s="61">
        <f t="shared" si="79"/>
        <v>691.19999999999891</v>
      </c>
      <c r="R192" s="61">
        <f t="shared" si="80"/>
        <v>921.59999999999854</v>
      </c>
      <c r="S192" s="62">
        <f t="shared" si="81"/>
        <v>691.19999999999891</v>
      </c>
      <c r="T192" s="63">
        <f t="shared" si="82"/>
        <v>1036.7999999999984</v>
      </c>
      <c r="U192" s="63">
        <f t="shared" si="56"/>
        <v>167.03999999999974</v>
      </c>
      <c r="V192" s="64"/>
      <c r="W192" s="60">
        <v>1087</v>
      </c>
      <c r="X192" s="61">
        <v>1559</v>
      </c>
      <c r="Y192" s="61">
        <v>828</v>
      </c>
      <c r="Z192" s="61">
        <v>613</v>
      </c>
      <c r="AA192" s="65">
        <v>288</v>
      </c>
      <c r="AB192" s="65">
        <v>358</v>
      </c>
      <c r="AC192" s="66"/>
      <c r="AD192" s="67">
        <f t="shared" si="57"/>
        <v>8.454275358937266E-3</v>
      </c>
      <c r="AE192" s="67">
        <f t="shared" si="58"/>
        <v>1.2125313049294569E-2</v>
      </c>
      <c r="AF192" s="67">
        <f t="shared" si="59"/>
        <v>6.4398712025759489E-3</v>
      </c>
      <c r="AG192" s="67">
        <f t="shared" si="60"/>
        <v>4.7676824241292956E-3</v>
      </c>
      <c r="AH192" s="67">
        <f t="shared" si="61"/>
        <v>2.2399552008959822E-3</v>
      </c>
      <c r="AI192" s="67">
        <f t="shared" si="62"/>
        <v>2.784388756669311E-3</v>
      </c>
      <c r="AJ192" s="66"/>
      <c r="AK192" s="68">
        <v>756.45</v>
      </c>
      <c r="AL192" s="69">
        <v>1092.8799999999969</v>
      </c>
      <c r="AM192" s="69">
        <v>1092.8799999999969</v>
      </c>
      <c r="AN192" s="69">
        <v>408.59999999999985</v>
      </c>
      <c r="AO192" s="70">
        <v>234.92</v>
      </c>
      <c r="AP192" s="70">
        <v>288.25</v>
      </c>
      <c r="AQ192" s="66"/>
      <c r="AR192" s="70" t="s">
        <v>780</v>
      </c>
      <c r="AS192" s="66"/>
      <c r="AT192" s="108">
        <v>66500.429999999993</v>
      </c>
      <c r="AU192" s="109">
        <v>11035.2</v>
      </c>
      <c r="AV192" s="109">
        <v>14620.800000000001</v>
      </c>
      <c r="AW192" s="109">
        <v>10896</v>
      </c>
      <c r="AX192" s="110">
        <v>16430.400000000001</v>
      </c>
      <c r="AY192" s="110">
        <v>2645.38</v>
      </c>
    </row>
    <row r="193" spans="1:51" x14ac:dyDescent="0.25">
      <c r="A193" s="8" t="s">
        <v>208</v>
      </c>
      <c r="B193" s="5" t="s">
        <v>209</v>
      </c>
      <c r="C193" s="2">
        <v>2.8699999999999992</v>
      </c>
      <c r="D193" s="24">
        <v>6000</v>
      </c>
      <c r="E193" s="26">
        <f t="shared" si="54"/>
        <v>3000</v>
      </c>
      <c r="F193" s="26">
        <v>3206</v>
      </c>
      <c r="G193" s="30">
        <f t="shared" si="55"/>
        <v>0.93574547723019341</v>
      </c>
      <c r="H193" s="11"/>
      <c r="I193" s="9">
        <v>0</v>
      </c>
      <c r="J193" s="3">
        <v>3463</v>
      </c>
      <c r="K193" s="3">
        <v>2164</v>
      </c>
      <c r="L193" s="3">
        <v>4212</v>
      </c>
      <c r="M193" s="6">
        <v>1567</v>
      </c>
      <c r="N193" s="6">
        <v>441</v>
      </c>
      <c r="O193" s="13"/>
      <c r="P193" s="60">
        <f t="shared" si="78"/>
        <v>0</v>
      </c>
      <c r="Q193" s="61">
        <f t="shared" si="79"/>
        <v>9938.8099999999977</v>
      </c>
      <c r="R193" s="61">
        <f t="shared" si="80"/>
        <v>6210.6799999999985</v>
      </c>
      <c r="S193" s="62">
        <f t="shared" si="81"/>
        <v>12088.439999999997</v>
      </c>
      <c r="T193" s="63">
        <f t="shared" si="82"/>
        <v>4497.2899999999991</v>
      </c>
      <c r="U193" s="63">
        <f t="shared" si="56"/>
        <v>1265.6699999999996</v>
      </c>
      <c r="V193" s="64"/>
      <c r="W193" s="60">
        <v>1567</v>
      </c>
      <c r="X193" s="61">
        <v>501</v>
      </c>
      <c r="Y193" s="61">
        <v>2056</v>
      </c>
      <c r="Z193" s="61">
        <v>3408</v>
      </c>
      <c r="AA193" s="65">
        <v>2887</v>
      </c>
      <c r="AB193" s="65">
        <v>2601</v>
      </c>
      <c r="AC193" s="66"/>
      <c r="AD193" s="67">
        <f t="shared" si="57"/>
        <v>0.48877105427323769</v>
      </c>
      <c r="AE193" s="67">
        <f t="shared" si="58"/>
        <v>0.15626949469744231</v>
      </c>
      <c r="AF193" s="67">
        <f t="shared" si="59"/>
        <v>0.64129756706175922</v>
      </c>
      <c r="AG193" s="67">
        <f t="shared" si="60"/>
        <v>1.0630068621334996</v>
      </c>
      <c r="AH193" s="67">
        <f t="shared" si="61"/>
        <v>0.90049906425452275</v>
      </c>
      <c r="AI193" s="67">
        <f t="shared" si="62"/>
        <v>0.81129132875857768</v>
      </c>
      <c r="AJ193" s="66"/>
      <c r="AK193" s="68">
        <v>4665.6099999999997</v>
      </c>
      <c r="AL193" s="69">
        <v>590.82999999999799</v>
      </c>
      <c r="AM193" s="69">
        <v>590.82999999999799</v>
      </c>
      <c r="AN193" s="69">
        <v>7776.2699999999941</v>
      </c>
      <c r="AO193" s="70">
        <v>10706.58</v>
      </c>
      <c r="AP193" s="70">
        <v>7724.45999999998</v>
      </c>
      <c r="AQ193" s="66"/>
      <c r="AR193" s="70" t="s">
        <v>779</v>
      </c>
      <c r="AS193" s="66"/>
      <c r="AT193" s="108">
        <v>0</v>
      </c>
      <c r="AU193" s="109">
        <v>26849.479999999996</v>
      </c>
      <c r="AV193" s="109">
        <v>15606.619999999999</v>
      </c>
      <c r="AW193" s="109">
        <v>31010.990000000005</v>
      </c>
      <c r="AX193" s="110">
        <v>11059.14</v>
      </c>
      <c r="AY193" s="110">
        <v>3294.48</v>
      </c>
    </row>
    <row r="194" spans="1:51" x14ac:dyDescent="0.25">
      <c r="A194" s="8">
        <v>5613</v>
      </c>
      <c r="B194" s="5" t="s">
        <v>167</v>
      </c>
      <c r="C194" s="2">
        <v>2.8699999999999992</v>
      </c>
      <c r="D194" s="24">
        <v>500</v>
      </c>
      <c r="E194" s="26">
        <f t="shared" si="54"/>
        <v>250</v>
      </c>
      <c r="F194" s="26">
        <v>503</v>
      </c>
      <c r="G194" s="30">
        <f t="shared" si="55"/>
        <v>0.49701789264413521</v>
      </c>
      <c r="H194" s="11"/>
      <c r="I194" s="9">
        <v>59</v>
      </c>
      <c r="J194" s="3">
        <v>198</v>
      </c>
      <c r="K194" s="3">
        <v>97</v>
      </c>
      <c r="L194" s="3">
        <v>273</v>
      </c>
      <c r="M194" s="6">
        <v>311</v>
      </c>
      <c r="N194" s="6">
        <v>246</v>
      </c>
      <c r="O194" s="13"/>
      <c r="P194" s="60">
        <f t="shared" si="78"/>
        <v>169.32999999999996</v>
      </c>
      <c r="Q194" s="61">
        <f t="shared" si="79"/>
        <v>568.25999999999988</v>
      </c>
      <c r="R194" s="61">
        <f t="shared" si="80"/>
        <v>278.38999999999993</v>
      </c>
      <c r="S194" s="62">
        <f t="shared" si="81"/>
        <v>783.50999999999976</v>
      </c>
      <c r="T194" s="63">
        <f t="shared" si="82"/>
        <v>892.56999999999971</v>
      </c>
      <c r="U194" s="63">
        <f t="shared" si="56"/>
        <v>706.01999999999975</v>
      </c>
      <c r="V194" s="64"/>
      <c r="W194" s="60">
        <v>257</v>
      </c>
      <c r="X194" s="61">
        <v>83</v>
      </c>
      <c r="Y194" s="61">
        <v>196</v>
      </c>
      <c r="Z194" s="61">
        <v>95</v>
      </c>
      <c r="AA194" s="65">
        <v>49</v>
      </c>
      <c r="AB194" s="65">
        <v>214</v>
      </c>
      <c r="AC194" s="66"/>
      <c r="AD194" s="67">
        <f t="shared" si="57"/>
        <v>0.51093439363817095</v>
      </c>
      <c r="AE194" s="67">
        <f t="shared" si="58"/>
        <v>0.16500994035785288</v>
      </c>
      <c r="AF194" s="67">
        <f t="shared" si="59"/>
        <v>0.38966202783300197</v>
      </c>
      <c r="AG194" s="67">
        <f t="shared" si="60"/>
        <v>0.18886679920477137</v>
      </c>
      <c r="AH194" s="67">
        <f t="shared" si="61"/>
        <v>9.7415506958250492E-2</v>
      </c>
      <c r="AI194" s="67">
        <f t="shared" si="62"/>
        <v>0.42544731610337971</v>
      </c>
      <c r="AJ194" s="66"/>
      <c r="AK194" s="68">
        <v>609.19999999999982</v>
      </c>
      <c r="AL194" s="69">
        <v>107.66999999999999</v>
      </c>
      <c r="AM194" s="69">
        <v>107.66999999999999</v>
      </c>
      <c r="AN194" s="69">
        <v>764.49999999999773</v>
      </c>
      <c r="AO194" s="70">
        <v>401.39999999999901</v>
      </c>
      <c r="AP194" s="70">
        <v>643.52</v>
      </c>
      <c r="AQ194" s="66"/>
      <c r="AR194" s="70" t="s">
        <v>779</v>
      </c>
      <c r="AS194" s="66"/>
      <c r="AT194" s="108">
        <v>358.13</v>
      </c>
      <c r="AU194" s="109">
        <v>1175.24</v>
      </c>
      <c r="AV194" s="109">
        <v>575.21</v>
      </c>
      <c r="AW194" s="109">
        <v>1642.69</v>
      </c>
      <c r="AX194" s="110">
        <v>1872.1599999999999</v>
      </c>
      <c r="AY194" s="110">
        <v>1487.56</v>
      </c>
    </row>
    <row r="195" spans="1:51" x14ac:dyDescent="0.25">
      <c r="A195" s="8" t="s">
        <v>119</v>
      </c>
      <c r="B195" s="5" t="s">
        <v>120</v>
      </c>
      <c r="C195" s="2">
        <v>2.8200000000000003</v>
      </c>
      <c r="D195" s="24">
        <v>500</v>
      </c>
      <c r="E195" s="26">
        <f t="shared" ref="E195:E258" si="83">D195/2</f>
        <v>250</v>
      </c>
      <c r="F195" s="26">
        <v>562</v>
      </c>
      <c r="G195" s="30">
        <f t="shared" ref="G195:G258" si="84">+E195/F195</f>
        <v>0.44483985765124556</v>
      </c>
      <c r="H195" s="11"/>
      <c r="I195" s="9">
        <v>0</v>
      </c>
      <c r="J195" s="3">
        <v>150</v>
      </c>
      <c r="K195" s="3">
        <v>200</v>
      </c>
      <c r="L195" s="3">
        <v>250</v>
      </c>
      <c r="M195" s="6"/>
      <c r="N195" s="6">
        <v>100</v>
      </c>
      <c r="O195" s="13"/>
      <c r="P195" s="60">
        <f t="shared" si="78"/>
        <v>0</v>
      </c>
      <c r="Q195" s="61">
        <f t="shared" si="79"/>
        <v>423.00000000000006</v>
      </c>
      <c r="R195" s="61">
        <f t="shared" si="80"/>
        <v>564</v>
      </c>
      <c r="S195" s="62">
        <f t="shared" si="81"/>
        <v>705.00000000000011</v>
      </c>
      <c r="T195" s="63">
        <f t="shared" si="82"/>
        <v>0</v>
      </c>
      <c r="U195" s="63">
        <f t="shared" si="56"/>
        <v>282</v>
      </c>
      <c r="V195" s="64"/>
      <c r="W195" s="60">
        <v>0</v>
      </c>
      <c r="X195" s="61">
        <v>0</v>
      </c>
      <c r="Y195" s="61">
        <v>31</v>
      </c>
      <c r="Z195" s="61">
        <v>240</v>
      </c>
      <c r="AA195" s="65">
        <v>164</v>
      </c>
      <c r="AB195" s="65">
        <v>160</v>
      </c>
      <c r="AC195" s="66"/>
      <c r="AD195" s="67">
        <f t="shared" si="57"/>
        <v>0</v>
      </c>
      <c r="AE195" s="67">
        <f t="shared" si="58"/>
        <v>0</v>
      </c>
      <c r="AF195" s="67">
        <f t="shared" si="59"/>
        <v>5.5160142348754451E-2</v>
      </c>
      <c r="AG195" s="67">
        <f t="shared" si="60"/>
        <v>0.42704626334519574</v>
      </c>
      <c r="AH195" s="67">
        <f t="shared" si="61"/>
        <v>0.29181494661921709</v>
      </c>
      <c r="AI195" s="67">
        <f t="shared" si="62"/>
        <v>0.28469750889679718</v>
      </c>
      <c r="AJ195" s="66"/>
      <c r="AK195" s="68">
        <v>0</v>
      </c>
      <c r="AL195" s="69">
        <v>0</v>
      </c>
      <c r="AM195" s="69">
        <v>87.420000000000016</v>
      </c>
      <c r="AN195" s="69">
        <v>211.42999999999978</v>
      </c>
      <c r="AO195" s="70">
        <v>1675.98</v>
      </c>
      <c r="AP195" s="70">
        <v>357.20999999999901</v>
      </c>
      <c r="AQ195" s="66"/>
      <c r="AR195" s="70" t="s">
        <v>779</v>
      </c>
      <c r="AS195" s="66"/>
      <c r="AT195" s="108">
        <v>0</v>
      </c>
      <c r="AU195" s="109">
        <v>711</v>
      </c>
      <c r="AV195" s="109">
        <v>997</v>
      </c>
      <c r="AW195" s="109">
        <v>1172.5</v>
      </c>
      <c r="AX195" s="110">
        <v>0</v>
      </c>
      <c r="AY195" s="110">
        <v>471</v>
      </c>
    </row>
    <row r="196" spans="1:51" x14ac:dyDescent="0.25">
      <c r="A196" s="8" t="s">
        <v>448</v>
      </c>
      <c r="B196" s="5" t="s">
        <v>449</v>
      </c>
      <c r="C196" s="2">
        <v>2.8100000000000023</v>
      </c>
      <c r="D196" s="24">
        <v>3000</v>
      </c>
      <c r="E196" s="26">
        <f t="shared" si="83"/>
        <v>1500</v>
      </c>
      <c r="F196" s="26">
        <v>8376</v>
      </c>
      <c r="G196" s="30">
        <f t="shared" si="84"/>
        <v>0.17908309455587393</v>
      </c>
      <c r="H196" s="11"/>
      <c r="I196" s="9">
        <v>50</v>
      </c>
      <c r="J196" s="3">
        <v>0</v>
      </c>
      <c r="K196" s="3">
        <v>471</v>
      </c>
      <c r="L196" s="3">
        <v>608</v>
      </c>
      <c r="M196" s="6">
        <v>3015</v>
      </c>
      <c r="N196" s="6">
        <v>1850</v>
      </c>
      <c r="O196" s="13"/>
      <c r="P196" s="60">
        <f t="shared" si="78"/>
        <v>140.50000000000011</v>
      </c>
      <c r="Q196" s="61">
        <f t="shared" si="79"/>
        <v>0</v>
      </c>
      <c r="R196" s="61">
        <f t="shared" si="80"/>
        <v>1323.5100000000011</v>
      </c>
      <c r="S196" s="62">
        <f t="shared" si="81"/>
        <v>1708.4800000000014</v>
      </c>
      <c r="T196" s="63">
        <f t="shared" si="82"/>
        <v>8472.1500000000069</v>
      </c>
      <c r="U196" s="63">
        <f t="shared" ref="U196:U259" si="85">+N196*C196</f>
        <v>5198.5000000000045</v>
      </c>
      <c r="V196" s="64"/>
      <c r="W196" s="60">
        <v>0</v>
      </c>
      <c r="X196" s="61">
        <v>0</v>
      </c>
      <c r="Y196" s="61">
        <v>840</v>
      </c>
      <c r="Z196" s="61">
        <v>399</v>
      </c>
      <c r="AA196" s="65">
        <v>595</v>
      </c>
      <c r="AB196" s="65">
        <v>2553</v>
      </c>
      <c r="AC196" s="66"/>
      <c r="AD196" s="67">
        <f t="shared" ref="AD196:AD259" si="86">+IFERROR(W196/F196,"")</f>
        <v>0</v>
      </c>
      <c r="AE196" s="67">
        <f t="shared" ref="AE196:AE259" si="87">+IFERROR(X196/F196,"")</f>
        <v>0</v>
      </c>
      <c r="AF196" s="67">
        <f t="shared" ref="AF196:AF259" si="88">+IFERROR(Y196/F196,"")</f>
        <v>0.10028653295128939</v>
      </c>
      <c r="AG196" s="67">
        <f t="shared" ref="AG196:AG259" si="89">+IFERROR(Z196/F196,"")</f>
        <v>4.7636103151862466E-2</v>
      </c>
      <c r="AH196" s="67">
        <f t="shared" ref="AH196:AH259" si="90">+IFERROR(AA196/F196,"")</f>
        <v>7.1036294173829992E-2</v>
      </c>
      <c r="AI196" s="67">
        <f t="shared" ref="AI196:AI259" si="91">+IFERROR(AB196/F196,"")</f>
        <v>0.30479942693409739</v>
      </c>
      <c r="AJ196" s="66"/>
      <c r="AK196" s="68">
        <v>0</v>
      </c>
      <c r="AL196" s="69">
        <v>0</v>
      </c>
      <c r="AM196" s="69">
        <v>2360.4000000000019</v>
      </c>
      <c r="AN196" s="69">
        <v>4039.2700000000013</v>
      </c>
      <c r="AO196" s="70">
        <v>655.86999999999705</v>
      </c>
      <c r="AP196" s="70">
        <v>4618.20999999995</v>
      </c>
      <c r="AQ196" s="66"/>
      <c r="AR196" s="70" t="s">
        <v>780</v>
      </c>
      <c r="AS196" s="66"/>
      <c r="AT196" s="108">
        <v>1321</v>
      </c>
      <c r="AU196" s="109">
        <v>0</v>
      </c>
      <c r="AV196" s="109">
        <v>12363.19</v>
      </c>
      <c r="AW196" s="109">
        <v>15759.9</v>
      </c>
      <c r="AX196" s="110">
        <v>78277.850000000006</v>
      </c>
      <c r="AY196" s="110">
        <v>47055.5</v>
      </c>
    </row>
    <row r="197" spans="1:51" x14ac:dyDescent="0.25">
      <c r="A197" s="8" t="s">
        <v>826</v>
      </c>
      <c r="B197" s="5" t="s">
        <v>869</v>
      </c>
      <c r="C197" s="2">
        <v>2.8083845029239782</v>
      </c>
      <c r="D197" s="24">
        <v>15000</v>
      </c>
      <c r="E197" s="26">
        <f t="shared" si="83"/>
        <v>7500</v>
      </c>
      <c r="F197" s="26">
        <v>27594</v>
      </c>
      <c r="G197" s="30">
        <f t="shared" si="84"/>
        <v>0.27179821700369644</v>
      </c>
      <c r="H197" s="11"/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6">
        <v>3605</v>
      </c>
      <c r="O197" s="13"/>
      <c r="P197" s="60"/>
      <c r="Q197" s="61"/>
      <c r="R197" s="61"/>
      <c r="S197" s="62"/>
      <c r="T197" s="63"/>
      <c r="U197" s="63">
        <f t="shared" si="85"/>
        <v>10124.226133040942</v>
      </c>
      <c r="V197" s="64"/>
      <c r="W197" s="60"/>
      <c r="X197" s="61"/>
      <c r="Y197" s="61"/>
      <c r="Z197" s="61"/>
      <c r="AA197" s="65"/>
      <c r="AB197" s="65"/>
      <c r="AC197" s="66"/>
      <c r="AD197" s="67">
        <f t="shared" si="86"/>
        <v>0</v>
      </c>
      <c r="AE197" s="67">
        <f t="shared" si="87"/>
        <v>0</v>
      </c>
      <c r="AF197" s="67">
        <f t="shared" si="88"/>
        <v>0</v>
      </c>
      <c r="AG197" s="67">
        <f t="shared" si="89"/>
        <v>0</v>
      </c>
      <c r="AH197" s="67">
        <f t="shared" si="90"/>
        <v>0</v>
      </c>
      <c r="AI197" s="67">
        <f t="shared" si="91"/>
        <v>0</v>
      </c>
      <c r="AJ197" s="66"/>
      <c r="AK197" s="68"/>
      <c r="AL197" s="69"/>
      <c r="AM197" s="69"/>
      <c r="AN197" s="69"/>
      <c r="AO197" s="70"/>
      <c r="AP197" s="70"/>
      <c r="AQ197" s="66"/>
      <c r="AR197" s="70" t="s">
        <v>780</v>
      </c>
      <c r="AS197" s="66"/>
      <c r="AT197" s="108">
        <v>108032.83000000002</v>
      </c>
      <c r="AU197" s="109">
        <v>71837.650000000009</v>
      </c>
      <c r="AV197" s="109">
        <v>238347.43000000005</v>
      </c>
      <c r="AW197" s="109">
        <v>110550.78000000001</v>
      </c>
      <c r="AX197" s="110">
        <v>116674.86999999997</v>
      </c>
      <c r="AY197" s="110">
        <v>114528.86999999998</v>
      </c>
    </row>
    <row r="198" spans="1:51" x14ac:dyDescent="0.25">
      <c r="A198" s="8" t="s">
        <v>124</v>
      </c>
      <c r="B198" s="5" t="s">
        <v>125</v>
      </c>
      <c r="C198" s="2">
        <v>2.8</v>
      </c>
      <c r="D198" s="24">
        <v>6000</v>
      </c>
      <c r="E198" s="26">
        <f t="shared" si="83"/>
        <v>3000</v>
      </c>
      <c r="F198" s="26">
        <v>17740</v>
      </c>
      <c r="G198" s="30">
        <f t="shared" si="84"/>
        <v>0.16910935738444194</v>
      </c>
      <c r="H198" s="11"/>
      <c r="I198" s="9">
        <v>485</v>
      </c>
      <c r="J198" s="3">
        <v>1690</v>
      </c>
      <c r="K198" s="3">
        <v>2138</v>
      </c>
      <c r="L198" s="3">
        <v>301</v>
      </c>
      <c r="M198" s="6">
        <v>840</v>
      </c>
      <c r="N198" s="6">
        <v>1270</v>
      </c>
      <c r="O198" s="13"/>
      <c r="P198" s="60">
        <f t="shared" ref="P198:P204" si="92">+I198*C198</f>
        <v>1358</v>
      </c>
      <c r="Q198" s="61">
        <f t="shared" ref="Q198:Q204" si="93">+J198*C198</f>
        <v>4732</v>
      </c>
      <c r="R198" s="61">
        <f t="shared" ref="R198:R204" si="94">+K198*C198</f>
        <v>5986.4</v>
      </c>
      <c r="S198" s="62">
        <f t="shared" ref="S198:S204" si="95">+L198*C198</f>
        <v>842.8</v>
      </c>
      <c r="T198" s="63">
        <f t="shared" ref="T198:T204" si="96">+M198*C198</f>
        <v>2352</v>
      </c>
      <c r="U198" s="63">
        <f t="shared" si="85"/>
        <v>3556</v>
      </c>
      <c r="V198" s="64"/>
      <c r="W198" s="60">
        <v>236</v>
      </c>
      <c r="X198" s="61">
        <v>488</v>
      </c>
      <c r="Y198" s="61">
        <v>1463</v>
      </c>
      <c r="Z198" s="61">
        <v>2030</v>
      </c>
      <c r="AA198" s="65">
        <v>2753</v>
      </c>
      <c r="AB198" s="65">
        <v>1738</v>
      </c>
      <c r="AC198" s="66"/>
      <c r="AD198" s="67">
        <f t="shared" si="86"/>
        <v>1.3303269447576099E-2</v>
      </c>
      <c r="AE198" s="67">
        <f t="shared" si="87"/>
        <v>2.7508455467869224E-2</v>
      </c>
      <c r="AF198" s="67">
        <f t="shared" si="88"/>
        <v>8.2468996617812859E-2</v>
      </c>
      <c r="AG198" s="67">
        <f t="shared" si="89"/>
        <v>0.11443066516347238</v>
      </c>
      <c r="AH198" s="67">
        <f t="shared" si="90"/>
        <v>0.15518602029312289</v>
      </c>
      <c r="AI198" s="67">
        <f t="shared" si="91"/>
        <v>9.79706877113867E-2</v>
      </c>
      <c r="AJ198" s="66"/>
      <c r="AK198" s="68">
        <v>716.29999999999961</v>
      </c>
      <c r="AL198" s="69">
        <v>1574.6799999999957</v>
      </c>
      <c r="AM198" s="69">
        <v>1574.6799999999957</v>
      </c>
      <c r="AN198" s="69">
        <v>2584.1599999999926</v>
      </c>
      <c r="AO198" s="70">
        <v>4370.74999999995</v>
      </c>
      <c r="AP198" s="70">
        <v>3898.4299999999698</v>
      </c>
      <c r="AQ198" s="66"/>
      <c r="AR198" s="70" t="s">
        <v>779</v>
      </c>
      <c r="AS198" s="66"/>
      <c r="AT198" s="108">
        <v>2303.5500000000002</v>
      </c>
      <c r="AU198" s="109">
        <v>8521.85</v>
      </c>
      <c r="AV198" s="109">
        <v>10403.36</v>
      </c>
      <c r="AW198" s="109">
        <v>1476.3200000000002</v>
      </c>
      <c r="AX198" s="110">
        <v>4053.6</v>
      </c>
      <c r="AY198" s="110">
        <v>6054.6</v>
      </c>
    </row>
    <row r="199" spans="1:51" x14ac:dyDescent="0.25">
      <c r="A199" s="8" t="s">
        <v>411</v>
      </c>
      <c r="B199" s="5" t="s">
        <v>412</v>
      </c>
      <c r="C199" s="2">
        <v>2.7899999999999991</v>
      </c>
      <c r="D199" s="24">
        <v>2000</v>
      </c>
      <c r="E199" s="26">
        <f t="shared" si="83"/>
        <v>1000</v>
      </c>
      <c r="F199" s="26">
        <v>4018</v>
      </c>
      <c r="G199" s="30">
        <f t="shared" si="84"/>
        <v>0.24888003982080636</v>
      </c>
      <c r="H199" s="11"/>
      <c r="I199" s="9">
        <v>1775</v>
      </c>
      <c r="J199" s="3">
        <v>0</v>
      </c>
      <c r="K199" s="3">
        <v>0</v>
      </c>
      <c r="L199" s="3">
        <v>0</v>
      </c>
      <c r="M199" s="6"/>
      <c r="N199" s="6">
        <v>0</v>
      </c>
      <c r="O199" s="13"/>
      <c r="P199" s="60">
        <f t="shared" si="92"/>
        <v>4952.2499999999982</v>
      </c>
      <c r="Q199" s="61">
        <f t="shared" si="93"/>
        <v>0</v>
      </c>
      <c r="R199" s="61">
        <f t="shared" si="94"/>
        <v>0</v>
      </c>
      <c r="S199" s="62">
        <f t="shared" si="95"/>
        <v>0</v>
      </c>
      <c r="T199" s="63">
        <f t="shared" si="96"/>
        <v>0</v>
      </c>
      <c r="U199" s="63">
        <f t="shared" si="85"/>
        <v>0</v>
      </c>
      <c r="V199" s="64"/>
      <c r="W199" s="60">
        <v>769</v>
      </c>
      <c r="X199" s="61">
        <v>652</v>
      </c>
      <c r="Y199" s="61">
        <v>1553</v>
      </c>
      <c r="Z199" s="61">
        <v>469</v>
      </c>
      <c r="AA199" s="65">
        <v>578</v>
      </c>
      <c r="AB199" s="65">
        <v>155</v>
      </c>
      <c r="AC199" s="66"/>
      <c r="AD199" s="67">
        <f t="shared" si="86"/>
        <v>0.19138875062220009</v>
      </c>
      <c r="AE199" s="67">
        <f t="shared" si="87"/>
        <v>0.16226978596316574</v>
      </c>
      <c r="AF199" s="67">
        <f t="shared" si="88"/>
        <v>0.38651070184171227</v>
      </c>
      <c r="AG199" s="67">
        <f t="shared" si="89"/>
        <v>0.11672473867595819</v>
      </c>
      <c r="AH199" s="67">
        <f t="shared" si="90"/>
        <v>0.14385266301642607</v>
      </c>
      <c r="AI199" s="67">
        <f t="shared" si="91"/>
        <v>3.8576406172224985E-2</v>
      </c>
      <c r="AJ199" s="66"/>
      <c r="AK199" s="68">
        <v>592.50000000000034</v>
      </c>
      <c r="AL199" s="69">
        <v>893.9699999999998</v>
      </c>
      <c r="AM199" s="69">
        <v>893.96999999999991</v>
      </c>
      <c r="AN199" s="69">
        <v>2199.8599999999938</v>
      </c>
      <c r="AO199" s="70">
        <v>776.9</v>
      </c>
      <c r="AP199" s="70">
        <v>371.8</v>
      </c>
      <c r="AQ199" s="66"/>
      <c r="AR199" s="70" t="s">
        <v>779</v>
      </c>
      <c r="AS199" s="66"/>
      <c r="AT199" s="108">
        <v>530.25</v>
      </c>
      <c r="AU199" s="109">
        <v>0</v>
      </c>
      <c r="AV199" s="109">
        <v>0</v>
      </c>
      <c r="AW199" s="109">
        <v>0</v>
      </c>
      <c r="AX199" s="110">
        <v>0</v>
      </c>
      <c r="AY199" s="110">
        <v>0</v>
      </c>
    </row>
    <row r="200" spans="1:51" x14ac:dyDescent="0.25">
      <c r="A200" s="8">
        <v>5343</v>
      </c>
      <c r="B200" s="5" t="s">
        <v>404</v>
      </c>
      <c r="C200" s="2">
        <v>2.7800000000000011</v>
      </c>
      <c r="D200" s="24">
        <v>500</v>
      </c>
      <c r="E200" s="26">
        <f t="shared" si="83"/>
        <v>250</v>
      </c>
      <c r="F200" s="26">
        <v>614</v>
      </c>
      <c r="G200" s="30">
        <f t="shared" si="84"/>
        <v>0.40716612377850164</v>
      </c>
      <c r="H200" s="11"/>
      <c r="I200" s="9">
        <v>0</v>
      </c>
      <c r="J200" s="3">
        <v>0</v>
      </c>
      <c r="K200" s="3">
        <v>0</v>
      </c>
      <c r="L200" s="3">
        <v>0</v>
      </c>
      <c r="M200" s="6">
        <v>27</v>
      </c>
      <c r="N200" s="6">
        <v>0</v>
      </c>
      <c r="O200" s="13"/>
      <c r="P200" s="60">
        <f t="shared" si="92"/>
        <v>0</v>
      </c>
      <c r="Q200" s="61">
        <f t="shared" si="93"/>
        <v>0</v>
      </c>
      <c r="R200" s="61">
        <f t="shared" si="94"/>
        <v>0</v>
      </c>
      <c r="S200" s="62">
        <f t="shared" si="95"/>
        <v>0</v>
      </c>
      <c r="T200" s="63">
        <f t="shared" si="96"/>
        <v>75.060000000000031</v>
      </c>
      <c r="U200" s="63">
        <f t="shared" si="85"/>
        <v>0</v>
      </c>
      <c r="V200" s="64"/>
      <c r="W200" s="60">
        <v>35</v>
      </c>
      <c r="X200" s="61">
        <v>2</v>
      </c>
      <c r="Y200" s="61">
        <v>17</v>
      </c>
      <c r="Z200" s="61">
        <v>0</v>
      </c>
      <c r="AA200" s="65">
        <v>0</v>
      </c>
      <c r="AB200" s="65">
        <v>8</v>
      </c>
      <c r="AC200" s="66"/>
      <c r="AD200" s="67">
        <f t="shared" si="86"/>
        <v>5.7003257328990226E-2</v>
      </c>
      <c r="AE200" s="67">
        <f t="shared" si="87"/>
        <v>3.2573289902280132E-3</v>
      </c>
      <c r="AF200" s="67">
        <f t="shared" si="88"/>
        <v>2.7687296416938109E-2</v>
      </c>
      <c r="AG200" s="67">
        <f t="shared" si="89"/>
        <v>0</v>
      </c>
      <c r="AH200" s="67">
        <f t="shared" si="90"/>
        <v>0</v>
      </c>
      <c r="AI200" s="67">
        <f t="shared" si="91"/>
        <v>1.3029315960912053E-2</v>
      </c>
      <c r="AJ200" s="66"/>
      <c r="AK200" s="68">
        <v>203.95</v>
      </c>
      <c r="AL200" s="69">
        <v>6.28</v>
      </c>
      <c r="AM200" s="69">
        <v>6.28</v>
      </c>
      <c r="AN200" s="69">
        <v>48.67</v>
      </c>
      <c r="AO200" s="70">
        <v>5.7099999999999902</v>
      </c>
      <c r="AP200" s="70">
        <v>35.64</v>
      </c>
      <c r="AQ200" s="66"/>
      <c r="AR200" s="70" t="s">
        <v>779</v>
      </c>
      <c r="AS200" s="66"/>
      <c r="AT200" s="108">
        <v>0</v>
      </c>
      <c r="AU200" s="109">
        <v>0</v>
      </c>
      <c r="AV200" s="109">
        <v>0</v>
      </c>
      <c r="AW200" s="109">
        <v>0</v>
      </c>
      <c r="AX200" s="110">
        <v>525.69000000000005</v>
      </c>
      <c r="AY200" s="110">
        <v>0</v>
      </c>
    </row>
    <row r="201" spans="1:51" x14ac:dyDescent="0.25">
      <c r="A201" s="8">
        <v>5931</v>
      </c>
      <c r="B201" s="5" t="s">
        <v>156</v>
      </c>
      <c r="C201" s="2">
        <v>2.7799999999999994</v>
      </c>
      <c r="D201" s="24">
        <v>500</v>
      </c>
      <c r="E201" s="26">
        <f t="shared" si="83"/>
        <v>250</v>
      </c>
      <c r="F201" s="26">
        <v>374</v>
      </c>
      <c r="G201" s="30">
        <f t="shared" si="84"/>
        <v>0.66844919786096257</v>
      </c>
      <c r="H201" s="11"/>
      <c r="I201" s="9">
        <v>300</v>
      </c>
      <c r="J201" s="3">
        <v>354.66666666666669</v>
      </c>
      <c r="K201" s="3">
        <v>0</v>
      </c>
      <c r="L201" s="3">
        <v>0</v>
      </c>
      <c r="M201" s="6"/>
      <c r="N201" s="6">
        <v>0</v>
      </c>
      <c r="O201" s="13"/>
      <c r="P201" s="60">
        <f t="shared" si="92"/>
        <v>833.99999999999977</v>
      </c>
      <c r="Q201" s="61">
        <f t="shared" si="93"/>
        <v>985.97333333333313</v>
      </c>
      <c r="R201" s="61">
        <f t="shared" si="94"/>
        <v>0</v>
      </c>
      <c r="S201" s="62">
        <f t="shared" si="95"/>
        <v>0</v>
      </c>
      <c r="T201" s="63">
        <f t="shared" si="96"/>
        <v>0</v>
      </c>
      <c r="U201" s="63">
        <f t="shared" si="85"/>
        <v>0</v>
      </c>
      <c r="V201" s="64"/>
      <c r="W201" s="60">
        <v>99</v>
      </c>
      <c r="X201" s="61">
        <v>0</v>
      </c>
      <c r="Y201" s="61">
        <v>0</v>
      </c>
      <c r="Z201" s="61">
        <v>49</v>
      </c>
      <c r="AA201" s="65">
        <v>150</v>
      </c>
      <c r="AB201" s="65">
        <v>339</v>
      </c>
      <c r="AC201" s="66"/>
      <c r="AD201" s="67">
        <f t="shared" si="86"/>
        <v>0.26470588235294118</v>
      </c>
      <c r="AE201" s="67">
        <f t="shared" si="87"/>
        <v>0</v>
      </c>
      <c r="AF201" s="67">
        <f t="shared" si="88"/>
        <v>0</v>
      </c>
      <c r="AG201" s="67">
        <f t="shared" si="89"/>
        <v>0.13101604278074866</v>
      </c>
      <c r="AH201" s="67">
        <f t="shared" si="90"/>
        <v>0.40106951871657753</v>
      </c>
      <c r="AI201" s="67">
        <f t="shared" si="91"/>
        <v>0.9064171122994652</v>
      </c>
      <c r="AJ201" s="66"/>
      <c r="AK201" s="68">
        <v>85.72999999999999</v>
      </c>
      <c r="AL201" s="69">
        <v>0</v>
      </c>
      <c r="AM201" s="69">
        <v>0</v>
      </c>
      <c r="AN201" s="69">
        <v>136.21999999999997</v>
      </c>
      <c r="AO201" s="70">
        <v>64.38</v>
      </c>
      <c r="AP201" s="70">
        <v>704.79999999999905</v>
      </c>
      <c r="AQ201" s="66"/>
      <c r="AR201" s="70" t="s">
        <v>779</v>
      </c>
      <c r="AS201" s="66"/>
      <c r="AT201" s="108">
        <v>2133</v>
      </c>
      <c r="AU201" s="109">
        <v>2500.4</v>
      </c>
      <c r="AV201" s="109">
        <v>0</v>
      </c>
      <c r="AW201" s="109">
        <v>0</v>
      </c>
      <c r="AX201" s="110">
        <v>0</v>
      </c>
      <c r="AY201" s="110">
        <v>0</v>
      </c>
    </row>
    <row r="202" spans="1:51" x14ac:dyDescent="0.25">
      <c r="A202" s="8">
        <v>5449</v>
      </c>
      <c r="B202" s="5" t="s">
        <v>306</v>
      </c>
      <c r="C202" s="2">
        <v>2.7699999999999996</v>
      </c>
      <c r="D202" s="24">
        <v>2000</v>
      </c>
      <c r="E202" s="26">
        <f t="shared" si="83"/>
        <v>1000</v>
      </c>
      <c r="F202" s="26">
        <v>21</v>
      </c>
      <c r="G202" s="30">
        <f t="shared" si="84"/>
        <v>47.61904761904762</v>
      </c>
      <c r="H202" s="11"/>
      <c r="I202" s="9">
        <v>1105</v>
      </c>
      <c r="J202" s="3">
        <v>723</v>
      </c>
      <c r="K202" s="3">
        <v>2157</v>
      </c>
      <c r="L202" s="3">
        <v>1596</v>
      </c>
      <c r="M202" s="6">
        <v>416</v>
      </c>
      <c r="N202" s="6">
        <v>1506</v>
      </c>
      <c r="O202" s="13"/>
      <c r="P202" s="60">
        <f t="shared" si="92"/>
        <v>3060.8499999999995</v>
      </c>
      <c r="Q202" s="61">
        <f t="shared" si="93"/>
        <v>2002.7099999999996</v>
      </c>
      <c r="R202" s="61">
        <f t="shared" si="94"/>
        <v>5974.8899999999994</v>
      </c>
      <c r="S202" s="62">
        <f t="shared" si="95"/>
        <v>4420.9199999999992</v>
      </c>
      <c r="T202" s="63">
        <f t="shared" si="96"/>
        <v>1152.3199999999997</v>
      </c>
      <c r="U202" s="63">
        <f t="shared" si="85"/>
        <v>4171.619999999999</v>
      </c>
      <c r="V202" s="64"/>
      <c r="W202" s="60">
        <v>668</v>
      </c>
      <c r="X202" s="61">
        <v>404</v>
      </c>
      <c r="Y202" s="61">
        <v>635</v>
      </c>
      <c r="Z202" s="61">
        <v>1912</v>
      </c>
      <c r="AA202" s="65">
        <v>1843</v>
      </c>
      <c r="AB202" s="65">
        <v>1202</v>
      </c>
      <c r="AC202" s="66"/>
      <c r="AD202" s="67">
        <f t="shared" si="86"/>
        <v>31.80952380952381</v>
      </c>
      <c r="AE202" s="67">
        <f t="shared" si="87"/>
        <v>19.238095238095237</v>
      </c>
      <c r="AF202" s="67">
        <f t="shared" si="88"/>
        <v>30.238095238095237</v>
      </c>
      <c r="AG202" s="67">
        <f t="shared" si="89"/>
        <v>91.047619047619051</v>
      </c>
      <c r="AH202" s="67">
        <f t="shared" si="90"/>
        <v>87.761904761904759</v>
      </c>
      <c r="AI202" s="67">
        <f t="shared" si="91"/>
        <v>57.238095238095241</v>
      </c>
      <c r="AJ202" s="66"/>
      <c r="AK202" s="68">
        <v>476.49</v>
      </c>
      <c r="AL202" s="69">
        <v>351.24999999999955</v>
      </c>
      <c r="AM202" s="69">
        <v>351.2499999999996</v>
      </c>
      <c r="AN202" s="69">
        <v>564.18999999999971</v>
      </c>
      <c r="AO202" s="70">
        <v>1390.22999999999</v>
      </c>
      <c r="AP202" s="70">
        <v>2145.24999999999</v>
      </c>
      <c r="AQ202" s="66"/>
      <c r="AR202" s="70" t="s">
        <v>779</v>
      </c>
      <c r="AS202" s="66"/>
      <c r="AT202" s="108">
        <v>14061.170000000002</v>
      </c>
      <c r="AU202" s="109">
        <v>9010.66</v>
      </c>
      <c r="AV202" s="109">
        <v>25622.42</v>
      </c>
      <c r="AW202" s="109">
        <v>18810.5</v>
      </c>
      <c r="AX202" s="110">
        <v>4948.46</v>
      </c>
      <c r="AY202" s="110">
        <v>17859.64</v>
      </c>
    </row>
    <row r="203" spans="1:51" x14ac:dyDescent="0.25">
      <c r="A203" s="8" t="s">
        <v>86</v>
      </c>
      <c r="B203" s="5" t="s">
        <v>87</v>
      </c>
      <c r="C203" s="2">
        <v>2.7600000000000002</v>
      </c>
      <c r="D203" s="24">
        <v>10000</v>
      </c>
      <c r="E203" s="26">
        <f t="shared" si="83"/>
        <v>5000</v>
      </c>
      <c r="F203" s="26">
        <v>20230</v>
      </c>
      <c r="G203" s="30">
        <f t="shared" si="84"/>
        <v>0.24715768660405338</v>
      </c>
      <c r="H203" s="11"/>
      <c r="I203" s="9">
        <v>10866</v>
      </c>
      <c r="J203" s="3">
        <v>0</v>
      </c>
      <c r="K203" s="3">
        <v>0</v>
      </c>
      <c r="L203" s="3">
        <v>2402</v>
      </c>
      <c r="M203" s="6">
        <v>4799</v>
      </c>
      <c r="N203" s="6">
        <v>2046</v>
      </c>
      <c r="O203" s="13"/>
      <c r="P203" s="60">
        <f t="shared" si="92"/>
        <v>29990.160000000003</v>
      </c>
      <c r="Q203" s="61">
        <f t="shared" si="93"/>
        <v>0</v>
      </c>
      <c r="R203" s="61">
        <f t="shared" si="94"/>
        <v>0</v>
      </c>
      <c r="S203" s="62">
        <f t="shared" si="95"/>
        <v>6629.52</v>
      </c>
      <c r="T203" s="63">
        <f t="shared" si="96"/>
        <v>13245.240000000002</v>
      </c>
      <c r="U203" s="63">
        <f t="shared" si="85"/>
        <v>5646.96</v>
      </c>
      <c r="V203" s="64"/>
      <c r="W203" s="60">
        <v>7482</v>
      </c>
      <c r="X203" s="61">
        <v>6495</v>
      </c>
      <c r="Y203" s="61">
        <v>7787</v>
      </c>
      <c r="Z203" s="61">
        <v>6280</v>
      </c>
      <c r="AA203" s="65">
        <v>2946</v>
      </c>
      <c r="AB203" s="65">
        <v>4289</v>
      </c>
      <c r="AC203" s="66"/>
      <c r="AD203" s="67">
        <f t="shared" si="86"/>
        <v>0.36984676223430546</v>
      </c>
      <c r="AE203" s="67">
        <f t="shared" si="87"/>
        <v>0.32105783489866535</v>
      </c>
      <c r="AF203" s="67">
        <f t="shared" si="88"/>
        <v>0.38492338111715274</v>
      </c>
      <c r="AG203" s="67">
        <f t="shared" si="89"/>
        <v>0.31043005437469107</v>
      </c>
      <c r="AH203" s="67">
        <f t="shared" si="90"/>
        <v>0.14562530894710826</v>
      </c>
      <c r="AI203" s="67">
        <f t="shared" si="91"/>
        <v>0.21201186356895699</v>
      </c>
      <c r="AJ203" s="66"/>
      <c r="AK203" s="68">
        <v>13261.86</v>
      </c>
      <c r="AL203" s="69">
        <v>12794.619999999944</v>
      </c>
      <c r="AM203" s="69">
        <v>12794.619999999944</v>
      </c>
      <c r="AN203" s="69">
        <v>13372.77999999995</v>
      </c>
      <c r="AO203" s="70">
        <v>5999.9700000001503</v>
      </c>
      <c r="AP203" s="70">
        <v>11232.620000000101</v>
      </c>
      <c r="AQ203" s="66"/>
      <c r="AR203" s="70" t="s">
        <v>779</v>
      </c>
      <c r="AS203" s="66"/>
      <c r="AT203" s="108">
        <v>36733.420000000006</v>
      </c>
      <c r="AU203" s="109">
        <v>0</v>
      </c>
      <c r="AV203" s="109">
        <v>0</v>
      </c>
      <c r="AW203" s="109">
        <v>7662.38</v>
      </c>
      <c r="AX203" s="110">
        <v>24202.950000000004</v>
      </c>
      <c r="AY203" s="110">
        <v>6424.44</v>
      </c>
    </row>
    <row r="204" spans="1:51" x14ac:dyDescent="0.25">
      <c r="A204" s="8">
        <v>5897</v>
      </c>
      <c r="B204" s="5" t="s">
        <v>293</v>
      </c>
      <c r="C204" s="2">
        <v>2.75</v>
      </c>
      <c r="D204" s="24">
        <v>1000</v>
      </c>
      <c r="E204" s="26">
        <f t="shared" si="83"/>
        <v>500</v>
      </c>
      <c r="F204" s="26">
        <v>662</v>
      </c>
      <c r="G204" s="30">
        <f t="shared" si="84"/>
        <v>0.75528700906344415</v>
      </c>
      <c r="H204" s="11"/>
      <c r="I204" s="9">
        <v>113</v>
      </c>
      <c r="J204" s="3">
        <v>1132</v>
      </c>
      <c r="K204" s="3">
        <v>524</v>
      </c>
      <c r="L204" s="3">
        <v>0</v>
      </c>
      <c r="M204" s="6">
        <v>120</v>
      </c>
      <c r="N204" s="6">
        <v>761</v>
      </c>
      <c r="O204" s="13"/>
      <c r="P204" s="60">
        <f t="shared" si="92"/>
        <v>310.75</v>
      </c>
      <c r="Q204" s="61">
        <f t="shared" si="93"/>
        <v>3113</v>
      </c>
      <c r="R204" s="61">
        <f t="shared" si="94"/>
        <v>1441</v>
      </c>
      <c r="S204" s="62">
        <f t="shared" si="95"/>
        <v>0</v>
      </c>
      <c r="T204" s="63">
        <f t="shared" si="96"/>
        <v>330</v>
      </c>
      <c r="U204" s="63">
        <f t="shared" si="85"/>
        <v>2092.75</v>
      </c>
      <c r="V204" s="64"/>
      <c r="W204" s="60">
        <v>0</v>
      </c>
      <c r="X204" s="61">
        <v>52</v>
      </c>
      <c r="Y204" s="61">
        <v>325</v>
      </c>
      <c r="Z204" s="61">
        <v>792</v>
      </c>
      <c r="AA204" s="65">
        <v>599</v>
      </c>
      <c r="AB204" s="65">
        <v>69</v>
      </c>
      <c r="AC204" s="66"/>
      <c r="AD204" s="67">
        <f t="shared" si="86"/>
        <v>0</v>
      </c>
      <c r="AE204" s="67">
        <f t="shared" si="87"/>
        <v>7.8549848942598186E-2</v>
      </c>
      <c r="AF204" s="67">
        <f t="shared" si="88"/>
        <v>0.49093655589123869</v>
      </c>
      <c r="AG204" s="67">
        <f t="shared" si="89"/>
        <v>1.1963746223564955</v>
      </c>
      <c r="AH204" s="67">
        <f t="shared" si="90"/>
        <v>0.904833836858006</v>
      </c>
      <c r="AI204" s="67">
        <f t="shared" si="91"/>
        <v>0.10422960725075529</v>
      </c>
      <c r="AJ204" s="66"/>
      <c r="AK204" s="68">
        <v>0</v>
      </c>
      <c r="AL204" s="69">
        <v>77.919999999999803</v>
      </c>
      <c r="AM204" s="69">
        <v>77.919999999999803</v>
      </c>
      <c r="AN204" s="69">
        <v>377.55999999999966</v>
      </c>
      <c r="AO204" s="70">
        <v>1012.77</v>
      </c>
      <c r="AP204" s="70">
        <v>86.1</v>
      </c>
      <c r="AQ204" s="66"/>
      <c r="AR204" s="70" t="s">
        <v>779</v>
      </c>
      <c r="AS204" s="66"/>
      <c r="AT204" s="108">
        <v>1203.6599999999999</v>
      </c>
      <c r="AU204" s="109">
        <v>12302.210000000001</v>
      </c>
      <c r="AV204" s="109">
        <v>5575.39</v>
      </c>
      <c r="AW204" s="109">
        <v>0</v>
      </c>
      <c r="AX204" s="110">
        <v>1302</v>
      </c>
      <c r="AY204" s="110">
        <v>8119.96</v>
      </c>
    </row>
    <row r="205" spans="1:51" x14ac:dyDescent="0.25">
      <c r="A205" s="8" t="s">
        <v>811</v>
      </c>
      <c r="B205" s="5" t="s">
        <v>854</v>
      </c>
      <c r="C205" s="2">
        <v>2.7161654135338331</v>
      </c>
      <c r="D205" s="24">
        <v>2000</v>
      </c>
      <c r="E205" s="26">
        <f t="shared" si="83"/>
        <v>1000</v>
      </c>
      <c r="F205" s="26">
        <v>3260</v>
      </c>
      <c r="G205" s="30">
        <f t="shared" si="84"/>
        <v>0.30674846625766872</v>
      </c>
      <c r="H205" s="11"/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6">
        <v>1562</v>
      </c>
      <c r="O205" s="13"/>
      <c r="P205" s="60"/>
      <c r="Q205" s="61"/>
      <c r="R205" s="61"/>
      <c r="S205" s="62"/>
      <c r="T205" s="63"/>
      <c r="U205" s="63">
        <f t="shared" si="85"/>
        <v>4242.6503759398474</v>
      </c>
      <c r="V205" s="64"/>
      <c r="W205" s="60"/>
      <c r="X205" s="61"/>
      <c r="Y205" s="61"/>
      <c r="Z205" s="61"/>
      <c r="AA205" s="65"/>
      <c r="AB205" s="65"/>
      <c r="AC205" s="66"/>
      <c r="AD205" s="67">
        <f t="shared" si="86"/>
        <v>0</v>
      </c>
      <c r="AE205" s="67">
        <f t="shared" si="87"/>
        <v>0</v>
      </c>
      <c r="AF205" s="67">
        <f t="shared" si="88"/>
        <v>0</v>
      </c>
      <c r="AG205" s="67">
        <f t="shared" si="89"/>
        <v>0</v>
      </c>
      <c r="AH205" s="67">
        <f t="shared" si="90"/>
        <v>0</v>
      </c>
      <c r="AI205" s="67">
        <f t="shared" si="91"/>
        <v>0</v>
      </c>
      <c r="AJ205" s="66"/>
      <c r="AK205" s="68"/>
      <c r="AL205" s="69"/>
      <c r="AM205" s="69"/>
      <c r="AN205" s="69"/>
      <c r="AO205" s="70"/>
      <c r="AP205" s="70"/>
      <c r="AQ205" s="66"/>
      <c r="AR205" s="70" t="s">
        <v>780</v>
      </c>
      <c r="AS205" s="66"/>
      <c r="AT205" s="108">
        <v>0</v>
      </c>
      <c r="AU205" s="109">
        <v>0</v>
      </c>
      <c r="AV205" s="109">
        <v>0</v>
      </c>
      <c r="AW205" s="109">
        <v>0</v>
      </c>
      <c r="AX205" s="110">
        <v>12499.96</v>
      </c>
      <c r="AY205" s="110">
        <v>20236.699999999997</v>
      </c>
    </row>
    <row r="206" spans="1:51" x14ac:dyDescent="0.25">
      <c r="A206" s="8">
        <v>5964</v>
      </c>
      <c r="B206" s="5" t="s">
        <v>132</v>
      </c>
      <c r="C206" s="2">
        <v>2.71</v>
      </c>
      <c r="D206" s="24">
        <v>400</v>
      </c>
      <c r="E206" s="26">
        <f t="shared" si="83"/>
        <v>200</v>
      </c>
      <c r="F206" s="26">
        <v>160</v>
      </c>
      <c r="G206" s="30">
        <f t="shared" si="84"/>
        <v>1.25</v>
      </c>
      <c r="H206" s="11"/>
      <c r="I206" s="9">
        <v>0</v>
      </c>
      <c r="J206" s="3">
        <v>0</v>
      </c>
      <c r="K206" s="3">
        <v>0</v>
      </c>
      <c r="L206" s="3">
        <v>266</v>
      </c>
      <c r="M206" s="6">
        <v>202</v>
      </c>
      <c r="N206" s="6">
        <v>0</v>
      </c>
      <c r="O206" s="13"/>
      <c r="P206" s="60">
        <f t="shared" ref="P206:P221" si="97">+I206*C206</f>
        <v>0</v>
      </c>
      <c r="Q206" s="61">
        <f t="shared" ref="Q206:Q221" si="98">+J206*C206</f>
        <v>0</v>
      </c>
      <c r="R206" s="61">
        <f t="shared" ref="R206:R221" si="99">+K206*C206</f>
        <v>0</v>
      </c>
      <c r="S206" s="62">
        <f t="shared" ref="S206:S221" si="100">+L206*C206</f>
        <v>720.86</v>
      </c>
      <c r="T206" s="63">
        <f t="shared" ref="T206:T221" si="101">+M206*C206</f>
        <v>547.41999999999996</v>
      </c>
      <c r="U206" s="63">
        <f t="shared" si="85"/>
        <v>0</v>
      </c>
      <c r="V206" s="64"/>
      <c r="W206" s="60">
        <v>117</v>
      </c>
      <c r="X206" s="61">
        <v>169</v>
      </c>
      <c r="Y206" s="61">
        <v>99</v>
      </c>
      <c r="Z206" s="61">
        <v>67</v>
      </c>
      <c r="AA206" s="65">
        <v>110</v>
      </c>
      <c r="AB206" s="65">
        <v>151</v>
      </c>
      <c r="AC206" s="66"/>
      <c r="AD206" s="67">
        <f t="shared" si="86"/>
        <v>0.73124999999999996</v>
      </c>
      <c r="AE206" s="67">
        <f t="shared" si="87"/>
        <v>1.0562499999999999</v>
      </c>
      <c r="AF206" s="67">
        <f t="shared" si="88"/>
        <v>0.61875000000000002</v>
      </c>
      <c r="AG206" s="67">
        <f t="shared" si="89"/>
        <v>0.41875000000000001</v>
      </c>
      <c r="AH206" s="67">
        <f t="shared" si="90"/>
        <v>0.6875</v>
      </c>
      <c r="AI206" s="67">
        <f t="shared" si="91"/>
        <v>0.94374999999999998</v>
      </c>
      <c r="AJ206" s="66"/>
      <c r="AK206" s="68">
        <v>101.79</v>
      </c>
      <c r="AL206" s="69">
        <v>382.98</v>
      </c>
      <c r="AM206" s="69">
        <v>382.98</v>
      </c>
      <c r="AN206" s="69">
        <v>515.14999999999986</v>
      </c>
      <c r="AO206" s="70">
        <v>145.07</v>
      </c>
      <c r="AP206" s="70">
        <v>246.45</v>
      </c>
      <c r="AQ206" s="66"/>
      <c r="AR206" s="70" t="s">
        <v>779</v>
      </c>
      <c r="AS206" s="66"/>
      <c r="AT206" s="108">
        <v>0</v>
      </c>
      <c r="AU206" s="109">
        <v>0</v>
      </c>
      <c r="AV206" s="109">
        <v>0</v>
      </c>
      <c r="AW206" s="109">
        <v>0</v>
      </c>
      <c r="AX206" s="110">
        <v>0</v>
      </c>
      <c r="AY206" s="110">
        <v>0</v>
      </c>
    </row>
    <row r="207" spans="1:51" x14ac:dyDescent="0.25">
      <c r="A207" s="8" t="s">
        <v>150</v>
      </c>
      <c r="B207" s="5" t="s">
        <v>151</v>
      </c>
      <c r="C207" s="2">
        <v>2.67</v>
      </c>
      <c r="D207" s="24">
        <v>600</v>
      </c>
      <c r="E207" s="26">
        <f t="shared" si="83"/>
        <v>300</v>
      </c>
      <c r="F207" s="26">
        <v>251</v>
      </c>
      <c r="G207" s="30">
        <f t="shared" si="84"/>
        <v>1.1952191235059761</v>
      </c>
      <c r="H207" s="11"/>
      <c r="I207" s="9">
        <v>167</v>
      </c>
      <c r="J207" s="3">
        <v>550</v>
      </c>
      <c r="K207" s="3">
        <v>224</v>
      </c>
      <c r="L207" s="3">
        <v>289</v>
      </c>
      <c r="M207" s="6">
        <v>132</v>
      </c>
      <c r="N207" s="6">
        <v>377</v>
      </c>
      <c r="O207" s="13"/>
      <c r="P207" s="60">
        <f t="shared" si="97"/>
        <v>445.89</v>
      </c>
      <c r="Q207" s="61">
        <f t="shared" si="98"/>
        <v>1468.5</v>
      </c>
      <c r="R207" s="61">
        <f t="shared" si="99"/>
        <v>598.07999999999993</v>
      </c>
      <c r="S207" s="62">
        <f t="shared" si="100"/>
        <v>771.63</v>
      </c>
      <c r="T207" s="63">
        <f t="shared" si="101"/>
        <v>352.44</v>
      </c>
      <c r="U207" s="63">
        <f t="shared" si="85"/>
        <v>1006.5899999999999</v>
      </c>
      <c r="V207" s="64"/>
      <c r="W207" s="60">
        <v>230</v>
      </c>
      <c r="X207" s="61">
        <v>688</v>
      </c>
      <c r="Y207" s="61">
        <v>415</v>
      </c>
      <c r="Z207" s="61">
        <v>864</v>
      </c>
      <c r="AA207" s="65">
        <v>406</v>
      </c>
      <c r="AB207" s="65">
        <v>674</v>
      </c>
      <c r="AC207" s="66"/>
      <c r="AD207" s="67">
        <f t="shared" si="86"/>
        <v>0.91633466135458164</v>
      </c>
      <c r="AE207" s="67">
        <f t="shared" si="87"/>
        <v>2.741035856573705</v>
      </c>
      <c r="AF207" s="67">
        <f t="shared" si="88"/>
        <v>1.653386454183267</v>
      </c>
      <c r="AG207" s="67">
        <f t="shared" si="89"/>
        <v>3.4422310756972112</v>
      </c>
      <c r="AH207" s="67">
        <f t="shared" si="90"/>
        <v>1.6175298804780875</v>
      </c>
      <c r="AI207" s="67">
        <f t="shared" si="91"/>
        <v>2.6852589641434261</v>
      </c>
      <c r="AJ207" s="66"/>
      <c r="AK207" s="68">
        <v>572.68000000000006</v>
      </c>
      <c r="AL207" s="69">
        <v>2124.6799999999971</v>
      </c>
      <c r="AM207" s="69">
        <v>2124.6799999999971</v>
      </c>
      <c r="AN207" s="69">
        <v>1469.4299999999998</v>
      </c>
      <c r="AO207" s="70">
        <v>2908.18</v>
      </c>
      <c r="AP207" s="70">
        <v>1666.67</v>
      </c>
      <c r="AQ207" s="66"/>
      <c r="AR207" s="70" t="s">
        <v>779</v>
      </c>
      <c r="AS207" s="66"/>
      <c r="AT207" s="108">
        <v>959.04</v>
      </c>
      <c r="AU207" s="109">
        <v>3185.74</v>
      </c>
      <c r="AV207" s="109">
        <v>1300.6300000000001</v>
      </c>
      <c r="AW207" s="109">
        <v>1674.17</v>
      </c>
      <c r="AX207" s="110">
        <v>768.48</v>
      </c>
      <c r="AY207" s="110">
        <v>2143.21</v>
      </c>
    </row>
    <row r="208" spans="1:51" x14ac:dyDescent="0.25">
      <c r="A208" s="8">
        <v>5574</v>
      </c>
      <c r="B208" s="5" t="s">
        <v>199</v>
      </c>
      <c r="C208" s="2">
        <v>2.6499999999999995</v>
      </c>
      <c r="D208" s="24">
        <v>1000</v>
      </c>
      <c r="E208" s="26">
        <f t="shared" si="83"/>
        <v>500</v>
      </c>
      <c r="F208" s="26">
        <v>591</v>
      </c>
      <c r="G208" s="30">
        <f t="shared" si="84"/>
        <v>0.84602368866328259</v>
      </c>
      <c r="H208" s="11"/>
      <c r="I208" s="9">
        <v>935</v>
      </c>
      <c r="J208" s="3">
        <v>634</v>
      </c>
      <c r="K208" s="3">
        <v>0</v>
      </c>
      <c r="L208" s="3">
        <v>0</v>
      </c>
      <c r="M208" s="6"/>
      <c r="N208" s="6">
        <v>160</v>
      </c>
      <c r="O208" s="13"/>
      <c r="P208" s="60">
        <f t="shared" si="97"/>
        <v>2477.7499999999995</v>
      </c>
      <c r="Q208" s="61">
        <f t="shared" si="98"/>
        <v>1680.0999999999997</v>
      </c>
      <c r="R208" s="61">
        <f t="shared" si="99"/>
        <v>0</v>
      </c>
      <c r="S208" s="62">
        <f t="shared" si="100"/>
        <v>0</v>
      </c>
      <c r="T208" s="63">
        <f t="shared" si="101"/>
        <v>0</v>
      </c>
      <c r="U208" s="63">
        <f t="shared" si="85"/>
        <v>423.99999999999989</v>
      </c>
      <c r="V208" s="64"/>
      <c r="W208" s="60">
        <v>515</v>
      </c>
      <c r="X208" s="61">
        <v>264</v>
      </c>
      <c r="Y208" s="61">
        <v>350</v>
      </c>
      <c r="Z208" s="61">
        <v>486</v>
      </c>
      <c r="AA208" s="65">
        <v>341</v>
      </c>
      <c r="AB208" s="65">
        <v>288</v>
      </c>
      <c r="AC208" s="66"/>
      <c r="AD208" s="67">
        <f t="shared" si="86"/>
        <v>0.87140439932318103</v>
      </c>
      <c r="AE208" s="67">
        <f t="shared" si="87"/>
        <v>0.4467005076142132</v>
      </c>
      <c r="AF208" s="67">
        <f t="shared" si="88"/>
        <v>0.59221658206429784</v>
      </c>
      <c r="AG208" s="67">
        <f t="shared" si="89"/>
        <v>0.82233502538071068</v>
      </c>
      <c r="AH208" s="67">
        <f t="shared" si="90"/>
        <v>0.5769881556683587</v>
      </c>
      <c r="AI208" s="67">
        <f t="shared" si="91"/>
        <v>0.48730964467005078</v>
      </c>
      <c r="AJ208" s="66"/>
      <c r="AK208" s="68">
        <v>266.16000000000003</v>
      </c>
      <c r="AL208" s="69">
        <v>135.41999999999996</v>
      </c>
      <c r="AM208" s="69">
        <v>135.41999999999996</v>
      </c>
      <c r="AN208" s="69">
        <v>140.14999999999989</v>
      </c>
      <c r="AO208" s="70">
        <v>238.409999999999</v>
      </c>
      <c r="AP208" s="70">
        <v>181.25</v>
      </c>
      <c r="AQ208" s="66"/>
      <c r="AR208" s="70" t="s">
        <v>779</v>
      </c>
      <c r="AS208" s="66"/>
      <c r="AT208" s="108">
        <v>6207</v>
      </c>
      <c r="AU208" s="109">
        <v>4236.4500000000007</v>
      </c>
      <c r="AV208" s="109">
        <v>0</v>
      </c>
      <c r="AW208" s="109">
        <v>0</v>
      </c>
      <c r="AX208" s="110">
        <v>0</v>
      </c>
      <c r="AY208" s="110">
        <v>1062.4000000000001</v>
      </c>
    </row>
    <row r="209" spans="1:51" x14ac:dyDescent="0.25">
      <c r="A209" s="8" t="s">
        <v>172</v>
      </c>
      <c r="B209" s="5" t="s">
        <v>173</v>
      </c>
      <c r="C209" s="2">
        <v>2.6400000000000006</v>
      </c>
      <c r="D209" s="24">
        <v>200</v>
      </c>
      <c r="E209" s="26">
        <f t="shared" si="83"/>
        <v>100</v>
      </c>
      <c r="F209" s="26">
        <v>196</v>
      </c>
      <c r="G209" s="30">
        <f t="shared" si="84"/>
        <v>0.51020408163265307</v>
      </c>
      <c r="H209" s="11"/>
      <c r="I209" s="9">
        <v>0</v>
      </c>
      <c r="J209" s="3">
        <v>0</v>
      </c>
      <c r="K209" s="3">
        <v>95</v>
      </c>
      <c r="L209" s="3">
        <v>220</v>
      </c>
      <c r="M209" s="6">
        <v>110</v>
      </c>
      <c r="N209" s="6">
        <v>0</v>
      </c>
      <c r="O209" s="13"/>
      <c r="P209" s="60">
        <f t="shared" si="97"/>
        <v>0</v>
      </c>
      <c r="Q209" s="61">
        <f t="shared" si="98"/>
        <v>0</v>
      </c>
      <c r="R209" s="61">
        <f t="shared" si="99"/>
        <v>250.80000000000007</v>
      </c>
      <c r="S209" s="62">
        <f t="shared" si="100"/>
        <v>580.80000000000018</v>
      </c>
      <c r="T209" s="63">
        <f t="shared" si="101"/>
        <v>290.40000000000009</v>
      </c>
      <c r="U209" s="63">
        <f t="shared" si="85"/>
        <v>0</v>
      </c>
      <c r="V209" s="64"/>
      <c r="W209" s="60">
        <v>151</v>
      </c>
      <c r="X209" s="61">
        <v>12</v>
      </c>
      <c r="Y209" s="61">
        <v>0</v>
      </c>
      <c r="Z209" s="61">
        <v>45</v>
      </c>
      <c r="AA209" s="65">
        <v>36</v>
      </c>
      <c r="AB209" s="65">
        <v>156</v>
      </c>
      <c r="AC209" s="66"/>
      <c r="AD209" s="67">
        <f t="shared" si="86"/>
        <v>0.77040816326530615</v>
      </c>
      <c r="AE209" s="67">
        <f t="shared" si="87"/>
        <v>6.1224489795918366E-2</v>
      </c>
      <c r="AF209" s="67">
        <f t="shared" si="88"/>
        <v>0</v>
      </c>
      <c r="AG209" s="67">
        <f t="shared" si="89"/>
        <v>0.22959183673469388</v>
      </c>
      <c r="AH209" s="67">
        <f t="shared" si="90"/>
        <v>0.18367346938775511</v>
      </c>
      <c r="AI209" s="67">
        <f t="shared" si="91"/>
        <v>0.79591836734693877</v>
      </c>
      <c r="AJ209" s="66"/>
      <c r="AK209" s="68">
        <v>284.43000000000012</v>
      </c>
      <c r="AL209" s="69">
        <v>30.72</v>
      </c>
      <c r="AM209" s="69">
        <v>30.72</v>
      </c>
      <c r="AN209" s="69">
        <v>118.80000000000003</v>
      </c>
      <c r="AO209" s="70">
        <v>118.52999999999901</v>
      </c>
      <c r="AP209" s="70">
        <v>402.49</v>
      </c>
      <c r="AQ209" s="66"/>
      <c r="AR209" s="70" t="s">
        <v>779</v>
      </c>
      <c r="AS209" s="66"/>
      <c r="AT209" s="108">
        <v>0</v>
      </c>
      <c r="AU209" s="109">
        <v>0</v>
      </c>
      <c r="AV209" s="109">
        <v>534.54999999999995</v>
      </c>
      <c r="AW209" s="109">
        <v>1249.8</v>
      </c>
      <c r="AX209" s="110">
        <v>630.29999999999995</v>
      </c>
      <c r="AY209" s="110">
        <v>0</v>
      </c>
    </row>
    <row r="210" spans="1:51" x14ac:dyDescent="0.25">
      <c r="A210" s="8">
        <v>365</v>
      </c>
      <c r="B210" s="5" t="s">
        <v>454</v>
      </c>
      <c r="C210" s="2">
        <v>2.620000000000001</v>
      </c>
      <c r="D210" s="24">
        <v>1000</v>
      </c>
      <c r="E210" s="26">
        <f t="shared" si="83"/>
        <v>500</v>
      </c>
      <c r="F210" s="26">
        <v>13382</v>
      </c>
      <c r="G210" s="30">
        <f t="shared" si="84"/>
        <v>3.7363622776864447E-2</v>
      </c>
      <c r="H210" s="11"/>
      <c r="I210" s="9">
        <v>200</v>
      </c>
      <c r="J210" s="3">
        <v>0</v>
      </c>
      <c r="K210" s="3">
        <v>750</v>
      </c>
      <c r="L210" s="3">
        <v>290</v>
      </c>
      <c r="M210" s="6">
        <v>1000</v>
      </c>
      <c r="N210" s="6">
        <v>0</v>
      </c>
      <c r="O210" s="13"/>
      <c r="P210" s="60">
        <f t="shared" si="97"/>
        <v>524.00000000000023</v>
      </c>
      <c r="Q210" s="61">
        <f t="shared" si="98"/>
        <v>0</v>
      </c>
      <c r="R210" s="61">
        <f t="shared" si="99"/>
        <v>1965.0000000000007</v>
      </c>
      <c r="S210" s="62">
        <f t="shared" si="100"/>
        <v>759.8000000000003</v>
      </c>
      <c r="T210" s="63">
        <f t="shared" si="101"/>
        <v>2620.0000000000009</v>
      </c>
      <c r="U210" s="63">
        <f t="shared" si="85"/>
        <v>0</v>
      </c>
      <c r="V210" s="64"/>
      <c r="W210" s="60">
        <v>0</v>
      </c>
      <c r="X210" s="61">
        <v>332</v>
      </c>
      <c r="Y210" s="61">
        <v>16</v>
      </c>
      <c r="Z210" s="61">
        <v>505</v>
      </c>
      <c r="AA210" s="65">
        <v>566</v>
      </c>
      <c r="AB210" s="65">
        <v>877</v>
      </c>
      <c r="AC210" s="66"/>
      <c r="AD210" s="67">
        <f t="shared" si="86"/>
        <v>0</v>
      </c>
      <c r="AE210" s="67">
        <f t="shared" si="87"/>
        <v>2.480944552383799E-2</v>
      </c>
      <c r="AF210" s="67">
        <f t="shared" si="88"/>
        <v>1.1956359288596622E-3</v>
      </c>
      <c r="AG210" s="67">
        <f t="shared" si="89"/>
        <v>3.7737259004633088E-2</v>
      </c>
      <c r="AH210" s="67">
        <f t="shared" si="90"/>
        <v>4.2295620983410553E-2</v>
      </c>
      <c r="AI210" s="67">
        <f t="shared" si="91"/>
        <v>6.5535794350620236E-2</v>
      </c>
      <c r="AJ210" s="66"/>
      <c r="AK210" s="68">
        <v>0</v>
      </c>
      <c r="AL210" s="69">
        <v>1116.109999999996</v>
      </c>
      <c r="AM210" s="69">
        <v>1116.1099999999958</v>
      </c>
      <c r="AN210" s="69">
        <v>45.72</v>
      </c>
      <c r="AO210" s="70">
        <v>1784.76999999999</v>
      </c>
      <c r="AP210" s="70">
        <v>2111.2799999999802</v>
      </c>
      <c r="AQ210" s="66"/>
      <c r="AR210" s="70" t="s">
        <v>780</v>
      </c>
      <c r="AS210" s="66"/>
      <c r="AT210" s="108">
        <v>4172</v>
      </c>
      <c r="AU210" s="109">
        <v>0</v>
      </c>
      <c r="AV210" s="109">
        <v>18510</v>
      </c>
      <c r="AW210" s="109">
        <v>6751.8</v>
      </c>
      <c r="AX210" s="110">
        <v>24670</v>
      </c>
      <c r="AY210" s="110">
        <v>0</v>
      </c>
    </row>
    <row r="211" spans="1:51" x14ac:dyDescent="0.25">
      <c r="A211" s="8" t="s">
        <v>287</v>
      </c>
      <c r="B211" s="5" t="s">
        <v>288</v>
      </c>
      <c r="C211" s="2">
        <v>2.6099999999999994</v>
      </c>
      <c r="D211" s="24">
        <v>4000</v>
      </c>
      <c r="E211" s="26">
        <f t="shared" si="83"/>
        <v>2000</v>
      </c>
      <c r="F211" s="26">
        <v>6983</v>
      </c>
      <c r="G211" s="30">
        <f t="shared" si="84"/>
        <v>0.28640985249892598</v>
      </c>
      <c r="H211" s="11"/>
      <c r="I211" s="9">
        <v>640</v>
      </c>
      <c r="J211" s="3">
        <v>2210</v>
      </c>
      <c r="K211" s="3">
        <v>1099</v>
      </c>
      <c r="L211" s="3">
        <v>1540</v>
      </c>
      <c r="M211" s="6">
        <v>731</v>
      </c>
      <c r="N211" s="6">
        <v>961</v>
      </c>
      <c r="O211" s="13"/>
      <c r="P211" s="60">
        <f t="shared" si="97"/>
        <v>1670.3999999999996</v>
      </c>
      <c r="Q211" s="61">
        <f t="shared" si="98"/>
        <v>5768.0999999999985</v>
      </c>
      <c r="R211" s="61">
        <f t="shared" si="99"/>
        <v>2868.3899999999994</v>
      </c>
      <c r="S211" s="62">
        <f t="shared" si="100"/>
        <v>4019.3999999999992</v>
      </c>
      <c r="T211" s="63">
        <f t="shared" si="101"/>
        <v>1907.9099999999996</v>
      </c>
      <c r="U211" s="63">
        <f t="shared" si="85"/>
        <v>2508.2099999999996</v>
      </c>
      <c r="V211" s="64"/>
      <c r="W211" s="60">
        <v>2595</v>
      </c>
      <c r="X211" s="61">
        <v>2151</v>
      </c>
      <c r="Y211" s="61">
        <v>1355</v>
      </c>
      <c r="Z211" s="61">
        <v>1810</v>
      </c>
      <c r="AA211" s="65">
        <v>1761</v>
      </c>
      <c r="AB211" s="65">
        <v>500</v>
      </c>
      <c r="AC211" s="66"/>
      <c r="AD211" s="67">
        <f t="shared" si="86"/>
        <v>0.37161678361735645</v>
      </c>
      <c r="AE211" s="67">
        <f t="shared" si="87"/>
        <v>0.30803379636259487</v>
      </c>
      <c r="AF211" s="67">
        <f t="shared" si="88"/>
        <v>0.19404267506802234</v>
      </c>
      <c r="AG211" s="67">
        <f t="shared" si="89"/>
        <v>0.25920091651152799</v>
      </c>
      <c r="AH211" s="67">
        <f t="shared" si="90"/>
        <v>0.25218387512530432</v>
      </c>
      <c r="AI211" s="67">
        <f t="shared" si="91"/>
        <v>7.1602463124731494E-2</v>
      </c>
      <c r="AJ211" s="66"/>
      <c r="AK211" s="68">
        <v>4702.6399999999958</v>
      </c>
      <c r="AL211" s="69">
        <v>3592.3799999999942</v>
      </c>
      <c r="AM211" s="69">
        <v>3592.3799999999942</v>
      </c>
      <c r="AN211" s="69">
        <v>2443.1399999999931</v>
      </c>
      <c r="AO211" s="70">
        <v>3336.3199999999902</v>
      </c>
      <c r="AP211" s="70">
        <v>1050</v>
      </c>
      <c r="AQ211" s="66"/>
      <c r="AR211" s="70" t="s">
        <v>779</v>
      </c>
      <c r="AS211" s="66"/>
      <c r="AT211" s="108">
        <v>6583.2</v>
      </c>
      <c r="AU211" s="109">
        <v>22807.619999999995</v>
      </c>
      <c r="AV211" s="109">
        <v>11296.14</v>
      </c>
      <c r="AW211" s="109">
        <v>16133.650000000001</v>
      </c>
      <c r="AX211" s="110">
        <v>7523.57</v>
      </c>
      <c r="AY211" s="110">
        <v>10101.599999999999</v>
      </c>
    </row>
    <row r="212" spans="1:51" x14ac:dyDescent="0.25">
      <c r="A212" s="8">
        <v>5226</v>
      </c>
      <c r="B212" s="5" t="s">
        <v>359</v>
      </c>
      <c r="C212" s="2">
        <v>2.5099999999999998</v>
      </c>
      <c r="D212" s="24">
        <v>1500</v>
      </c>
      <c r="E212" s="26">
        <f t="shared" si="83"/>
        <v>750</v>
      </c>
      <c r="F212" s="26">
        <v>1982</v>
      </c>
      <c r="G212" s="30">
        <f t="shared" si="84"/>
        <v>0.37840565085771949</v>
      </c>
      <c r="H212" s="11"/>
      <c r="I212" s="9">
        <v>1200</v>
      </c>
      <c r="J212" s="3">
        <v>0</v>
      </c>
      <c r="K212" s="3">
        <v>0</v>
      </c>
      <c r="L212" s="3">
        <v>0</v>
      </c>
      <c r="M212" s="6"/>
      <c r="N212" s="6">
        <v>0</v>
      </c>
      <c r="O212" s="13"/>
      <c r="P212" s="60">
        <f t="shared" si="97"/>
        <v>3011.9999999999995</v>
      </c>
      <c r="Q212" s="61">
        <f t="shared" si="98"/>
        <v>0</v>
      </c>
      <c r="R212" s="61">
        <f t="shared" si="99"/>
        <v>0</v>
      </c>
      <c r="S212" s="62">
        <f t="shared" si="100"/>
        <v>0</v>
      </c>
      <c r="T212" s="63">
        <f t="shared" si="101"/>
        <v>0</v>
      </c>
      <c r="U212" s="63">
        <f t="shared" si="85"/>
        <v>0</v>
      </c>
      <c r="V212" s="64"/>
      <c r="W212" s="60">
        <v>932</v>
      </c>
      <c r="X212" s="61">
        <v>1331</v>
      </c>
      <c r="Y212" s="61">
        <v>1173</v>
      </c>
      <c r="Z212" s="61">
        <v>508</v>
      </c>
      <c r="AA212" s="65">
        <v>763</v>
      </c>
      <c r="AB212" s="65">
        <v>750</v>
      </c>
      <c r="AC212" s="66"/>
      <c r="AD212" s="67">
        <f t="shared" si="86"/>
        <v>0.47023208879919276</v>
      </c>
      <c r="AE212" s="67">
        <f t="shared" si="87"/>
        <v>0.6715438950554995</v>
      </c>
      <c r="AF212" s="67">
        <f t="shared" si="88"/>
        <v>0.59182643794147327</v>
      </c>
      <c r="AG212" s="67">
        <f t="shared" si="89"/>
        <v>0.25630676084762866</v>
      </c>
      <c r="AH212" s="67">
        <f t="shared" si="90"/>
        <v>0.38496468213925328</v>
      </c>
      <c r="AI212" s="67">
        <f t="shared" si="91"/>
        <v>0.37840565085771949</v>
      </c>
      <c r="AJ212" s="66"/>
      <c r="AK212" s="68">
        <v>2968.78</v>
      </c>
      <c r="AL212" s="69">
        <v>4103.1899999999914</v>
      </c>
      <c r="AM212" s="69">
        <v>4103.1899999999914</v>
      </c>
      <c r="AN212" s="69">
        <v>3492.8699999999931</v>
      </c>
      <c r="AO212" s="70">
        <v>1715.57</v>
      </c>
      <c r="AP212" s="70">
        <v>1443.57</v>
      </c>
      <c r="AQ212" s="66"/>
      <c r="AR212" s="70" t="s">
        <v>779</v>
      </c>
      <c r="AS212" s="66"/>
      <c r="AT212" s="108">
        <v>16380</v>
      </c>
      <c r="AU212" s="109">
        <v>0</v>
      </c>
      <c r="AV212" s="109">
        <v>0</v>
      </c>
      <c r="AW212" s="109">
        <v>0</v>
      </c>
      <c r="AX212" s="110">
        <v>0</v>
      </c>
      <c r="AY212" s="110">
        <v>0</v>
      </c>
    </row>
    <row r="213" spans="1:51" x14ac:dyDescent="0.25">
      <c r="A213" s="8" t="s">
        <v>650</v>
      </c>
      <c r="B213" s="5" t="s">
        <v>651</v>
      </c>
      <c r="C213" s="2">
        <v>2.5</v>
      </c>
      <c r="D213" s="24">
        <v>400</v>
      </c>
      <c r="E213" s="26">
        <f t="shared" si="83"/>
        <v>200</v>
      </c>
      <c r="F213" s="26">
        <v>1859</v>
      </c>
      <c r="G213" s="30">
        <f t="shared" si="84"/>
        <v>0.10758472296933835</v>
      </c>
      <c r="H213" s="11"/>
      <c r="I213" s="9">
        <v>0</v>
      </c>
      <c r="J213" s="3">
        <v>191</v>
      </c>
      <c r="K213" s="3">
        <v>409</v>
      </c>
      <c r="L213" s="3">
        <v>331</v>
      </c>
      <c r="M213" s="6">
        <v>81</v>
      </c>
      <c r="N213" s="6">
        <v>186</v>
      </c>
      <c r="O213" s="13"/>
      <c r="P213" s="60">
        <f t="shared" si="97"/>
        <v>0</v>
      </c>
      <c r="Q213" s="61">
        <f t="shared" si="98"/>
        <v>477.5</v>
      </c>
      <c r="R213" s="61">
        <f t="shared" si="99"/>
        <v>1022.5</v>
      </c>
      <c r="S213" s="62">
        <f t="shared" si="100"/>
        <v>827.5</v>
      </c>
      <c r="T213" s="63">
        <f t="shared" si="101"/>
        <v>202.5</v>
      </c>
      <c r="U213" s="63">
        <f t="shared" si="85"/>
        <v>465</v>
      </c>
      <c r="V213" s="64"/>
      <c r="W213" s="60">
        <v>260</v>
      </c>
      <c r="X213" s="61">
        <v>330</v>
      </c>
      <c r="Y213" s="61">
        <v>54</v>
      </c>
      <c r="Z213" s="61">
        <v>129</v>
      </c>
      <c r="AA213" s="65">
        <v>127</v>
      </c>
      <c r="AB213" s="65">
        <v>527</v>
      </c>
      <c r="AC213" s="66"/>
      <c r="AD213" s="67">
        <f t="shared" si="86"/>
        <v>0.13986013986013987</v>
      </c>
      <c r="AE213" s="67">
        <f t="shared" si="87"/>
        <v>0.17751479289940827</v>
      </c>
      <c r="AF213" s="67">
        <f t="shared" si="88"/>
        <v>2.9047875201721356E-2</v>
      </c>
      <c r="AG213" s="67">
        <f t="shared" si="89"/>
        <v>6.9392146315223238E-2</v>
      </c>
      <c r="AH213" s="67">
        <f t="shared" si="90"/>
        <v>6.8316299085529858E-2</v>
      </c>
      <c r="AI213" s="67">
        <f t="shared" si="91"/>
        <v>0.28348574502420654</v>
      </c>
      <c r="AJ213" s="66"/>
      <c r="AK213" s="68">
        <v>1536.6899999999989</v>
      </c>
      <c r="AL213" s="69">
        <v>2076.9699999999953</v>
      </c>
      <c r="AM213" s="69">
        <v>2076.9699999999948</v>
      </c>
      <c r="AN213" s="69">
        <v>846.46999999999696</v>
      </c>
      <c r="AO213" s="70">
        <v>1396.69999999999</v>
      </c>
      <c r="AP213" s="70">
        <v>1031.6599999999901</v>
      </c>
      <c r="AQ213" s="66"/>
      <c r="AR213" s="70" t="s">
        <v>780</v>
      </c>
      <c r="AS213" s="66"/>
      <c r="AT213" s="108">
        <v>0</v>
      </c>
      <c r="AU213" s="109">
        <v>14232.779999999999</v>
      </c>
      <c r="AV213" s="109">
        <v>30508.190000000002</v>
      </c>
      <c r="AW213" s="109">
        <v>24183.309999999998</v>
      </c>
      <c r="AX213" s="110">
        <v>5869.9400000000005</v>
      </c>
      <c r="AY213" s="110">
        <v>13391</v>
      </c>
    </row>
    <row r="214" spans="1:51" x14ac:dyDescent="0.25">
      <c r="A214" s="8" t="s">
        <v>445</v>
      </c>
      <c r="B214" s="5" t="s">
        <v>446</v>
      </c>
      <c r="C214" s="2">
        <v>2.4800000000000004</v>
      </c>
      <c r="D214" s="24">
        <v>243.2</v>
      </c>
      <c r="E214" s="26">
        <f t="shared" si="83"/>
        <v>121.6</v>
      </c>
      <c r="F214" s="26">
        <v>685</v>
      </c>
      <c r="G214" s="30">
        <f t="shared" si="84"/>
        <v>0.17751824817518247</v>
      </c>
      <c r="H214" s="11"/>
      <c r="I214" s="9">
        <v>0</v>
      </c>
      <c r="J214" s="3">
        <v>0</v>
      </c>
      <c r="K214" s="3">
        <v>0</v>
      </c>
      <c r="L214" s="3">
        <v>0</v>
      </c>
      <c r="M214" s="6"/>
      <c r="N214" s="6">
        <v>500</v>
      </c>
      <c r="O214" s="13"/>
      <c r="P214" s="60">
        <f t="shared" si="97"/>
        <v>0</v>
      </c>
      <c r="Q214" s="61">
        <f t="shared" si="98"/>
        <v>0</v>
      </c>
      <c r="R214" s="61">
        <f t="shared" si="99"/>
        <v>0</v>
      </c>
      <c r="S214" s="62">
        <f t="shared" si="100"/>
        <v>0</v>
      </c>
      <c r="T214" s="63">
        <f t="shared" si="101"/>
        <v>0</v>
      </c>
      <c r="U214" s="63">
        <f t="shared" si="85"/>
        <v>1240.0000000000002</v>
      </c>
      <c r="V214" s="64"/>
      <c r="W214" s="60">
        <v>55</v>
      </c>
      <c r="X214" s="61">
        <v>168</v>
      </c>
      <c r="Y214" s="61">
        <v>276</v>
      </c>
      <c r="Z214" s="61">
        <v>109</v>
      </c>
      <c r="AA214" s="65">
        <v>0</v>
      </c>
      <c r="AB214" s="65">
        <v>0</v>
      </c>
      <c r="AC214" s="66"/>
      <c r="AD214" s="67">
        <f t="shared" si="86"/>
        <v>8.0291970802919707E-2</v>
      </c>
      <c r="AE214" s="67">
        <f t="shared" si="87"/>
        <v>0.24525547445255474</v>
      </c>
      <c r="AF214" s="67">
        <f t="shared" si="88"/>
        <v>0.40291970802919708</v>
      </c>
      <c r="AG214" s="67">
        <f t="shared" si="89"/>
        <v>0.15912408759124089</v>
      </c>
      <c r="AH214" s="67">
        <f t="shared" si="90"/>
        <v>0</v>
      </c>
      <c r="AI214" s="67">
        <f t="shared" si="91"/>
        <v>0</v>
      </c>
      <c r="AJ214" s="66"/>
      <c r="AK214" s="68">
        <v>338.54</v>
      </c>
      <c r="AL214" s="69">
        <v>867.87999999999988</v>
      </c>
      <c r="AM214" s="69">
        <v>867.87999999999977</v>
      </c>
      <c r="AN214" s="69">
        <v>1027.3999999999996</v>
      </c>
      <c r="AO214" s="70">
        <v>271.41999999999899</v>
      </c>
      <c r="AP214" s="70">
        <v>0</v>
      </c>
      <c r="AQ214" s="66"/>
      <c r="AR214" s="70" t="s">
        <v>779</v>
      </c>
      <c r="AS214" s="66"/>
      <c r="AT214" s="108">
        <v>0</v>
      </c>
      <c r="AU214" s="109">
        <v>0</v>
      </c>
      <c r="AV214" s="109">
        <v>0</v>
      </c>
      <c r="AW214" s="109">
        <v>0</v>
      </c>
      <c r="AX214" s="110">
        <v>0</v>
      </c>
      <c r="AY214" s="110">
        <v>12455</v>
      </c>
    </row>
    <row r="215" spans="1:51" x14ac:dyDescent="0.25">
      <c r="A215" s="8">
        <v>2111</v>
      </c>
      <c r="B215" s="5" t="s">
        <v>181</v>
      </c>
      <c r="C215" s="2">
        <v>2.4500000000000002</v>
      </c>
      <c r="D215" s="24">
        <v>5057</v>
      </c>
      <c r="E215" s="26">
        <f t="shared" si="83"/>
        <v>2528.5</v>
      </c>
      <c r="F215" s="26">
        <v>25285</v>
      </c>
      <c r="G215" s="30">
        <f t="shared" si="84"/>
        <v>0.1</v>
      </c>
      <c r="H215" s="11"/>
      <c r="I215" s="9">
        <v>5013</v>
      </c>
      <c r="J215" s="3">
        <v>2814.5</v>
      </c>
      <c r="K215" s="3">
        <v>1517</v>
      </c>
      <c r="L215" s="3">
        <v>3421.5</v>
      </c>
      <c r="M215" s="6">
        <v>1171</v>
      </c>
      <c r="N215" s="6">
        <v>0</v>
      </c>
      <c r="O215" s="13"/>
      <c r="P215" s="60">
        <f t="shared" si="97"/>
        <v>12281.85</v>
      </c>
      <c r="Q215" s="61">
        <f t="shared" si="98"/>
        <v>6895.5250000000005</v>
      </c>
      <c r="R215" s="61">
        <f t="shared" si="99"/>
        <v>3716.65</v>
      </c>
      <c r="S215" s="62">
        <f t="shared" si="100"/>
        <v>8382.6750000000011</v>
      </c>
      <c r="T215" s="63">
        <f t="shared" si="101"/>
        <v>2868.9500000000003</v>
      </c>
      <c r="U215" s="63">
        <f t="shared" si="85"/>
        <v>0</v>
      </c>
      <c r="V215" s="64"/>
      <c r="W215" s="60">
        <v>3122</v>
      </c>
      <c r="X215" s="61">
        <v>3094</v>
      </c>
      <c r="Y215" s="61">
        <v>1224</v>
      </c>
      <c r="Z215" s="61">
        <v>2248</v>
      </c>
      <c r="AA215" s="65">
        <v>2463</v>
      </c>
      <c r="AB215" s="65">
        <v>1424</v>
      </c>
      <c r="AC215" s="66"/>
      <c r="AD215" s="67">
        <f t="shared" si="86"/>
        <v>0.12347241447498516</v>
      </c>
      <c r="AE215" s="67">
        <f t="shared" si="87"/>
        <v>0.12236503856041131</v>
      </c>
      <c r="AF215" s="67">
        <f t="shared" si="88"/>
        <v>4.8408147122800081E-2</v>
      </c>
      <c r="AG215" s="67">
        <f t="shared" si="89"/>
        <v>8.8906466284358318E-2</v>
      </c>
      <c r="AH215" s="67">
        <f t="shared" si="90"/>
        <v>9.7409531342693298E-2</v>
      </c>
      <c r="AI215" s="67">
        <f t="shared" si="91"/>
        <v>5.6317975084041925E-2</v>
      </c>
      <c r="AJ215" s="66"/>
      <c r="AK215" s="68">
        <v>5556.4500000000126</v>
      </c>
      <c r="AL215" s="69">
        <v>5026.7099999999928</v>
      </c>
      <c r="AM215" s="69">
        <v>5026.7099999999937</v>
      </c>
      <c r="AN215" s="69">
        <v>4116.5399999999945</v>
      </c>
      <c r="AO215" s="70">
        <v>4619.6400000000403</v>
      </c>
      <c r="AP215" s="70">
        <v>3361.3700000000099</v>
      </c>
      <c r="AQ215" s="66"/>
      <c r="AR215" s="70" t="s">
        <v>779</v>
      </c>
      <c r="AS215" s="66"/>
      <c r="AT215" s="108">
        <v>0</v>
      </c>
      <c r="AU215" s="109">
        <v>0</v>
      </c>
      <c r="AV215" s="109">
        <v>0</v>
      </c>
      <c r="AW215" s="109">
        <v>0</v>
      </c>
      <c r="AX215" s="110">
        <v>0</v>
      </c>
      <c r="AY215" s="110">
        <v>0</v>
      </c>
    </row>
    <row r="216" spans="1:51" x14ac:dyDescent="0.25">
      <c r="A216" s="8">
        <v>5296</v>
      </c>
      <c r="B216" s="5" t="s">
        <v>524</v>
      </c>
      <c r="C216" s="2">
        <v>2.4499999999999993</v>
      </c>
      <c r="D216" s="24">
        <v>4000</v>
      </c>
      <c r="E216" s="26">
        <f t="shared" si="83"/>
        <v>2000</v>
      </c>
      <c r="F216" s="26">
        <v>9377</v>
      </c>
      <c r="G216" s="30">
        <f t="shared" si="84"/>
        <v>0.21328783192918843</v>
      </c>
      <c r="H216" s="11"/>
      <c r="I216" s="9">
        <v>7188</v>
      </c>
      <c r="J216" s="3">
        <v>7181</v>
      </c>
      <c r="K216" s="3">
        <v>300</v>
      </c>
      <c r="L216" s="3">
        <v>0</v>
      </c>
      <c r="M216" s="6"/>
      <c r="N216" s="6">
        <v>0</v>
      </c>
      <c r="O216" s="13"/>
      <c r="P216" s="60">
        <f t="shared" si="97"/>
        <v>17610.599999999995</v>
      </c>
      <c r="Q216" s="61">
        <f t="shared" si="98"/>
        <v>17593.449999999993</v>
      </c>
      <c r="R216" s="61">
        <f t="shared" si="99"/>
        <v>734.99999999999977</v>
      </c>
      <c r="S216" s="62">
        <f t="shared" si="100"/>
        <v>0</v>
      </c>
      <c r="T216" s="63">
        <f t="shared" si="101"/>
        <v>0</v>
      </c>
      <c r="U216" s="63">
        <f t="shared" si="85"/>
        <v>0</v>
      </c>
      <c r="V216" s="64"/>
      <c r="W216" s="60">
        <v>1924</v>
      </c>
      <c r="X216" s="61">
        <v>1125</v>
      </c>
      <c r="Y216" s="61">
        <v>3517</v>
      </c>
      <c r="Z216" s="61">
        <v>2311</v>
      </c>
      <c r="AA216" s="65">
        <v>2232</v>
      </c>
      <c r="AB216" s="65">
        <v>3163</v>
      </c>
      <c r="AC216" s="66"/>
      <c r="AD216" s="67">
        <f t="shared" si="86"/>
        <v>0.20518289431587927</v>
      </c>
      <c r="AE216" s="67">
        <f t="shared" si="87"/>
        <v>0.11997440546016849</v>
      </c>
      <c r="AF216" s="67">
        <f t="shared" si="88"/>
        <v>0.37506665244747789</v>
      </c>
      <c r="AG216" s="67">
        <f t="shared" si="89"/>
        <v>0.24645408979417724</v>
      </c>
      <c r="AH216" s="67">
        <f t="shared" si="90"/>
        <v>0.23802922043297431</v>
      </c>
      <c r="AI216" s="67">
        <f t="shared" si="91"/>
        <v>0.3373147061960115</v>
      </c>
      <c r="AJ216" s="66"/>
      <c r="AK216" s="68">
        <v>1977.500000000005</v>
      </c>
      <c r="AL216" s="69">
        <v>2313.2799999999984</v>
      </c>
      <c r="AM216" s="69">
        <v>2313.2799999999979</v>
      </c>
      <c r="AN216" s="69">
        <v>4303.4199999999837</v>
      </c>
      <c r="AO216" s="70">
        <v>1940.26</v>
      </c>
      <c r="AP216" s="70">
        <v>5845.9399999999096</v>
      </c>
      <c r="AQ216" s="66"/>
      <c r="AR216" s="70" t="s">
        <v>780</v>
      </c>
      <c r="AS216" s="66"/>
      <c r="AT216" s="108">
        <v>250652.94</v>
      </c>
      <c r="AU216" s="109">
        <v>250853.49999999997</v>
      </c>
      <c r="AV216" s="109">
        <v>10475.5</v>
      </c>
      <c r="AW216" s="109">
        <v>0</v>
      </c>
      <c r="AX216" s="110">
        <v>0</v>
      </c>
      <c r="AY216" s="110">
        <v>0</v>
      </c>
    </row>
    <row r="217" spans="1:51" x14ac:dyDescent="0.25">
      <c r="A217" s="8">
        <v>1154</v>
      </c>
      <c r="B217" s="5" t="s">
        <v>190</v>
      </c>
      <c r="C217" s="2">
        <v>2.38</v>
      </c>
      <c r="D217" s="24">
        <v>8340.6</v>
      </c>
      <c r="E217" s="26">
        <f t="shared" si="83"/>
        <v>4170.3</v>
      </c>
      <c r="F217" s="26">
        <v>41703</v>
      </c>
      <c r="G217" s="30">
        <f t="shared" si="84"/>
        <v>0.1</v>
      </c>
      <c r="H217" s="11"/>
      <c r="I217" s="9">
        <v>3034</v>
      </c>
      <c r="J217" s="3">
        <v>3465</v>
      </c>
      <c r="K217" s="3">
        <v>3000</v>
      </c>
      <c r="L217" s="3">
        <v>3422</v>
      </c>
      <c r="M217" s="6">
        <v>2757</v>
      </c>
      <c r="N217" s="6">
        <v>1561</v>
      </c>
      <c r="O217" s="13"/>
      <c r="P217" s="60">
        <f t="shared" si="97"/>
        <v>7220.92</v>
      </c>
      <c r="Q217" s="61">
        <f t="shared" si="98"/>
        <v>8246.6999999999989</v>
      </c>
      <c r="R217" s="61">
        <f t="shared" si="99"/>
        <v>7140</v>
      </c>
      <c r="S217" s="62">
        <f t="shared" si="100"/>
        <v>8144.36</v>
      </c>
      <c r="T217" s="63">
        <f t="shared" si="101"/>
        <v>6561.66</v>
      </c>
      <c r="U217" s="63">
        <f t="shared" si="85"/>
        <v>3715.18</v>
      </c>
      <c r="V217" s="64"/>
      <c r="W217" s="60">
        <v>1840</v>
      </c>
      <c r="X217" s="61">
        <v>3778</v>
      </c>
      <c r="Y217" s="61">
        <v>1639</v>
      </c>
      <c r="Z217" s="61">
        <v>3542</v>
      </c>
      <c r="AA217" s="65">
        <v>2503</v>
      </c>
      <c r="AB217" s="65">
        <v>1000</v>
      </c>
      <c r="AC217" s="66"/>
      <c r="AD217" s="67">
        <f t="shared" si="86"/>
        <v>4.4121526029302451E-2</v>
      </c>
      <c r="AE217" s="67">
        <f t="shared" si="87"/>
        <v>9.0593002901469918E-2</v>
      </c>
      <c r="AF217" s="67">
        <f t="shared" si="88"/>
        <v>3.9301728892405824E-2</v>
      </c>
      <c r="AG217" s="67">
        <f t="shared" si="89"/>
        <v>8.4933937606407217E-2</v>
      </c>
      <c r="AH217" s="67">
        <f t="shared" si="90"/>
        <v>6.0019662853991317E-2</v>
      </c>
      <c r="AI217" s="67">
        <f t="shared" si="91"/>
        <v>2.3979090233316548E-2</v>
      </c>
      <c r="AJ217" s="66"/>
      <c r="AK217" s="68">
        <v>7376.4099999999944</v>
      </c>
      <c r="AL217" s="69">
        <v>17941.429999999978</v>
      </c>
      <c r="AM217" s="69">
        <v>17941.429999999978</v>
      </c>
      <c r="AN217" s="69">
        <v>6666.2899999999954</v>
      </c>
      <c r="AO217" s="70">
        <v>11176.110000000201</v>
      </c>
      <c r="AP217" s="70">
        <v>2359.73000000001</v>
      </c>
      <c r="AQ217" s="66"/>
      <c r="AR217" s="70" t="s">
        <v>779</v>
      </c>
      <c r="AS217" s="66"/>
      <c r="AT217" s="108">
        <v>16181.210000000001</v>
      </c>
      <c r="AU217" s="109">
        <v>3574</v>
      </c>
      <c r="AV217" s="109">
        <v>8066.14</v>
      </c>
      <c r="AW217" s="109">
        <v>0</v>
      </c>
      <c r="AX217" s="110">
        <v>4347.5</v>
      </c>
      <c r="AY217" s="110">
        <v>4255.05</v>
      </c>
    </row>
    <row r="218" spans="1:51" x14ac:dyDescent="0.25">
      <c r="A218" s="8" t="s">
        <v>161</v>
      </c>
      <c r="B218" s="5" t="s">
        <v>162</v>
      </c>
      <c r="C218" s="2">
        <v>2.38</v>
      </c>
      <c r="D218" s="24">
        <v>3000</v>
      </c>
      <c r="E218" s="26">
        <f t="shared" si="83"/>
        <v>1500</v>
      </c>
      <c r="F218" s="26">
        <v>4335</v>
      </c>
      <c r="G218" s="30">
        <f t="shared" si="84"/>
        <v>0.34602076124567471</v>
      </c>
      <c r="H218" s="11"/>
      <c r="I218" s="9">
        <v>0</v>
      </c>
      <c r="J218" s="3">
        <v>0</v>
      </c>
      <c r="K218" s="3">
        <v>0</v>
      </c>
      <c r="L218" s="3">
        <v>0</v>
      </c>
      <c r="M218" s="6"/>
      <c r="N218" s="6">
        <v>0</v>
      </c>
      <c r="O218" s="13"/>
      <c r="P218" s="60">
        <f t="shared" si="97"/>
        <v>0</v>
      </c>
      <c r="Q218" s="61">
        <f t="shared" si="98"/>
        <v>0</v>
      </c>
      <c r="R218" s="61">
        <f t="shared" si="99"/>
        <v>0</v>
      </c>
      <c r="S218" s="62">
        <f t="shared" si="100"/>
        <v>0</v>
      </c>
      <c r="T218" s="63">
        <f t="shared" si="101"/>
        <v>0</v>
      </c>
      <c r="U218" s="63">
        <f t="shared" si="85"/>
        <v>0</v>
      </c>
      <c r="V218" s="64"/>
      <c r="W218" s="60">
        <v>399</v>
      </c>
      <c r="X218" s="61">
        <v>0</v>
      </c>
      <c r="Y218" s="61">
        <v>0</v>
      </c>
      <c r="Z218" s="61">
        <v>0</v>
      </c>
      <c r="AA218" s="65">
        <v>0</v>
      </c>
      <c r="AB218" s="65">
        <v>0</v>
      </c>
      <c r="AC218" s="66"/>
      <c r="AD218" s="67">
        <f t="shared" si="86"/>
        <v>9.2041522491349476E-2</v>
      </c>
      <c r="AE218" s="67">
        <f t="shared" si="87"/>
        <v>0</v>
      </c>
      <c r="AF218" s="67">
        <f t="shared" si="88"/>
        <v>0</v>
      </c>
      <c r="AG218" s="67">
        <f t="shared" si="89"/>
        <v>0</v>
      </c>
      <c r="AH218" s="67">
        <f t="shared" si="90"/>
        <v>0</v>
      </c>
      <c r="AI218" s="67">
        <f t="shared" si="91"/>
        <v>0</v>
      </c>
      <c r="AJ218" s="66"/>
      <c r="AK218" s="68">
        <v>900.33999999999969</v>
      </c>
      <c r="AL218" s="69">
        <v>0</v>
      </c>
      <c r="AM218" s="69">
        <v>0</v>
      </c>
      <c r="AN218" s="69">
        <v>0</v>
      </c>
      <c r="AO218" s="70">
        <v>0</v>
      </c>
      <c r="AP218" s="70">
        <v>0</v>
      </c>
      <c r="AQ218" s="66"/>
      <c r="AR218" s="70" t="s">
        <v>779</v>
      </c>
      <c r="AS218" s="66"/>
      <c r="AT218" s="108">
        <v>0</v>
      </c>
      <c r="AU218" s="109">
        <v>0</v>
      </c>
      <c r="AV218" s="109">
        <v>0</v>
      </c>
      <c r="AW218" s="109">
        <v>0</v>
      </c>
      <c r="AX218" s="110">
        <v>0</v>
      </c>
      <c r="AY218" s="110">
        <v>0</v>
      </c>
    </row>
    <row r="219" spans="1:51" x14ac:dyDescent="0.25">
      <c r="A219" s="8">
        <v>5019</v>
      </c>
      <c r="B219" s="5" t="s">
        <v>493</v>
      </c>
      <c r="C219" s="2">
        <v>2.3000000000000007</v>
      </c>
      <c r="D219" s="24">
        <v>500</v>
      </c>
      <c r="E219" s="26">
        <f t="shared" si="83"/>
        <v>250</v>
      </c>
      <c r="F219" s="26">
        <v>1047</v>
      </c>
      <c r="G219" s="30">
        <f t="shared" si="84"/>
        <v>0.2387774594078319</v>
      </c>
      <c r="H219" s="11"/>
      <c r="I219" s="9">
        <v>0</v>
      </c>
      <c r="J219" s="3">
        <v>50</v>
      </c>
      <c r="K219" s="3">
        <v>608</v>
      </c>
      <c r="L219" s="3">
        <v>512</v>
      </c>
      <c r="M219" s="6">
        <v>295</v>
      </c>
      <c r="N219" s="6">
        <v>323</v>
      </c>
      <c r="O219" s="13"/>
      <c r="P219" s="60">
        <f t="shared" si="97"/>
        <v>0</v>
      </c>
      <c r="Q219" s="61">
        <f t="shared" si="98"/>
        <v>115.00000000000003</v>
      </c>
      <c r="R219" s="61">
        <f t="shared" si="99"/>
        <v>1398.4000000000005</v>
      </c>
      <c r="S219" s="62">
        <f t="shared" si="100"/>
        <v>1177.6000000000004</v>
      </c>
      <c r="T219" s="63">
        <f t="shared" si="101"/>
        <v>678.50000000000023</v>
      </c>
      <c r="U219" s="63">
        <f t="shared" si="85"/>
        <v>742.9000000000002</v>
      </c>
      <c r="V219" s="64"/>
      <c r="W219" s="60">
        <v>59</v>
      </c>
      <c r="X219" s="61">
        <v>230</v>
      </c>
      <c r="Y219" s="61">
        <v>18</v>
      </c>
      <c r="Z219" s="61">
        <v>6</v>
      </c>
      <c r="AA219" s="65">
        <v>256</v>
      </c>
      <c r="AB219" s="65">
        <v>199</v>
      </c>
      <c r="AC219" s="66"/>
      <c r="AD219" s="67">
        <f t="shared" si="86"/>
        <v>5.6351480420248332E-2</v>
      </c>
      <c r="AE219" s="67">
        <f t="shared" si="87"/>
        <v>0.21967526265520534</v>
      </c>
      <c r="AF219" s="67">
        <f t="shared" si="88"/>
        <v>1.7191977077363897E-2</v>
      </c>
      <c r="AG219" s="67">
        <f t="shared" si="89"/>
        <v>5.7306590257879654E-3</v>
      </c>
      <c r="AH219" s="67">
        <f t="shared" si="90"/>
        <v>0.24450811843361986</v>
      </c>
      <c r="AI219" s="67">
        <f t="shared" si="91"/>
        <v>0.19006685768863418</v>
      </c>
      <c r="AJ219" s="66"/>
      <c r="AK219" s="68">
        <v>233.92</v>
      </c>
      <c r="AL219" s="69">
        <v>827.9799999999982</v>
      </c>
      <c r="AM219" s="69">
        <v>827.9799999999982</v>
      </c>
      <c r="AN219" s="69">
        <v>68.639999999999887</v>
      </c>
      <c r="AO219" s="70">
        <v>19.479999999999901</v>
      </c>
      <c r="AP219" s="70">
        <v>547.07000000000005</v>
      </c>
      <c r="AQ219" s="66"/>
      <c r="AR219" s="70" t="s">
        <v>780</v>
      </c>
      <c r="AS219" s="66"/>
      <c r="AT219" s="108">
        <v>857</v>
      </c>
      <c r="AU219" s="109">
        <v>415</v>
      </c>
      <c r="AV219" s="109">
        <v>5225.82</v>
      </c>
      <c r="AW219" s="109">
        <v>4456.3599999999997</v>
      </c>
      <c r="AX219" s="110">
        <v>2545.85</v>
      </c>
      <c r="AY219" s="110">
        <v>2784.2799999999997</v>
      </c>
    </row>
    <row r="220" spans="1:51" x14ac:dyDescent="0.25">
      <c r="A220" s="8">
        <v>5799</v>
      </c>
      <c r="B220" s="5" t="s">
        <v>562</v>
      </c>
      <c r="C220" s="2">
        <v>2.2899999999999991</v>
      </c>
      <c r="D220" s="24">
        <v>800</v>
      </c>
      <c r="E220" s="26">
        <f t="shared" si="83"/>
        <v>400</v>
      </c>
      <c r="F220" s="26">
        <v>15151</v>
      </c>
      <c r="G220" s="30">
        <f t="shared" si="84"/>
        <v>2.6400897630519438E-2</v>
      </c>
      <c r="H220" s="11"/>
      <c r="I220" s="9">
        <v>110</v>
      </c>
      <c r="J220" s="3">
        <v>0</v>
      </c>
      <c r="K220" s="3">
        <v>275</v>
      </c>
      <c r="L220" s="3">
        <v>160</v>
      </c>
      <c r="M220" s="6">
        <v>100</v>
      </c>
      <c r="N220" s="6">
        <v>300</v>
      </c>
      <c r="O220" s="13"/>
      <c r="P220" s="60">
        <f t="shared" si="97"/>
        <v>251.89999999999992</v>
      </c>
      <c r="Q220" s="61">
        <f t="shared" si="98"/>
        <v>0</v>
      </c>
      <c r="R220" s="61">
        <f t="shared" si="99"/>
        <v>629.74999999999977</v>
      </c>
      <c r="S220" s="62">
        <f t="shared" si="100"/>
        <v>366.39999999999986</v>
      </c>
      <c r="T220" s="63">
        <f t="shared" si="101"/>
        <v>228.99999999999991</v>
      </c>
      <c r="U220" s="63">
        <f t="shared" si="85"/>
        <v>686.99999999999977</v>
      </c>
      <c r="V220" s="64"/>
      <c r="W220" s="60">
        <v>75</v>
      </c>
      <c r="X220" s="61">
        <v>182</v>
      </c>
      <c r="Y220" s="61">
        <v>321</v>
      </c>
      <c r="Z220" s="61">
        <v>140</v>
      </c>
      <c r="AA220" s="65">
        <v>13</v>
      </c>
      <c r="AB220" s="65">
        <v>424</v>
      </c>
      <c r="AC220" s="66"/>
      <c r="AD220" s="67">
        <f t="shared" si="86"/>
        <v>4.9501683057223949E-3</v>
      </c>
      <c r="AE220" s="67">
        <f t="shared" si="87"/>
        <v>1.2012408421886344E-2</v>
      </c>
      <c r="AF220" s="67">
        <f t="shared" si="88"/>
        <v>2.1186720348491849E-2</v>
      </c>
      <c r="AG220" s="67">
        <f t="shared" si="89"/>
        <v>9.2403141706818032E-3</v>
      </c>
      <c r="AH220" s="67">
        <f t="shared" si="90"/>
        <v>8.5802917299188173E-4</v>
      </c>
      <c r="AI220" s="67">
        <f t="shared" si="91"/>
        <v>2.7984951488350604E-2</v>
      </c>
      <c r="AJ220" s="66"/>
      <c r="AK220" s="68">
        <v>60.38000000000001</v>
      </c>
      <c r="AL220" s="69">
        <v>78.529999999999688</v>
      </c>
      <c r="AM220" s="69">
        <v>78.529999999999717</v>
      </c>
      <c r="AN220" s="69">
        <v>475.34999999999974</v>
      </c>
      <c r="AO220" s="70">
        <v>135.24</v>
      </c>
      <c r="AP220" s="70">
        <v>104.459999999999</v>
      </c>
      <c r="AQ220" s="66"/>
      <c r="AR220" s="70" t="s">
        <v>780</v>
      </c>
      <c r="AS220" s="66"/>
      <c r="AT220" s="108">
        <v>6233.43</v>
      </c>
      <c r="AU220" s="109">
        <v>0</v>
      </c>
      <c r="AV220" s="109">
        <v>9565.5</v>
      </c>
      <c r="AW220" s="109">
        <v>6055.4</v>
      </c>
      <c r="AX220" s="110">
        <v>3436</v>
      </c>
      <c r="AY220" s="110">
        <v>10290</v>
      </c>
    </row>
    <row r="221" spans="1:51" x14ac:dyDescent="0.25">
      <c r="A221" s="8" t="s">
        <v>327</v>
      </c>
      <c r="B221" s="5" t="s">
        <v>328</v>
      </c>
      <c r="C221" s="2">
        <v>2.25</v>
      </c>
      <c r="D221" s="24">
        <v>2000</v>
      </c>
      <c r="E221" s="26">
        <f t="shared" si="83"/>
        <v>1000</v>
      </c>
      <c r="F221" s="26">
        <v>1238</v>
      </c>
      <c r="G221" s="30">
        <f t="shared" si="84"/>
        <v>0.80775444264943452</v>
      </c>
      <c r="H221" s="11"/>
      <c r="I221" s="9">
        <v>570</v>
      </c>
      <c r="J221" s="3">
        <v>922</v>
      </c>
      <c r="K221" s="3">
        <v>511</v>
      </c>
      <c r="L221" s="3">
        <v>0</v>
      </c>
      <c r="M221" s="6">
        <v>140</v>
      </c>
      <c r="N221" s="6">
        <v>0</v>
      </c>
      <c r="O221" s="13"/>
      <c r="P221" s="60">
        <f t="shared" si="97"/>
        <v>1282.5</v>
      </c>
      <c r="Q221" s="61">
        <f t="shared" si="98"/>
        <v>2074.5</v>
      </c>
      <c r="R221" s="61">
        <f t="shared" si="99"/>
        <v>1149.75</v>
      </c>
      <c r="S221" s="62">
        <f t="shared" si="100"/>
        <v>0</v>
      </c>
      <c r="T221" s="63">
        <f t="shared" si="101"/>
        <v>315</v>
      </c>
      <c r="U221" s="63">
        <f t="shared" si="85"/>
        <v>0</v>
      </c>
      <c r="V221" s="64"/>
      <c r="W221" s="60">
        <v>461</v>
      </c>
      <c r="X221" s="61">
        <v>299</v>
      </c>
      <c r="Y221" s="61">
        <v>860</v>
      </c>
      <c r="Z221" s="61">
        <v>645</v>
      </c>
      <c r="AA221" s="65">
        <v>621</v>
      </c>
      <c r="AB221" s="65">
        <v>504</v>
      </c>
      <c r="AC221" s="66"/>
      <c r="AD221" s="67">
        <f t="shared" si="86"/>
        <v>0.37237479806138934</v>
      </c>
      <c r="AE221" s="67">
        <f t="shared" si="87"/>
        <v>0.24151857835218093</v>
      </c>
      <c r="AF221" s="67">
        <f t="shared" si="88"/>
        <v>0.69466882067851377</v>
      </c>
      <c r="AG221" s="67">
        <f t="shared" si="89"/>
        <v>0.52100161550888535</v>
      </c>
      <c r="AH221" s="67">
        <f t="shared" si="90"/>
        <v>0.50161550888529882</v>
      </c>
      <c r="AI221" s="67">
        <f t="shared" si="91"/>
        <v>0.40710823909531502</v>
      </c>
      <c r="AJ221" s="66"/>
      <c r="AK221" s="68">
        <v>140.22</v>
      </c>
      <c r="AL221" s="69">
        <v>293.50999999999931</v>
      </c>
      <c r="AM221" s="69">
        <v>293.50999999999942</v>
      </c>
      <c r="AN221" s="69">
        <v>561.27999999999884</v>
      </c>
      <c r="AO221" s="70">
        <v>379.51999999999902</v>
      </c>
      <c r="AP221" s="70">
        <v>973.35999999999899</v>
      </c>
      <c r="AQ221" s="66"/>
      <c r="AR221" s="70" t="s">
        <v>779</v>
      </c>
      <c r="AS221" s="66"/>
      <c r="AT221" s="108">
        <v>7059.72</v>
      </c>
      <c r="AU221" s="109">
        <v>11498.919999999998</v>
      </c>
      <c r="AV221" s="109">
        <v>6080.57</v>
      </c>
      <c r="AW221" s="109">
        <v>0</v>
      </c>
      <c r="AX221" s="110">
        <v>1673</v>
      </c>
      <c r="AY221" s="110">
        <v>0</v>
      </c>
    </row>
    <row r="222" spans="1:51" x14ac:dyDescent="0.25">
      <c r="A222" s="8" t="s">
        <v>801</v>
      </c>
      <c r="B222" s="5" t="s">
        <v>844</v>
      </c>
      <c r="C222" s="2">
        <v>2.2313042707779545</v>
      </c>
      <c r="D222" s="24">
        <v>600</v>
      </c>
      <c r="E222" s="26">
        <f t="shared" si="83"/>
        <v>300</v>
      </c>
      <c r="F222" s="26">
        <v>461</v>
      </c>
      <c r="G222" s="30">
        <f t="shared" si="84"/>
        <v>0.65075921908893708</v>
      </c>
      <c r="H222" s="11"/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6">
        <v>505</v>
      </c>
      <c r="O222" s="13"/>
      <c r="P222" s="60"/>
      <c r="Q222" s="61"/>
      <c r="R222" s="61"/>
      <c r="S222" s="62"/>
      <c r="T222" s="63"/>
      <c r="U222" s="63">
        <f t="shared" si="85"/>
        <v>1126.808656742867</v>
      </c>
      <c r="V222" s="64"/>
      <c r="W222" s="60"/>
      <c r="X222" s="61"/>
      <c r="Y222" s="61"/>
      <c r="Z222" s="61"/>
      <c r="AA222" s="65"/>
      <c r="AB222" s="65"/>
      <c r="AC222" s="66"/>
      <c r="AD222" s="67">
        <f t="shared" si="86"/>
        <v>0</v>
      </c>
      <c r="AE222" s="67">
        <f t="shared" si="87"/>
        <v>0</v>
      </c>
      <c r="AF222" s="67">
        <f t="shared" si="88"/>
        <v>0</v>
      </c>
      <c r="AG222" s="67">
        <f t="shared" si="89"/>
        <v>0</v>
      </c>
      <c r="AH222" s="67">
        <f t="shared" si="90"/>
        <v>0</v>
      </c>
      <c r="AI222" s="67">
        <f t="shared" si="91"/>
        <v>0</v>
      </c>
      <c r="AJ222" s="66"/>
      <c r="AK222" s="68"/>
      <c r="AL222" s="69"/>
      <c r="AM222" s="69"/>
      <c r="AN222" s="69"/>
      <c r="AO222" s="70"/>
      <c r="AP222" s="70"/>
      <c r="AQ222" s="66"/>
      <c r="AR222" s="70" t="s">
        <v>779</v>
      </c>
      <c r="AS222" s="66"/>
      <c r="AT222" s="108">
        <v>0</v>
      </c>
      <c r="AU222" s="109">
        <v>0</v>
      </c>
      <c r="AV222" s="109">
        <v>0</v>
      </c>
      <c r="AW222" s="109">
        <v>0</v>
      </c>
      <c r="AX222" s="110">
        <v>0</v>
      </c>
      <c r="AY222" s="110">
        <v>4923.6499999999996</v>
      </c>
    </row>
    <row r="223" spans="1:51" x14ac:dyDescent="0.25">
      <c r="A223" s="8">
        <v>488</v>
      </c>
      <c r="B223" s="5" t="s">
        <v>540</v>
      </c>
      <c r="C223" s="2">
        <v>2.2200000000000024</v>
      </c>
      <c r="D223" s="24">
        <v>2000</v>
      </c>
      <c r="E223" s="26">
        <f t="shared" si="83"/>
        <v>1000</v>
      </c>
      <c r="F223" s="26">
        <v>7237</v>
      </c>
      <c r="G223" s="30">
        <f t="shared" si="84"/>
        <v>0.1381788033715628</v>
      </c>
      <c r="H223" s="11"/>
      <c r="I223" s="9">
        <v>0</v>
      </c>
      <c r="J223" s="3">
        <v>0</v>
      </c>
      <c r="K223" s="3">
        <v>0</v>
      </c>
      <c r="L223" s="3">
        <v>503</v>
      </c>
      <c r="M223" s="6">
        <v>486</v>
      </c>
      <c r="N223" s="6">
        <v>341</v>
      </c>
      <c r="O223" s="13"/>
      <c r="P223" s="60">
        <f>+I223*C223</f>
        <v>0</v>
      </c>
      <c r="Q223" s="61">
        <f>+J223*C223</f>
        <v>0</v>
      </c>
      <c r="R223" s="61">
        <f>+K223*C223</f>
        <v>0</v>
      </c>
      <c r="S223" s="62">
        <f>+L223*C223</f>
        <v>1116.6600000000012</v>
      </c>
      <c r="T223" s="63">
        <f>+M223*C223</f>
        <v>1078.9200000000012</v>
      </c>
      <c r="U223" s="63">
        <f t="shared" si="85"/>
        <v>757.02000000000078</v>
      </c>
      <c r="V223" s="64"/>
      <c r="W223" s="60">
        <v>0</v>
      </c>
      <c r="X223" s="61">
        <v>0</v>
      </c>
      <c r="Y223" s="61">
        <v>0</v>
      </c>
      <c r="Z223" s="61">
        <v>0</v>
      </c>
      <c r="AA223" s="65">
        <v>36</v>
      </c>
      <c r="AB223" s="65">
        <v>946</v>
      </c>
      <c r="AC223" s="66"/>
      <c r="AD223" s="67">
        <f t="shared" si="86"/>
        <v>0</v>
      </c>
      <c r="AE223" s="67">
        <f t="shared" si="87"/>
        <v>0</v>
      </c>
      <c r="AF223" s="67">
        <f t="shared" si="88"/>
        <v>0</v>
      </c>
      <c r="AG223" s="67">
        <f t="shared" si="89"/>
        <v>0</v>
      </c>
      <c r="AH223" s="67">
        <f t="shared" si="90"/>
        <v>4.9744369213762605E-3</v>
      </c>
      <c r="AI223" s="67">
        <f t="shared" si="91"/>
        <v>0.13071714798949841</v>
      </c>
      <c r="AJ223" s="66"/>
      <c r="AK223" s="68">
        <v>0</v>
      </c>
      <c r="AL223" s="69">
        <v>0</v>
      </c>
      <c r="AM223" s="69">
        <v>0</v>
      </c>
      <c r="AN223" s="69">
        <v>0</v>
      </c>
      <c r="AO223" s="70">
        <v>79.920000000000087</v>
      </c>
      <c r="AP223" s="70">
        <v>1618.42</v>
      </c>
      <c r="AQ223" s="66"/>
      <c r="AR223" s="70" t="s">
        <v>780</v>
      </c>
      <c r="AS223" s="66"/>
      <c r="AT223" s="108">
        <v>0</v>
      </c>
      <c r="AU223" s="109">
        <v>0</v>
      </c>
      <c r="AV223" s="109">
        <v>0</v>
      </c>
      <c r="AW223" s="109">
        <v>15639.36</v>
      </c>
      <c r="AX223" s="110">
        <v>15133.880000000001</v>
      </c>
      <c r="AY223" s="110">
        <v>10558.81</v>
      </c>
    </row>
    <row r="224" spans="1:51" x14ac:dyDescent="0.25">
      <c r="A224" s="8" t="s">
        <v>389</v>
      </c>
      <c r="B224" s="5" t="s">
        <v>390</v>
      </c>
      <c r="C224" s="2">
        <v>2.1999999999999993</v>
      </c>
      <c r="D224" s="24">
        <v>500</v>
      </c>
      <c r="E224" s="26">
        <f t="shared" si="83"/>
        <v>250</v>
      </c>
      <c r="F224" s="26">
        <v>721</v>
      </c>
      <c r="G224" s="30">
        <f t="shared" si="84"/>
        <v>0.34674063800277394</v>
      </c>
      <c r="H224" s="11"/>
      <c r="I224" s="9">
        <v>145</v>
      </c>
      <c r="J224" s="3">
        <v>184</v>
      </c>
      <c r="K224" s="3">
        <v>50</v>
      </c>
      <c r="L224" s="3">
        <v>0</v>
      </c>
      <c r="M224" s="6"/>
      <c r="N224" s="6">
        <v>0</v>
      </c>
      <c r="O224" s="13"/>
      <c r="P224" s="60">
        <f>+I224*C224</f>
        <v>318.99999999999989</v>
      </c>
      <c r="Q224" s="61">
        <f>+J224*C224</f>
        <v>404.79999999999984</v>
      </c>
      <c r="R224" s="61">
        <f>+K224*C224</f>
        <v>109.99999999999997</v>
      </c>
      <c r="S224" s="62">
        <f>+L224*C224</f>
        <v>0</v>
      </c>
      <c r="T224" s="63">
        <f>+M224*C224</f>
        <v>0</v>
      </c>
      <c r="U224" s="63">
        <f t="shared" si="85"/>
        <v>0</v>
      </c>
      <c r="V224" s="64"/>
      <c r="W224" s="60">
        <v>145</v>
      </c>
      <c r="X224" s="61">
        <v>214</v>
      </c>
      <c r="Y224" s="61">
        <v>156</v>
      </c>
      <c r="Z224" s="61">
        <v>179</v>
      </c>
      <c r="AA224" s="65">
        <v>221</v>
      </c>
      <c r="AB224" s="65">
        <v>56</v>
      </c>
      <c r="AC224" s="66"/>
      <c r="AD224" s="67">
        <f t="shared" si="86"/>
        <v>0.20110957004160887</v>
      </c>
      <c r="AE224" s="67">
        <f t="shared" si="87"/>
        <v>0.29680998613037446</v>
      </c>
      <c r="AF224" s="67">
        <f t="shared" si="88"/>
        <v>0.21636615811373092</v>
      </c>
      <c r="AG224" s="67">
        <f t="shared" si="89"/>
        <v>0.24826629680998613</v>
      </c>
      <c r="AH224" s="67">
        <f t="shared" si="90"/>
        <v>0.30651872399445212</v>
      </c>
      <c r="AI224" s="67">
        <f t="shared" si="91"/>
        <v>7.7669902912621352E-2</v>
      </c>
      <c r="AJ224" s="66"/>
      <c r="AK224" s="68">
        <v>811.48999999999978</v>
      </c>
      <c r="AL224" s="69">
        <v>321.19999999999982</v>
      </c>
      <c r="AM224" s="69">
        <v>321.1999999999997</v>
      </c>
      <c r="AN224" s="69">
        <v>525.31999999999971</v>
      </c>
      <c r="AO224" s="70">
        <v>331.81999999999903</v>
      </c>
      <c r="AP224" s="70">
        <v>122.54</v>
      </c>
      <c r="AQ224" s="66"/>
      <c r="AR224" s="70" t="s">
        <v>779</v>
      </c>
      <c r="AS224" s="66"/>
      <c r="AT224" s="108">
        <v>1851.65</v>
      </c>
      <c r="AU224" s="109">
        <v>2346.35</v>
      </c>
      <c r="AV224" s="109">
        <v>637</v>
      </c>
      <c r="AW224" s="109">
        <v>0</v>
      </c>
      <c r="AX224" s="110">
        <v>0</v>
      </c>
      <c r="AY224" s="110">
        <v>0</v>
      </c>
    </row>
    <row r="225" spans="1:51" x14ac:dyDescent="0.25">
      <c r="A225" s="8" t="s">
        <v>372</v>
      </c>
      <c r="B225" s="5" t="s">
        <v>373</v>
      </c>
      <c r="C225" s="2">
        <v>2.1800000000000015</v>
      </c>
      <c r="D225" s="24">
        <v>1500</v>
      </c>
      <c r="E225" s="26">
        <f t="shared" si="83"/>
        <v>750</v>
      </c>
      <c r="F225" s="26">
        <v>1307</v>
      </c>
      <c r="G225" s="30">
        <f t="shared" si="84"/>
        <v>0.57383320581484321</v>
      </c>
      <c r="H225" s="11"/>
      <c r="I225" s="9">
        <v>1052</v>
      </c>
      <c r="J225" s="3">
        <v>1333</v>
      </c>
      <c r="K225" s="3">
        <v>282</v>
      </c>
      <c r="L225" s="3">
        <v>0</v>
      </c>
      <c r="M225" s="6"/>
      <c r="N225" s="6">
        <v>0</v>
      </c>
      <c r="O225" s="13"/>
      <c r="P225" s="60">
        <f>+I225*C225</f>
        <v>2293.3600000000015</v>
      </c>
      <c r="Q225" s="61">
        <f>+J225*C225</f>
        <v>2905.9400000000019</v>
      </c>
      <c r="R225" s="61">
        <f>+K225*C225</f>
        <v>614.76000000000045</v>
      </c>
      <c r="S225" s="62">
        <f>+L225*C225</f>
        <v>0</v>
      </c>
      <c r="T225" s="63">
        <f>+M225*C225</f>
        <v>0</v>
      </c>
      <c r="U225" s="63">
        <f t="shared" si="85"/>
        <v>0</v>
      </c>
      <c r="V225" s="64"/>
      <c r="W225" s="60">
        <v>234</v>
      </c>
      <c r="X225" s="61">
        <v>491</v>
      </c>
      <c r="Y225" s="61">
        <v>636</v>
      </c>
      <c r="Z225" s="61">
        <v>556</v>
      </c>
      <c r="AA225" s="65">
        <v>570</v>
      </c>
      <c r="AB225" s="65">
        <v>567</v>
      </c>
      <c r="AC225" s="66"/>
      <c r="AD225" s="67">
        <f t="shared" si="86"/>
        <v>0.17903596021423107</v>
      </c>
      <c r="AE225" s="67">
        <f t="shared" si="87"/>
        <v>0.37566947207345064</v>
      </c>
      <c r="AF225" s="67">
        <f t="shared" si="88"/>
        <v>0.486610558530987</v>
      </c>
      <c r="AG225" s="67">
        <f t="shared" si="89"/>
        <v>0.42540168324407041</v>
      </c>
      <c r="AH225" s="67">
        <f t="shared" si="90"/>
        <v>0.43611323641928079</v>
      </c>
      <c r="AI225" s="67">
        <f t="shared" si="91"/>
        <v>0.4338179035960214</v>
      </c>
      <c r="AJ225" s="66"/>
      <c r="AK225" s="68">
        <v>404.92</v>
      </c>
      <c r="AL225" s="69">
        <v>1143.6399999999981</v>
      </c>
      <c r="AM225" s="69">
        <v>1143.6399999999981</v>
      </c>
      <c r="AN225" s="69">
        <v>1309.28</v>
      </c>
      <c r="AO225" s="70">
        <v>691.86999999999898</v>
      </c>
      <c r="AP225" s="70">
        <v>672.42999999999904</v>
      </c>
      <c r="AQ225" s="66"/>
      <c r="AR225" s="70" t="s">
        <v>779</v>
      </c>
      <c r="AS225" s="66"/>
      <c r="AT225" s="108">
        <v>13389.84</v>
      </c>
      <c r="AU225" s="109">
        <v>17112.559999999998</v>
      </c>
      <c r="AV225" s="109">
        <v>3590.08</v>
      </c>
      <c r="AW225" s="109">
        <v>0</v>
      </c>
      <c r="AX225" s="110">
        <v>0</v>
      </c>
      <c r="AY225" s="110">
        <v>0</v>
      </c>
    </row>
    <row r="226" spans="1:51" x14ac:dyDescent="0.25">
      <c r="A226" s="8" t="s">
        <v>803</v>
      </c>
      <c r="B226" s="5" t="s">
        <v>846</v>
      </c>
      <c r="C226" s="2">
        <v>2.1719078947368402</v>
      </c>
      <c r="D226" s="24">
        <v>700</v>
      </c>
      <c r="E226" s="26">
        <f t="shared" si="83"/>
        <v>350</v>
      </c>
      <c r="F226" s="26">
        <v>3453</v>
      </c>
      <c r="G226" s="30">
        <f t="shared" si="84"/>
        <v>0.10136113524471474</v>
      </c>
      <c r="H226" s="11"/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6">
        <v>321</v>
      </c>
      <c r="O226" s="13"/>
      <c r="P226" s="60"/>
      <c r="Q226" s="61"/>
      <c r="R226" s="61"/>
      <c r="S226" s="62"/>
      <c r="T226" s="63"/>
      <c r="U226" s="63">
        <f t="shared" si="85"/>
        <v>697.18243421052568</v>
      </c>
      <c r="V226" s="64"/>
      <c r="W226" s="60"/>
      <c r="X226" s="61"/>
      <c r="Y226" s="61"/>
      <c r="Z226" s="61"/>
      <c r="AA226" s="65"/>
      <c r="AB226" s="65"/>
      <c r="AC226" s="66"/>
      <c r="AD226" s="67">
        <f t="shared" si="86"/>
        <v>0</v>
      </c>
      <c r="AE226" s="67">
        <f t="shared" si="87"/>
        <v>0</v>
      </c>
      <c r="AF226" s="67">
        <f t="shared" si="88"/>
        <v>0</v>
      </c>
      <c r="AG226" s="67">
        <f t="shared" si="89"/>
        <v>0</v>
      </c>
      <c r="AH226" s="67">
        <f t="shared" si="90"/>
        <v>0</v>
      </c>
      <c r="AI226" s="67">
        <f t="shared" si="91"/>
        <v>0</v>
      </c>
      <c r="AJ226" s="66"/>
      <c r="AK226" s="68"/>
      <c r="AL226" s="69"/>
      <c r="AM226" s="69"/>
      <c r="AN226" s="69"/>
      <c r="AO226" s="70"/>
      <c r="AP226" s="70"/>
      <c r="AQ226" s="66"/>
      <c r="AR226" s="70" t="s">
        <v>780</v>
      </c>
      <c r="AS226" s="66"/>
      <c r="AT226" s="108">
        <v>0</v>
      </c>
      <c r="AU226" s="109">
        <v>0</v>
      </c>
      <c r="AV226" s="109">
        <v>0</v>
      </c>
      <c r="AW226" s="109">
        <v>0</v>
      </c>
      <c r="AX226" s="110">
        <v>0</v>
      </c>
      <c r="AY226" s="110">
        <v>8166.24</v>
      </c>
    </row>
    <row r="227" spans="1:51" x14ac:dyDescent="0.25">
      <c r="A227" s="8">
        <v>5420</v>
      </c>
      <c r="B227" s="5" t="s">
        <v>135</v>
      </c>
      <c r="C227" s="2">
        <v>2.16</v>
      </c>
      <c r="D227" s="24">
        <v>200</v>
      </c>
      <c r="E227" s="26">
        <f t="shared" si="83"/>
        <v>100</v>
      </c>
      <c r="F227" s="26">
        <v>69</v>
      </c>
      <c r="G227" s="30">
        <f t="shared" si="84"/>
        <v>1.4492753623188406</v>
      </c>
      <c r="H227" s="11"/>
      <c r="I227" s="9">
        <v>100</v>
      </c>
      <c r="J227" s="3">
        <v>0</v>
      </c>
      <c r="K227" s="3">
        <v>0</v>
      </c>
      <c r="L227" s="3">
        <v>0</v>
      </c>
      <c r="M227" s="6"/>
      <c r="N227" s="6">
        <v>0</v>
      </c>
      <c r="O227" s="13"/>
      <c r="P227" s="60">
        <f>+I227*C227</f>
        <v>216</v>
      </c>
      <c r="Q227" s="61">
        <f>+J227*C227</f>
        <v>0</v>
      </c>
      <c r="R227" s="61">
        <f>+K227*C227</f>
        <v>0</v>
      </c>
      <c r="S227" s="62">
        <f>+L227*C227</f>
        <v>0</v>
      </c>
      <c r="T227" s="63">
        <f>+M227*C227</f>
        <v>0</v>
      </c>
      <c r="U227" s="63">
        <f t="shared" si="85"/>
        <v>0</v>
      </c>
      <c r="V227" s="64"/>
      <c r="W227" s="60">
        <v>93</v>
      </c>
      <c r="X227" s="61">
        <v>91</v>
      </c>
      <c r="Y227" s="61">
        <v>38</v>
      </c>
      <c r="Z227" s="61">
        <v>141</v>
      </c>
      <c r="AA227" s="65">
        <v>74</v>
      </c>
      <c r="AB227" s="65">
        <v>92</v>
      </c>
      <c r="AC227" s="66"/>
      <c r="AD227" s="67">
        <f t="shared" si="86"/>
        <v>1.3478260869565217</v>
      </c>
      <c r="AE227" s="67">
        <f t="shared" si="87"/>
        <v>1.318840579710145</v>
      </c>
      <c r="AF227" s="67">
        <f t="shared" si="88"/>
        <v>0.55072463768115942</v>
      </c>
      <c r="AG227" s="67">
        <f t="shared" si="89"/>
        <v>2.0434782608695654</v>
      </c>
      <c r="AH227" s="67">
        <f t="shared" si="90"/>
        <v>1.0724637681159421</v>
      </c>
      <c r="AI227" s="67">
        <f t="shared" si="91"/>
        <v>1.3333333333333333</v>
      </c>
      <c r="AJ227" s="66"/>
      <c r="AK227" s="68">
        <v>567.95000000000005</v>
      </c>
      <c r="AL227" s="69">
        <v>644.45000000000005</v>
      </c>
      <c r="AM227" s="69">
        <v>644.45000000000005</v>
      </c>
      <c r="AN227" s="69">
        <v>475.13999999999885</v>
      </c>
      <c r="AO227" s="70">
        <v>895.59</v>
      </c>
      <c r="AP227" s="70">
        <v>236.60999999999899</v>
      </c>
      <c r="AQ227" s="66"/>
      <c r="AR227" s="70" t="s">
        <v>779</v>
      </c>
      <c r="AS227" s="66"/>
      <c r="AT227" s="108">
        <v>375</v>
      </c>
      <c r="AU227" s="109">
        <v>0</v>
      </c>
      <c r="AV227" s="109">
        <v>0</v>
      </c>
      <c r="AW227" s="109">
        <v>0</v>
      </c>
      <c r="AX227" s="110">
        <v>0</v>
      </c>
      <c r="AY227" s="110">
        <v>0</v>
      </c>
    </row>
    <row r="228" spans="1:51" x14ac:dyDescent="0.25">
      <c r="A228" s="8" t="s">
        <v>824</v>
      </c>
      <c r="B228" s="5" t="s">
        <v>867</v>
      </c>
      <c r="C228" s="2">
        <v>2.1567695099818458</v>
      </c>
      <c r="D228" s="24">
        <v>4000</v>
      </c>
      <c r="E228" s="26">
        <f t="shared" si="83"/>
        <v>2000</v>
      </c>
      <c r="F228" s="26">
        <v>6709</v>
      </c>
      <c r="G228" s="30">
        <f t="shared" si="84"/>
        <v>0.29810702042033088</v>
      </c>
      <c r="H228" s="11"/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6">
        <v>638</v>
      </c>
      <c r="O228" s="13"/>
      <c r="P228" s="60"/>
      <c r="Q228" s="61"/>
      <c r="R228" s="61"/>
      <c r="S228" s="62"/>
      <c r="T228" s="63"/>
      <c r="U228" s="63">
        <f t="shared" si="85"/>
        <v>1376.0189473684177</v>
      </c>
      <c r="V228" s="64"/>
      <c r="W228" s="60"/>
      <c r="X228" s="61"/>
      <c r="Y228" s="61"/>
      <c r="Z228" s="61"/>
      <c r="AA228" s="65"/>
      <c r="AB228" s="65"/>
      <c r="AC228" s="66"/>
      <c r="AD228" s="67">
        <f t="shared" si="86"/>
        <v>0</v>
      </c>
      <c r="AE228" s="67">
        <f t="shared" si="87"/>
        <v>0</v>
      </c>
      <c r="AF228" s="67">
        <f t="shared" si="88"/>
        <v>0</v>
      </c>
      <c r="AG228" s="67">
        <f t="shared" si="89"/>
        <v>0</v>
      </c>
      <c r="AH228" s="67">
        <f t="shared" si="90"/>
        <v>0</v>
      </c>
      <c r="AI228" s="67">
        <f t="shared" si="91"/>
        <v>0</v>
      </c>
      <c r="AJ228" s="66"/>
      <c r="AK228" s="68"/>
      <c r="AL228" s="69"/>
      <c r="AM228" s="69"/>
      <c r="AN228" s="69"/>
      <c r="AO228" s="70"/>
      <c r="AP228" s="70"/>
      <c r="AQ228" s="66"/>
      <c r="AR228" s="70" t="s">
        <v>780</v>
      </c>
      <c r="AS228" s="66"/>
      <c r="AT228" s="108">
        <v>13143.59</v>
      </c>
      <c r="AU228" s="109">
        <v>6614.75</v>
      </c>
      <c r="AV228" s="109">
        <v>20182.27</v>
      </c>
      <c r="AW228" s="109">
        <v>6956.1</v>
      </c>
      <c r="AX228" s="110">
        <v>22432.04</v>
      </c>
      <c r="AY228" s="110">
        <v>17019.870000000003</v>
      </c>
    </row>
    <row r="229" spans="1:51" x14ac:dyDescent="0.25">
      <c r="A229" s="8" t="s">
        <v>550</v>
      </c>
      <c r="B229" s="5" t="s">
        <v>551</v>
      </c>
      <c r="C229" s="2">
        <v>2.1300000000000026</v>
      </c>
      <c r="D229" s="24">
        <v>2000</v>
      </c>
      <c r="E229" s="26">
        <f t="shared" si="83"/>
        <v>1000</v>
      </c>
      <c r="F229" s="26">
        <v>9767</v>
      </c>
      <c r="G229" s="30">
        <f t="shared" si="84"/>
        <v>0.10238558410975734</v>
      </c>
      <c r="H229" s="11"/>
      <c r="I229" s="9">
        <v>400</v>
      </c>
      <c r="J229" s="3">
        <v>0</v>
      </c>
      <c r="K229" s="3">
        <v>0</v>
      </c>
      <c r="L229" s="3">
        <v>0</v>
      </c>
      <c r="M229" s="6"/>
      <c r="N229" s="6">
        <v>0</v>
      </c>
      <c r="O229" s="13"/>
      <c r="P229" s="60">
        <f t="shared" ref="P229:P250" si="102">+I229*C229</f>
        <v>852.00000000000102</v>
      </c>
      <c r="Q229" s="61">
        <f t="shared" ref="Q229:Q250" si="103">+J229*C229</f>
        <v>0</v>
      </c>
      <c r="R229" s="61">
        <f t="shared" ref="R229:R250" si="104">+K229*C229</f>
        <v>0</v>
      </c>
      <c r="S229" s="62">
        <f t="shared" ref="S229:S250" si="105">+L229*C229</f>
        <v>0</v>
      </c>
      <c r="T229" s="63">
        <f t="shared" ref="T229:T250" si="106">+M229*C229</f>
        <v>0</v>
      </c>
      <c r="U229" s="63">
        <f t="shared" si="85"/>
        <v>0</v>
      </c>
      <c r="V229" s="64"/>
      <c r="W229" s="60">
        <v>0</v>
      </c>
      <c r="X229" s="61">
        <v>0</v>
      </c>
      <c r="Y229" s="61">
        <v>295</v>
      </c>
      <c r="Z229" s="61">
        <v>104</v>
      </c>
      <c r="AA229" s="65">
        <v>0</v>
      </c>
      <c r="AB229" s="65">
        <v>0</v>
      </c>
      <c r="AC229" s="66"/>
      <c r="AD229" s="67">
        <f t="shared" si="86"/>
        <v>0</v>
      </c>
      <c r="AE229" s="67">
        <f t="shared" si="87"/>
        <v>0</v>
      </c>
      <c r="AF229" s="67">
        <f t="shared" si="88"/>
        <v>3.0203747312378418E-2</v>
      </c>
      <c r="AG229" s="67">
        <f t="shared" si="89"/>
        <v>1.0648100747414764E-2</v>
      </c>
      <c r="AH229" s="67">
        <f t="shared" si="90"/>
        <v>0</v>
      </c>
      <c r="AI229" s="67">
        <f t="shared" si="91"/>
        <v>0</v>
      </c>
      <c r="AJ229" s="66"/>
      <c r="AK229" s="68">
        <v>0</v>
      </c>
      <c r="AL229" s="69">
        <v>0</v>
      </c>
      <c r="AM229" s="69">
        <v>628.3500000000007</v>
      </c>
      <c r="AN229" s="69">
        <v>567.99</v>
      </c>
      <c r="AO229" s="70">
        <v>248.05</v>
      </c>
      <c r="AP229" s="70">
        <v>0</v>
      </c>
      <c r="AQ229" s="66"/>
      <c r="AR229" s="70" t="s">
        <v>780</v>
      </c>
      <c r="AS229" s="66"/>
      <c r="AT229" s="108">
        <v>12388</v>
      </c>
      <c r="AU229" s="109">
        <v>0</v>
      </c>
      <c r="AV229" s="109">
        <v>0</v>
      </c>
      <c r="AW229" s="109">
        <v>0</v>
      </c>
      <c r="AX229" s="110">
        <v>0</v>
      </c>
      <c r="AY229" s="110">
        <v>0</v>
      </c>
    </row>
    <row r="230" spans="1:51" x14ac:dyDescent="0.25">
      <c r="A230" s="8" t="s">
        <v>206</v>
      </c>
      <c r="B230" s="5" t="s">
        <v>207</v>
      </c>
      <c r="C230" s="2">
        <v>2.13</v>
      </c>
      <c r="D230" s="24">
        <v>1000</v>
      </c>
      <c r="E230" s="26">
        <f t="shared" si="83"/>
        <v>500</v>
      </c>
      <c r="F230" s="26">
        <v>614</v>
      </c>
      <c r="G230" s="30">
        <f t="shared" si="84"/>
        <v>0.81433224755700329</v>
      </c>
      <c r="H230" s="11"/>
      <c r="I230" s="9">
        <v>400</v>
      </c>
      <c r="J230" s="3">
        <v>410</v>
      </c>
      <c r="K230" s="3">
        <v>1008</v>
      </c>
      <c r="L230" s="3">
        <v>0</v>
      </c>
      <c r="M230" s="6"/>
      <c r="N230" s="6">
        <v>96</v>
      </c>
      <c r="O230" s="13"/>
      <c r="P230" s="60">
        <f t="shared" si="102"/>
        <v>852</v>
      </c>
      <c r="Q230" s="61">
        <f t="shared" si="103"/>
        <v>873.3</v>
      </c>
      <c r="R230" s="61">
        <f t="shared" si="104"/>
        <v>2147.04</v>
      </c>
      <c r="S230" s="62">
        <f t="shared" si="105"/>
        <v>0</v>
      </c>
      <c r="T230" s="63">
        <f t="shared" si="106"/>
        <v>0</v>
      </c>
      <c r="U230" s="63">
        <f t="shared" si="85"/>
        <v>204.48</v>
      </c>
      <c r="V230" s="64"/>
      <c r="W230" s="60">
        <v>100</v>
      </c>
      <c r="X230" s="61">
        <v>174</v>
      </c>
      <c r="Y230" s="61">
        <v>97</v>
      </c>
      <c r="Z230" s="61">
        <v>248</v>
      </c>
      <c r="AA230" s="65">
        <v>594</v>
      </c>
      <c r="AB230" s="65">
        <v>182</v>
      </c>
      <c r="AC230" s="66"/>
      <c r="AD230" s="67">
        <f t="shared" si="86"/>
        <v>0.16286644951140064</v>
      </c>
      <c r="AE230" s="67">
        <f t="shared" si="87"/>
        <v>0.28338762214983715</v>
      </c>
      <c r="AF230" s="67">
        <f t="shared" si="88"/>
        <v>0.15798045602605862</v>
      </c>
      <c r="AG230" s="67">
        <f t="shared" si="89"/>
        <v>0.40390879478827363</v>
      </c>
      <c r="AH230" s="67">
        <f t="shared" si="90"/>
        <v>0.96742671009771986</v>
      </c>
      <c r="AI230" s="67">
        <f t="shared" si="91"/>
        <v>0.29641693811074921</v>
      </c>
      <c r="AJ230" s="66"/>
      <c r="AK230" s="68">
        <v>219.3</v>
      </c>
      <c r="AL230" s="69">
        <v>442.11999999999995</v>
      </c>
      <c r="AM230" s="69">
        <v>442.12</v>
      </c>
      <c r="AN230" s="69">
        <v>692.81</v>
      </c>
      <c r="AO230" s="70">
        <v>533.09</v>
      </c>
      <c r="AP230" s="70">
        <v>320.85000000000002</v>
      </c>
      <c r="AQ230" s="66"/>
      <c r="AR230" s="70" t="s">
        <v>779</v>
      </c>
      <c r="AS230" s="66"/>
      <c r="AT230" s="108">
        <v>2196</v>
      </c>
      <c r="AU230" s="109">
        <v>2237.4</v>
      </c>
      <c r="AV230" s="109">
        <v>5367.64</v>
      </c>
      <c r="AW230" s="109">
        <v>0</v>
      </c>
      <c r="AX230" s="110">
        <v>0</v>
      </c>
      <c r="AY230" s="110">
        <v>504.96</v>
      </c>
    </row>
    <row r="231" spans="1:51" x14ac:dyDescent="0.25">
      <c r="A231" s="8" t="s">
        <v>188</v>
      </c>
      <c r="B231" s="5" t="s">
        <v>189</v>
      </c>
      <c r="C231" s="2">
        <v>2.12</v>
      </c>
      <c r="D231" s="24">
        <v>1264.4000000000001</v>
      </c>
      <c r="E231" s="26">
        <f t="shared" si="83"/>
        <v>632.20000000000005</v>
      </c>
      <c r="F231" s="26">
        <v>6322</v>
      </c>
      <c r="G231" s="30">
        <f t="shared" si="84"/>
        <v>0.1</v>
      </c>
      <c r="H231" s="11"/>
      <c r="I231" s="9">
        <v>2196</v>
      </c>
      <c r="J231" s="3">
        <v>200</v>
      </c>
      <c r="K231" s="3">
        <v>0</v>
      </c>
      <c r="L231" s="3">
        <v>0</v>
      </c>
      <c r="M231" s="6"/>
      <c r="N231" s="6">
        <v>0</v>
      </c>
      <c r="O231" s="13"/>
      <c r="P231" s="60">
        <f t="shared" si="102"/>
        <v>4655.5200000000004</v>
      </c>
      <c r="Q231" s="61">
        <f t="shared" si="103"/>
        <v>424</v>
      </c>
      <c r="R231" s="61">
        <f t="shared" si="104"/>
        <v>0</v>
      </c>
      <c r="S231" s="62">
        <f t="shared" si="105"/>
        <v>0</v>
      </c>
      <c r="T231" s="63">
        <f t="shared" si="106"/>
        <v>0</v>
      </c>
      <c r="U231" s="63">
        <f t="shared" si="85"/>
        <v>0</v>
      </c>
      <c r="V231" s="64"/>
      <c r="W231" s="60">
        <v>2293</v>
      </c>
      <c r="X231" s="61">
        <v>2299</v>
      </c>
      <c r="Y231" s="61">
        <v>1319</v>
      </c>
      <c r="Z231" s="61">
        <v>1833</v>
      </c>
      <c r="AA231" s="65">
        <v>2148</v>
      </c>
      <c r="AB231" s="65">
        <v>1728</v>
      </c>
      <c r="AC231" s="66"/>
      <c r="AD231" s="67">
        <f t="shared" si="86"/>
        <v>0.36270167668459347</v>
      </c>
      <c r="AE231" s="67">
        <f t="shared" si="87"/>
        <v>0.36365074343562165</v>
      </c>
      <c r="AF231" s="67">
        <f t="shared" si="88"/>
        <v>0.20863650743435622</v>
      </c>
      <c r="AG231" s="67">
        <f t="shared" si="89"/>
        <v>0.28993989243910157</v>
      </c>
      <c r="AH231" s="67">
        <f t="shared" si="90"/>
        <v>0.33976589686807973</v>
      </c>
      <c r="AI231" s="67">
        <f t="shared" si="91"/>
        <v>0.27333122429610884</v>
      </c>
      <c r="AJ231" s="66"/>
      <c r="AK231" s="68">
        <v>3400.490000000003</v>
      </c>
      <c r="AL231" s="69">
        <v>2977.0799999999949</v>
      </c>
      <c r="AM231" s="69">
        <v>2977.0799999999949</v>
      </c>
      <c r="AN231" s="69">
        <v>481.64999999999873</v>
      </c>
      <c r="AO231" s="70">
        <v>488.14999999999799</v>
      </c>
      <c r="AP231" s="70">
        <v>730.18000000000302</v>
      </c>
      <c r="AQ231" s="66"/>
      <c r="AR231" s="70" t="s">
        <v>779</v>
      </c>
      <c r="AS231" s="66"/>
      <c r="AT231" s="108">
        <v>9720.9200000000019</v>
      </c>
      <c r="AU231" s="109">
        <v>892</v>
      </c>
      <c r="AV231" s="109">
        <v>0</v>
      </c>
      <c r="AW231" s="109">
        <v>0</v>
      </c>
      <c r="AX231" s="110">
        <v>0</v>
      </c>
      <c r="AY231" s="110">
        <v>0</v>
      </c>
    </row>
    <row r="232" spans="1:51" x14ac:dyDescent="0.25">
      <c r="A232" s="8">
        <v>108</v>
      </c>
      <c r="B232" s="5" t="s">
        <v>262</v>
      </c>
      <c r="C232" s="2">
        <v>2.080000000000001</v>
      </c>
      <c r="D232" s="24">
        <v>5000</v>
      </c>
      <c r="E232" s="26">
        <f t="shared" si="83"/>
        <v>2500</v>
      </c>
      <c r="F232" s="26">
        <v>3045</v>
      </c>
      <c r="G232" s="30">
        <f t="shared" si="84"/>
        <v>0.82101806239737274</v>
      </c>
      <c r="H232" s="11"/>
      <c r="I232" s="9">
        <v>0</v>
      </c>
      <c r="J232" s="3">
        <v>809</v>
      </c>
      <c r="K232" s="3">
        <v>2109</v>
      </c>
      <c r="L232" s="3">
        <v>2036</v>
      </c>
      <c r="M232" s="6">
        <v>1074</v>
      </c>
      <c r="N232" s="6">
        <v>1399</v>
      </c>
      <c r="O232" s="13"/>
      <c r="P232" s="60">
        <f t="shared" si="102"/>
        <v>0</v>
      </c>
      <c r="Q232" s="61">
        <f t="shared" si="103"/>
        <v>1682.7200000000007</v>
      </c>
      <c r="R232" s="61">
        <f t="shared" si="104"/>
        <v>4386.7200000000021</v>
      </c>
      <c r="S232" s="62">
        <f t="shared" si="105"/>
        <v>4234.8800000000019</v>
      </c>
      <c r="T232" s="63">
        <f t="shared" si="106"/>
        <v>2233.920000000001</v>
      </c>
      <c r="U232" s="63">
        <f t="shared" si="85"/>
        <v>2909.9200000000014</v>
      </c>
      <c r="V232" s="64"/>
      <c r="W232" s="60">
        <v>1511</v>
      </c>
      <c r="X232" s="61">
        <v>69</v>
      </c>
      <c r="Y232" s="61">
        <v>305</v>
      </c>
      <c r="Z232" s="61">
        <v>1872</v>
      </c>
      <c r="AA232" s="65">
        <v>2320</v>
      </c>
      <c r="AB232" s="65">
        <v>1475</v>
      </c>
      <c r="AC232" s="66"/>
      <c r="AD232" s="67">
        <f t="shared" si="86"/>
        <v>0.49622331691297211</v>
      </c>
      <c r="AE232" s="67">
        <f t="shared" si="87"/>
        <v>2.2660098522167486E-2</v>
      </c>
      <c r="AF232" s="67">
        <f t="shared" si="88"/>
        <v>0.10016420361247948</v>
      </c>
      <c r="AG232" s="67">
        <f t="shared" si="89"/>
        <v>0.61477832512315267</v>
      </c>
      <c r="AH232" s="67">
        <f t="shared" si="90"/>
        <v>0.76190476190476186</v>
      </c>
      <c r="AI232" s="67">
        <f t="shared" si="91"/>
        <v>0.48440065681444994</v>
      </c>
      <c r="AJ232" s="66"/>
      <c r="AK232" s="68">
        <v>2558.829999999999</v>
      </c>
      <c r="AL232" s="69">
        <v>120.05999999999901</v>
      </c>
      <c r="AM232" s="69">
        <v>120.05999999999901</v>
      </c>
      <c r="AN232" s="69">
        <v>668.79999999999961</v>
      </c>
      <c r="AO232" s="70">
        <v>3901.45999999999</v>
      </c>
      <c r="AP232" s="70">
        <v>2976.92</v>
      </c>
      <c r="AQ232" s="66"/>
      <c r="AR232" s="70" t="s">
        <v>779</v>
      </c>
      <c r="AS232" s="66"/>
      <c r="AT232" s="108">
        <v>0</v>
      </c>
      <c r="AU232" s="109">
        <v>5936.26</v>
      </c>
      <c r="AV232" s="109">
        <v>15571.160000000002</v>
      </c>
      <c r="AW232" s="109">
        <v>15103.12</v>
      </c>
      <c r="AX232" s="110">
        <v>7929.4499999999989</v>
      </c>
      <c r="AY232" s="110">
        <v>10327.189999999999</v>
      </c>
    </row>
    <row r="233" spans="1:51" x14ac:dyDescent="0.25">
      <c r="A233" s="8" t="s">
        <v>279</v>
      </c>
      <c r="B233" s="5" t="s">
        <v>280</v>
      </c>
      <c r="C233" s="2">
        <v>2.0599999999999996</v>
      </c>
      <c r="D233" s="24">
        <v>200</v>
      </c>
      <c r="E233" s="26">
        <f t="shared" si="83"/>
        <v>100</v>
      </c>
      <c r="F233" s="26">
        <v>554</v>
      </c>
      <c r="G233" s="30">
        <f t="shared" si="84"/>
        <v>0.18050541516245489</v>
      </c>
      <c r="H233" s="11"/>
      <c r="I233" s="9">
        <v>33</v>
      </c>
      <c r="J233" s="3">
        <v>143</v>
      </c>
      <c r="K233" s="3">
        <v>44</v>
      </c>
      <c r="L233" s="3">
        <v>189</v>
      </c>
      <c r="M233" s="6">
        <v>110</v>
      </c>
      <c r="N233" s="6">
        <v>261</v>
      </c>
      <c r="O233" s="13"/>
      <c r="P233" s="60">
        <f t="shared" si="102"/>
        <v>67.97999999999999</v>
      </c>
      <c r="Q233" s="61">
        <f t="shared" si="103"/>
        <v>294.57999999999993</v>
      </c>
      <c r="R233" s="61">
        <f t="shared" si="104"/>
        <v>90.639999999999986</v>
      </c>
      <c r="S233" s="62">
        <f t="shared" si="105"/>
        <v>389.33999999999992</v>
      </c>
      <c r="T233" s="63">
        <f t="shared" si="106"/>
        <v>226.59999999999997</v>
      </c>
      <c r="U233" s="63">
        <f t="shared" si="85"/>
        <v>537.65999999999985</v>
      </c>
      <c r="V233" s="64"/>
      <c r="W233" s="60">
        <v>0</v>
      </c>
      <c r="X233" s="61">
        <v>0</v>
      </c>
      <c r="Y233" s="61">
        <v>0</v>
      </c>
      <c r="Z233" s="61">
        <v>0</v>
      </c>
      <c r="AA233" s="65">
        <v>0</v>
      </c>
      <c r="AB233" s="65">
        <v>73</v>
      </c>
      <c r="AC233" s="66"/>
      <c r="AD233" s="67">
        <f t="shared" si="86"/>
        <v>0</v>
      </c>
      <c r="AE233" s="67">
        <f t="shared" si="87"/>
        <v>0</v>
      </c>
      <c r="AF233" s="67">
        <f t="shared" si="88"/>
        <v>0</v>
      </c>
      <c r="AG233" s="67">
        <f t="shared" si="89"/>
        <v>0</v>
      </c>
      <c r="AH233" s="67">
        <f t="shared" si="90"/>
        <v>0</v>
      </c>
      <c r="AI233" s="67">
        <f t="shared" si="91"/>
        <v>0.13176895306859207</v>
      </c>
      <c r="AJ233" s="66"/>
      <c r="AK233" s="68">
        <v>0</v>
      </c>
      <c r="AL233" s="69">
        <v>0</v>
      </c>
      <c r="AM233" s="69">
        <v>0</v>
      </c>
      <c r="AN233" s="69">
        <v>0</v>
      </c>
      <c r="AO233" s="70">
        <v>0</v>
      </c>
      <c r="AP233" s="70">
        <v>180.17</v>
      </c>
      <c r="AQ233" s="66"/>
      <c r="AR233" s="70" t="s">
        <v>779</v>
      </c>
      <c r="AS233" s="66"/>
      <c r="AT233" s="108">
        <v>242.55</v>
      </c>
      <c r="AU233" s="109">
        <v>1087.8700000000001</v>
      </c>
      <c r="AV233" s="109">
        <v>344.96</v>
      </c>
      <c r="AW233" s="109">
        <v>1472.21</v>
      </c>
      <c r="AX233" s="110">
        <v>873.91999999999985</v>
      </c>
      <c r="AY233" s="110">
        <v>2049.84</v>
      </c>
    </row>
    <row r="234" spans="1:51" x14ac:dyDescent="0.25">
      <c r="A234" s="8">
        <v>5900</v>
      </c>
      <c r="B234" s="5" t="s">
        <v>284</v>
      </c>
      <c r="C234" s="2">
        <v>2.0500000000000007</v>
      </c>
      <c r="D234" s="24">
        <v>500</v>
      </c>
      <c r="E234" s="26">
        <f t="shared" si="83"/>
        <v>250</v>
      </c>
      <c r="F234" s="26">
        <v>678</v>
      </c>
      <c r="G234" s="30">
        <f t="shared" si="84"/>
        <v>0.36873156342182889</v>
      </c>
      <c r="H234" s="11"/>
      <c r="I234" s="9">
        <v>350</v>
      </c>
      <c r="J234" s="3">
        <v>0</v>
      </c>
      <c r="K234" s="3">
        <v>0</v>
      </c>
      <c r="L234" s="3">
        <v>618</v>
      </c>
      <c r="M234" s="6">
        <v>400</v>
      </c>
      <c r="N234" s="6">
        <v>853</v>
      </c>
      <c r="O234" s="13"/>
      <c r="P234" s="60">
        <f t="shared" si="102"/>
        <v>717.50000000000023</v>
      </c>
      <c r="Q234" s="61">
        <f t="shared" si="103"/>
        <v>0</v>
      </c>
      <c r="R234" s="61">
        <f t="shared" si="104"/>
        <v>0</v>
      </c>
      <c r="S234" s="62">
        <f t="shared" si="105"/>
        <v>1266.9000000000005</v>
      </c>
      <c r="T234" s="63">
        <f t="shared" si="106"/>
        <v>820.00000000000023</v>
      </c>
      <c r="U234" s="63">
        <f t="shared" si="85"/>
        <v>1748.6500000000005</v>
      </c>
      <c r="V234" s="64"/>
      <c r="W234" s="60">
        <v>348</v>
      </c>
      <c r="X234" s="61">
        <v>266</v>
      </c>
      <c r="Y234" s="61">
        <v>662</v>
      </c>
      <c r="Z234" s="61">
        <v>382</v>
      </c>
      <c r="AA234" s="65">
        <v>613</v>
      </c>
      <c r="AB234" s="65">
        <v>394</v>
      </c>
      <c r="AC234" s="66"/>
      <c r="AD234" s="67">
        <f t="shared" si="86"/>
        <v>0.51327433628318586</v>
      </c>
      <c r="AE234" s="67">
        <f t="shared" si="87"/>
        <v>0.39233038348082594</v>
      </c>
      <c r="AF234" s="67">
        <f t="shared" si="88"/>
        <v>0.97640117994100295</v>
      </c>
      <c r="AG234" s="67">
        <f t="shared" si="89"/>
        <v>0.56342182890855452</v>
      </c>
      <c r="AH234" s="67">
        <f t="shared" si="90"/>
        <v>0.90412979351032452</v>
      </c>
      <c r="AI234" s="67">
        <f t="shared" si="91"/>
        <v>0.58112094395280234</v>
      </c>
      <c r="AJ234" s="66"/>
      <c r="AK234" s="68">
        <v>336.16</v>
      </c>
      <c r="AL234" s="69">
        <v>470.13999999999953</v>
      </c>
      <c r="AM234" s="69">
        <v>470.13999999999953</v>
      </c>
      <c r="AN234" s="69">
        <v>390.21999999999883</v>
      </c>
      <c r="AO234" s="70">
        <v>227.76999999999899</v>
      </c>
      <c r="AP234" s="70">
        <v>1123.75999999999</v>
      </c>
      <c r="AQ234" s="66"/>
      <c r="AR234" s="70" t="s">
        <v>779</v>
      </c>
      <c r="AS234" s="66"/>
      <c r="AT234" s="108">
        <v>2842</v>
      </c>
      <c r="AU234" s="109">
        <v>0</v>
      </c>
      <c r="AV234" s="109">
        <v>0</v>
      </c>
      <c r="AW234" s="109">
        <v>4974.8999999999996</v>
      </c>
      <c r="AX234" s="110">
        <v>3208</v>
      </c>
      <c r="AY234" s="110">
        <v>6831.65</v>
      </c>
    </row>
    <row r="235" spans="1:51" x14ac:dyDescent="0.25">
      <c r="A235" s="8" t="s">
        <v>437</v>
      </c>
      <c r="B235" s="5" t="s">
        <v>438</v>
      </c>
      <c r="C235" s="2">
        <v>2.0299999999999976</v>
      </c>
      <c r="D235" s="24">
        <v>400</v>
      </c>
      <c r="E235" s="26">
        <f t="shared" si="83"/>
        <v>200</v>
      </c>
      <c r="F235" s="26">
        <v>589</v>
      </c>
      <c r="G235" s="30">
        <f t="shared" si="84"/>
        <v>0.3395585738539898</v>
      </c>
      <c r="H235" s="11"/>
      <c r="I235" s="9">
        <v>0</v>
      </c>
      <c r="J235" s="3">
        <v>0</v>
      </c>
      <c r="K235" s="3">
        <v>0</v>
      </c>
      <c r="L235" s="3">
        <v>0</v>
      </c>
      <c r="M235" s="6"/>
      <c r="N235" s="6">
        <v>0</v>
      </c>
      <c r="O235" s="13"/>
      <c r="P235" s="60">
        <f t="shared" si="102"/>
        <v>0</v>
      </c>
      <c r="Q235" s="61">
        <f t="shared" si="103"/>
        <v>0</v>
      </c>
      <c r="R235" s="61">
        <f t="shared" si="104"/>
        <v>0</v>
      </c>
      <c r="S235" s="62">
        <f t="shared" si="105"/>
        <v>0</v>
      </c>
      <c r="T235" s="63">
        <f t="shared" si="106"/>
        <v>0</v>
      </c>
      <c r="U235" s="63">
        <f t="shared" si="85"/>
        <v>0</v>
      </c>
      <c r="V235" s="64"/>
      <c r="W235" s="60">
        <v>140</v>
      </c>
      <c r="X235" s="61">
        <v>144</v>
      </c>
      <c r="Y235" s="61">
        <v>148</v>
      </c>
      <c r="Z235" s="61">
        <v>107</v>
      </c>
      <c r="AA235" s="65">
        <v>129</v>
      </c>
      <c r="AB235" s="65">
        <v>161</v>
      </c>
      <c r="AC235" s="66"/>
      <c r="AD235" s="67">
        <f t="shared" si="86"/>
        <v>0.23769100169779286</v>
      </c>
      <c r="AE235" s="67">
        <f t="shared" si="87"/>
        <v>0.24448217317487267</v>
      </c>
      <c r="AF235" s="67">
        <f t="shared" si="88"/>
        <v>0.25127334465195245</v>
      </c>
      <c r="AG235" s="67">
        <f t="shared" si="89"/>
        <v>0.18166383701188454</v>
      </c>
      <c r="AH235" s="67">
        <f t="shared" si="90"/>
        <v>0.21901528013582344</v>
      </c>
      <c r="AI235" s="67">
        <f t="shared" si="91"/>
        <v>0.27334465195246183</v>
      </c>
      <c r="AJ235" s="66"/>
      <c r="AK235" s="68">
        <v>229.9</v>
      </c>
      <c r="AL235" s="69">
        <v>339.22999999999956</v>
      </c>
      <c r="AM235" s="69">
        <v>339.22999999999962</v>
      </c>
      <c r="AN235" s="69">
        <v>633.95000000000016</v>
      </c>
      <c r="AO235" s="70">
        <v>565.65</v>
      </c>
      <c r="AP235" s="70">
        <v>336.70999999999901</v>
      </c>
      <c r="AQ235" s="66"/>
      <c r="AR235" s="70" t="s">
        <v>779</v>
      </c>
      <c r="AS235" s="66"/>
      <c r="AT235" s="108">
        <v>0</v>
      </c>
      <c r="AU235" s="109">
        <v>0</v>
      </c>
      <c r="AV235" s="109">
        <v>0</v>
      </c>
      <c r="AW235" s="109">
        <v>0</v>
      </c>
      <c r="AX235" s="110">
        <v>0</v>
      </c>
      <c r="AY235" s="110">
        <v>0</v>
      </c>
    </row>
    <row r="236" spans="1:51" x14ac:dyDescent="0.25">
      <c r="A236" s="8" t="s">
        <v>370</v>
      </c>
      <c r="B236" s="5" t="s">
        <v>371</v>
      </c>
      <c r="C236" s="2">
        <v>2.0200000000000014</v>
      </c>
      <c r="D236" s="24">
        <v>400</v>
      </c>
      <c r="E236" s="26">
        <f t="shared" si="83"/>
        <v>200</v>
      </c>
      <c r="F236" s="26">
        <v>354</v>
      </c>
      <c r="G236" s="30">
        <f t="shared" si="84"/>
        <v>0.56497175141242939</v>
      </c>
      <c r="H236" s="11"/>
      <c r="I236" s="9">
        <v>0</v>
      </c>
      <c r="J236" s="3">
        <v>143</v>
      </c>
      <c r="K236" s="3">
        <v>0</v>
      </c>
      <c r="L236" s="3">
        <v>333</v>
      </c>
      <c r="M236" s="6">
        <v>201</v>
      </c>
      <c r="N236" s="6">
        <v>166</v>
      </c>
      <c r="O236" s="13"/>
      <c r="P236" s="60">
        <f t="shared" si="102"/>
        <v>0</v>
      </c>
      <c r="Q236" s="61">
        <f t="shared" si="103"/>
        <v>288.86000000000018</v>
      </c>
      <c r="R236" s="61">
        <f t="shared" si="104"/>
        <v>0</v>
      </c>
      <c r="S236" s="62">
        <f t="shared" si="105"/>
        <v>672.66000000000042</v>
      </c>
      <c r="T236" s="63">
        <f t="shared" si="106"/>
        <v>406.02000000000027</v>
      </c>
      <c r="U236" s="63">
        <f t="shared" si="85"/>
        <v>335.32000000000022</v>
      </c>
      <c r="V236" s="64"/>
      <c r="W236" s="60">
        <v>53</v>
      </c>
      <c r="X236" s="61">
        <v>73</v>
      </c>
      <c r="Y236" s="61">
        <v>114</v>
      </c>
      <c r="Z236" s="61">
        <v>16</v>
      </c>
      <c r="AA236" s="65">
        <v>103</v>
      </c>
      <c r="AB236" s="65">
        <v>92</v>
      </c>
      <c r="AC236" s="66"/>
      <c r="AD236" s="67">
        <f t="shared" si="86"/>
        <v>0.14971751412429379</v>
      </c>
      <c r="AE236" s="67">
        <f t="shared" si="87"/>
        <v>0.20621468926553671</v>
      </c>
      <c r="AF236" s="67">
        <f t="shared" si="88"/>
        <v>0.32203389830508472</v>
      </c>
      <c r="AG236" s="67">
        <f t="shared" si="89"/>
        <v>4.519774011299435E-2</v>
      </c>
      <c r="AH236" s="67">
        <f t="shared" si="90"/>
        <v>0.29096045197740111</v>
      </c>
      <c r="AI236" s="67">
        <f t="shared" si="91"/>
        <v>0.25988700564971751</v>
      </c>
      <c r="AJ236" s="66"/>
      <c r="AK236" s="68">
        <v>364.67999999999989</v>
      </c>
      <c r="AL236" s="69">
        <v>549.41</v>
      </c>
      <c r="AM236" s="69">
        <v>549.41</v>
      </c>
      <c r="AN236" s="69">
        <v>599.99999999999977</v>
      </c>
      <c r="AO236" s="70">
        <v>65.89</v>
      </c>
      <c r="AP236" s="70">
        <v>223.18</v>
      </c>
      <c r="AQ236" s="66"/>
      <c r="AR236" s="70" t="s">
        <v>779</v>
      </c>
      <c r="AS236" s="66"/>
      <c r="AT236" s="108">
        <v>0</v>
      </c>
      <c r="AU236" s="109">
        <v>1614.45</v>
      </c>
      <c r="AV236" s="109">
        <v>0</v>
      </c>
      <c r="AW236" s="109">
        <v>3888.96</v>
      </c>
      <c r="AX236" s="110">
        <v>2390.7600000000002</v>
      </c>
      <c r="AY236" s="110">
        <v>1923.5</v>
      </c>
    </row>
    <row r="237" spans="1:51" x14ac:dyDescent="0.25">
      <c r="A237" s="8" t="s">
        <v>530</v>
      </c>
      <c r="B237" s="5" t="s">
        <v>531</v>
      </c>
      <c r="C237" s="2">
        <v>2</v>
      </c>
      <c r="D237" s="24">
        <v>30000</v>
      </c>
      <c r="E237" s="26">
        <f t="shared" si="83"/>
        <v>15000</v>
      </c>
      <c r="F237" s="26">
        <v>259738</v>
      </c>
      <c r="G237" s="30">
        <f t="shared" si="84"/>
        <v>5.7750502429371138E-2</v>
      </c>
      <c r="H237" s="11"/>
      <c r="I237" s="9">
        <v>6333</v>
      </c>
      <c r="J237" s="3">
        <v>10361</v>
      </c>
      <c r="K237" s="3">
        <v>8244</v>
      </c>
      <c r="L237" s="3">
        <v>10028</v>
      </c>
      <c r="M237" s="6">
        <v>11040</v>
      </c>
      <c r="N237" s="6">
        <v>6729</v>
      </c>
      <c r="O237" s="13"/>
      <c r="P237" s="60">
        <f t="shared" si="102"/>
        <v>12666</v>
      </c>
      <c r="Q237" s="61">
        <f t="shared" si="103"/>
        <v>20722</v>
      </c>
      <c r="R237" s="61">
        <f t="shared" si="104"/>
        <v>16488</v>
      </c>
      <c r="S237" s="62">
        <f t="shared" si="105"/>
        <v>20056</v>
      </c>
      <c r="T237" s="63">
        <f t="shared" si="106"/>
        <v>22080</v>
      </c>
      <c r="U237" s="63">
        <f t="shared" si="85"/>
        <v>13458</v>
      </c>
      <c r="V237" s="64"/>
      <c r="W237" s="60">
        <v>7773</v>
      </c>
      <c r="X237" s="61">
        <v>6041</v>
      </c>
      <c r="Y237" s="61">
        <v>8947</v>
      </c>
      <c r="Z237" s="61">
        <v>12805</v>
      </c>
      <c r="AA237" s="65">
        <v>9980</v>
      </c>
      <c r="AB237" s="65">
        <v>11872</v>
      </c>
      <c r="AC237" s="66"/>
      <c r="AD237" s="67">
        <f t="shared" si="86"/>
        <v>2.9926310358900123E-2</v>
      </c>
      <c r="AE237" s="67">
        <f t="shared" si="87"/>
        <v>2.3258052345055402E-2</v>
      </c>
      <c r="AF237" s="67">
        <f t="shared" si="88"/>
        <v>3.4446249682372233E-2</v>
      </c>
      <c r="AG237" s="67">
        <f t="shared" si="89"/>
        <v>4.929967890720649E-2</v>
      </c>
      <c r="AH237" s="67">
        <f t="shared" si="90"/>
        <v>3.8423334283008259E-2</v>
      </c>
      <c r="AI237" s="67">
        <f t="shared" si="91"/>
        <v>4.5707597656099608E-2</v>
      </c>
      <c r="AJ237" s="66"/>
      <c r="AK237" s="68">
        <v>12287.91</v>
      </c>
      <c r="AL237" s="69">
        <v>10133.45999999995</v>
      </c>
      <c r="AM237" s="69">
        <v>10133.45999999995</v>
      </c>
      <c r="AN237" s="69">
        <v>13162.219999999978</v>
      </c>
      <c r="AO237" s="70">
        <v>20359.759999999998</v>
      </c>
      <c r="AP237" s="70">
        <v>21282.860000000099</v>
      </c>
      <c r="AQ237" s="66"/>
      <c r="AR237" s="70" t="s">
        <v>780</v>
      </c>
      <c r="AS237" s="66"/>
      <c r="AT237" s="108">
        <v>175170.53</v>
      </c>
      <c r="AU237" s="109">
        <v>285578.65000000002</v>
      </c>
      <c r="AV237" s="109">
        <v>225991.44</v>
      </c>
      <c r="AW237" s="109">
        <v>273164.32</v>
      </c>
      <c r="AX237" s="110">
        <v>300569.99</v>
      </c>
      <c r="AY237" s="110">
        <v>182371.19</v>
      </c>
    </row>
    <row r="238" spans="1:51" x14ac:dyDescent="0.25">
      <c r="A238" s="8">
        <v>5409</v>
      </c>
      <c r="B238" s="5" t="s">
        <v>118</v>
      </c>
      <c r="C238" s="2">
        <v>1.9699999999999998</v>
      </c>
      <c r="D238" s="24">
        <v>41</v>
      </c>
      <c r="E238" s="26">
        <f t="shared" si="83"/>
        <v>20.5</v>
      </c>
      <c r="F238" s="26">
        <v>205</v>
      </c>
      <c r="G238" s="30">
        <f t="shared" si="84"/>
        <v>0.1</v>
      </c>
      <c r="H238" s="11"/>
      <c r="I238" s="9">
        <v>0</v>
      </c>
      <c r="J238" s="3">
        <v>268</v>
      </c>
      <c r="K238" s="3">
        <v>0</v>
      </c>
      <c r="L238" s="3">
        <v>0</v>
      </c>
      <c r="M238" s="6"/>
      <c r="N238" s="6">
        <v>100</v>
      </c>
      <c r="O238" s="13"/>
      <c r="P238" s="60">
        <f t="shared" si="102"/>
        <v>0</v>
      </c>
      <c r="Q238" s="61">
        <f t="shared" si="103"/>
        <v>527.95999999999992</v>
      </c>
      <c r="R238" s="61">
        <f t="shared" si="104"/>
        <v>0</v>
      </c>
      <c r="S238" s="62">
        <f t="shared" si="105"/>
        <v>0</v>
      </c>
      <c r="T238" s="63">
        <f t="shared" si="106"/>
        <v>0</v>
      </c>
      <c r="U238" s="63">
        <f t="shared" si="85"/>
        <v>196.99999999999997</v>
      </c>
      <c r="V238" s="64"/>
      <c r="W238" s="60">
        <v>28</v>
      </c>
      <c r="X238" s="61">
        <v>5</v>
      </c>
      <c r="Y238" s="61">
        <v>9</v>
      </c>
      <c r="Z238" s="61">
        <v>13</v>
      </c>
      <c r="AA238" s="65">
        <v>11</v>
      </c>
      <c r="AB238" s="65">
        <v>1</v>
      </c>
      <c r="AC238" s="66"/>
      <c r="AD238" s="67">
        <f t="shared" si="86"/>
        <v>0.13658536585365855</v>
      </c>
      <c r="AE238" s="67">
        <f t="shared" si="87"/>
        <v>2.4390243902439025E-2</v>
      </c>
      <c r="AF238" s="67">
        <f t="shared" si="88"/>
        <v>4.3902439024390241E-2</v>
      </c>
      <c r="AG238" s="67">
        <f t="shared" si="89"/>
        <v>6.3414634146341464E-2</v>
      </c>
      <c r="AH238" s="67">
        <f t="shared" si="90"/>
        <v>5.3658536585365853E-2</v>
      </c>
      <c r="AI238" s="67">
        <f t="shared" si="91"/>
        <v>4.8780487804878049E-3</v>
      </c>
      <c r="AJ238" s="66"/>
      <c r="AK238" s="68">
        <v>41.58</v>
      </c>
      <c r="AL238" s="69">
        <v>9.39</v>
      </c>
      <c r="AM238" s="69">
        <v>9.39</v>
      </c>
      <c r="AN238" s="69">
        <v>13.260000000000002</v>
      </c>
      <c r="AO238" s="70">
        <v>26.3</v>
      </c>
      <c r="AP238" s="70">
        <v>1.97</v>
      </c>
      <c r="AQ238" s="66"/>
      <c r="AR238" s="70" t="s">
        <v>779</v>
      </c>
      <c r="AS238" s="66"/>
      <c r="AT238" s="108">
        <v>0</v>
      </c>
      <c r="AU238" s="109">
        <v>857.32</v>
      </c>
      <c r="AV238" s="109">
        <v>0</v>
      </c>
      <c r="AW238" s="109">
        <v>0</v>
      </c>
      <c r="AX238" s="110">
        <v>0</v>
      </c>
      <c r="AY238" s="110">
        <v>315</v>
      </c>
    </row>
    <row r="239" spans="1:51" x14ac:dyDescent="0.25">
      <c r="A239" s="8" t="s">
        <v>544</v>
      </c>
      <c r="B239" s="5" t="s">
        <v>545</v>
      </c>
      <c r="C239" s="2">
        <v>1.9699999999999989</v>
      </c>
      <c r="D239" s="24">
        <v>1000</v>
      </c>
      <c r="E239" s="26">
        <f t="shared" si="83"/>
        <v>500</v>
      </c>
      <c r="F239" s="26">
        <v>2238</v>
      </c>
      <c r="G239" s="30">
        <f t="shared" si="84"/>
        <v>0.22341376228775692</v>
      </c>
      <c r="H239" s="11"/>
      <c r="I239" s="9">
        <v>0</v>
      </c>
      <c r="J239" s="3">
        <v>96</v>
      </c>
      <c r="K239" s="3">
        <v>191</v>
      </c>
      <c r="L239" s="3">
        <v>59</v>
      </c>
      <c r="M239" s="6">
        <v>30</v>
      </c>
      <c r="N239" s="6">
        <v>195</v>
      </c>
      <c r="O239" s="13"/>
      <c r="P239" s="60">
        <f t="shared" si="102"/>
        <v>0</v>
      </c>
      <c r="Q239" s="61">
        <f t="shared" si="103"/>
        <v>189.11999999999989</v>
      </c>
      <c r="R239" s="61">
        <f t="shared" si="104"/>
        <v>376.26999999999975</v>
      </c>
      <c r="S239" s="62">
        <f t="shared" si="105"/>
        <v>116.22999999999993</v>
      </c>
      <c r="T239" s="63">
        <f t="shared" si="106"/>
        <v>59.099999999999966</v>
      </c>
      <c r="U239" s="63">
        <f t="shared" si="85"/>
        <v>384.14999999999975</v>
      </c>
      <c r="V239" s="64"/>
      <c r="W239" s="60">
        <v>29</v>
      </c>
      <c r="X239" s="61">
        <v>159</v>
      </c>
      <c r="Y239" s="61">
        <v>4</v>
      </c>
      <c r="Z239" s="61">
        <v>91</v>
      </c>
      <c r="AA239" s="65">
        <v>119</v>
      </c>
      <c r="AB239" s="65">
        <v>122</v>
      </c>
      <c r="AC239" s="66"/>
      <c r="AD239" s="67">
        <f t="shared" si="86"/>
        <v>1.2957998212689902E-2</v>
      </c>
      <c r="AE239" s="67">
        <f t="shared" si="87"/>
        <v>7.1045576407506708E-2</v>
      </c>
      <c r="AF239" s="67">
        <f t="shared" si="88"/>
        <v>1.7873100983020554E-3</v>
      </c>
      <c r="AG239" s="67">
        <f t="shared" si="89"/>
        <v>4.0661304736371758E-2</v>
      </c>
      <c r="AH239" s="67">
        <f t="shared" si="90"/>
        <v>5.3172475424486151E-2</v>
      </c>
      <c r="AI239" s="67">
        <f t="shared" si="91"/>
        <v>5.4512957998212687E-2</v>
      </c>
      <c r="AJ239" s="66"/>
      <c r="AK239" s="68">
        <v>64.66</v>
      </c>
      <c r="AL239" s="69">
        <v>291.33000000000004</v>
      </c>
      <c r="AM239" s="69">
        <v>291.33</v>
      </c>
      <c r="AN239" s="69">
        <v>5.54</v>
      </c>
      <c r="AO239" s="70">
        <v>175.5</v>
      </c>
      <c r="AP239" s="70">
        <v>236.85</v>
      </c>
      <c r="AQ239" s="66"/>
      <c r="AR239" s="70" t="s">
        <v>780</v>
      </c>
      <c r="AS239" s="66"/>
      <c r="AT239" s="108">
        <v>0</v>
      </c>
      <c r="AU239" s="109">
        <v>2495.7199999999998</v>
      </c>
      <c r="AV239" s="109">
        <v>5517.64</v>
      </c>
      <c r="AW239" s="109">
        <v>1696.84</v>
      </c>
      <c r="AX239" s="110">
        <v>862.8</v>
      </c>
      <c r="AY239" s="110">
        <v>5673.17</v>
      </c>
    </row>
    <row r="240" spans="1:51" x14ac:dyDescent="0.25">
      <c r="A240" s="8">
        <v>6016</v>
      </c>
      <c r="B240" s="5" t="s">
        <v>141</v>
      </c>
      <c r="C240" s="2">
        <v>1.9600000000000004</v>
      </c>
      <c r="D240" s="24">
        <v>2500</v>
      </c>
      <c r="E240" s="26">
        <f t="shared" si="83"/>
        <v>1250</v>
      </c>
      <c r="F240" s="26">
        <v>3096</v>
      </c>
      <c r="G240" s="30">
        <f t="shared" si="84"/>
        <v>0.40374677002583981</v>
      </c>
      <c r="H240" s="11"/>
      <c r="I240" s="9">
        <v>760</v>
      </c>
      <c r="J240" s="3">
        <v>686</v>
      </c>
      <c r="K240" s="3">
        <v>0</v>
      </c>
      <c r="L240" s="3">
        <v>100</v>
      </c>
      <c r="M240" s="6">
        <v>558</v>
      </c>
      <c r="N240" s="6">
        <v>831</v>
      </c>
      <c r="O240" s="13"/>
      <c r="P240" s="60">
        <f t="shared" si="102"/>
        <v>1489.6000000000004</v>
      </c>
      <c r="Q240" s="61">
        <f t="shared" si="103"/>
        <v>1344.5600000000002</v>
      </c>
      <c r="R240" s="61">
        <f t="shared" si="104"/>
        <v>0</v>
      </c>
      <c r="S240" s="62">
        <f t="shared" si="105"/>
        <v>196.00000000000003</v>
      </c>
      <c r="T240" s="63">
        <f t="shared" si="106"/>
        <v>1093.6800000000003</v>
      </c>
      <c r="U240" s="63">
        <f t="shared" si="85"/>
        <v>1628.7600000000004</v>
      </c>
      <c r="V240" s="64"/>
      <c r="W240" s="60">
        <v>585</v>
      </c>
      <c r="X240" s="61">
        <v>746</v>
      </c>
      <c r="Y240" s="61">
        <v>623</v>
      </c>
      <c r="Z240" s="61">
        <v>1093</v>
      </c>
      <c r="AA240" s="65">
        <v>730</v>
      </c>
      <c r="AB240" s="65">
        <v>589</v>
      </c>
      <c r="AC240" s="66"/>
      <c r="AD240" s="67">
        <f t="shared" si="86"/>
        <v>0.18895348837209303</v>
      </c>
      <c r="AE240" s="67">
        <f t="shared" si="87"/>
        <v>0.24095607235142119</v>
      </c>
      <c r="AF240" s="67">
        <f t="shared" si="88"/>
        <v>0.20122739018087854</v>
      </c>
      <c r="AG240" s="67">
        <f t="shared" si="89"/>
        <v>0.35303617571059431</v>
      </c>
      <c r="AH240" s="67">
        <f t="shared" si="90"/>
        <v>0.23578811369509045</v>
      </c>
      <c r="AI240" s="67">
        <f t="shared" si="91"/>
        <v>0.1902454780361757</v>
      </c>
      <c r="AJ240" s="66"/>
      <c r="AK240" s="68">
        <v>896.73999999999921</v>
      </c>
      <c r="AL240" s="69">
        <v>1137.9599999999989</v>
      </c>
      <c r="AM240" s="69">
        <v>1137.9599999999987</v>
      </c>
      <c r="AN240" s="69">
        <v>1095.3699999999985</v>
      </c>
      <c r="AO240" s="70">
        <v>1064.25</v>
      </c>
      <c r="AP240" s="70">
        <v>545.66999999999905</v>
      </c>
      <c r="AQ240" s="66"/>
      <c r="AR240" s="70" t="s">
        <v>779</v>
      </c>
      <c r="AS240" s="66"/>
      <c r="AT240" s="108">
        <v>2633.8</v>
      </c>
      <c r="AU240" s="109">
        <v>2383.2799999999997</v>
      </c>
      <c r="AV240" s="109">
        <v>0</v>
      </c>
      <c r="AW240" s="109">
        <v>345</v>
      </c>
      <c r="AX240" s="110">
        <v>1920</v>
      </c>
      <c r="AY240" s="110">
        <v>2834.5400000000004</v>
      </c>
    </row>
    <row r="241" spans="1:51" x14ac:dyDescent="0.25">
      <c r="A241" s="8">
        <v>211</v>
      </c>
      <c r="B241" s="5" t="s">
        <v>160</v>
      </c>
      <c r="C241" s="2">
        <v>1.96</v>
      </c>
      <c r="D241" s="24">
        <v>4000</v>
      </c>
      <c r="E241" s="26">
        <f t="shared" si="83"/>
        <v>2000</v>
      </c>
      <c r="F241" s="26">
        <v>7196</v>
      </c>
      <c r="G241" s="30">
        <f t="shared" si="84"/>
        <v>0.27793218454697055</v>
      </c>
      <c r="H241" s="11"/>
      <c r="I241" s="9">
        <v>300</v>
      </c>
      <c r="J241" s="3">
        <v>0</v>
      </c>
      <c r="K241" s="3">
        <v>70</v>
      </c>
      <c r="L241" s="3">
        <v>0</v>
      </c>
      <c r="M241" s="6">
        <v>1197</v>
      </c>
      <c r="N241" s="6">
        <v>8004</v>
      </c>
      <c r="O241" s="13"/>
      <c r="P241" s="60">
        <f t="shared" si="102"/>
        <v>588</v>
      </c>
      <c r="Q241" s="61">
        <f t="shared" si="103"/>
        <v>0</v>
      </c>
      <c r="R241" s="61">
        <f t="shared" si="104"/>
        <v>137.19999999999999</v>
      </c>
      <c r="S241" s="62">
        <f t="shared" si="105"/>
        <v>0</v>
      </c>
      <c r="T241" s="63">
        <f t="shared" si="106"/>
        <v>2346.12</v>
      </c>
      <c r="U241" s="63">
        <f t="shared" si="85"/>
        <v>15687.84</v>
      </c>
      <c r="V241" s="64"/>
      <c r="W241" s="60">
        <v>2222</v>
      </c>
      <c r="X241" s="61">
        <v>1687</v>
      </c>
      <c r="Y241" s="61">
        <v>2358</v>
      </c>
      <c r="Z241" s="61">
        <v>2223</v>
      </c>
      <c r="AA241" s="65">
        <v>2646</v>
      </c>
      <c r="AB241" s="65">
        <v>2667</v>
      </c>
      <c r="AC241" s="66"/>
      <c r="AD241" s="67">
        <f t="shared" si="86"/>
        <v>0.30878265703168428</v>
      </c>
      <c r="AE241" s="67">
        <f t="shared" si="87"/>
        <v>0.23443579766536965</v>
      </c>
      <c r="AF241" s="67">
        <f t="shared" si="88"/>
        <v>0.32768204558087827</v>
      </c>
      <c r="AG241" s="67">
        <f t="shared" si="89"/>
        <v>0.30892162312395777</v>
      </c>
      <c r="AH241" s="67">
        <f t="shared" si="90"/>
        <v>0.36770428015564205</v>
      </c>
      <c r="AI241" s="67">
        <f t="shared" si="91"/>
        <v>0.37062256809338523</v>
      </c>
      <c r="AJ241" s="66"/>
      <c r="AK241" s="68">
        <v>5724.7300000000087</v>
      </c>
      <c r="AL241" s="69">
        <v>3946.0999999999926</v>
      </c>
      <c r="AM241" s="69">
        <v>3946.099999999994</v>
      </c>
      <c r="AN241" s="69">
        <v>3617.6499999999942</v>
      </c>
      <c r="AO241" s="70">
        <v>2656.1299999999801</v>
      </c>
      <c r="AP241" s="70">
        <v>2915.58</v>
      </c>
      <c r="AQ241" s="66"/>
      <c r="AR241" s="70" t="s">
        <v>779</v>
      </c>
      <c r="AS241" s="66"/>
      <c r="AT241" s="108">
        <v>1425</v>
      </c>
      <c r="AU241" s="109">
        <v>0</v>
      </c>
      <c r="AV241" s="109">
        <v>245</v>
      </c>
      <c r="AW241" s="109">
        <v>0</v>
      </c>
      <c r="AX241" s="110">
        <v>4201.47</v>
      </c>
      <c r="AY241" s="110">
        <v>31495.64</v>
      </c>
    </row>
    <row r="242" spans="1:51" x14ac:dyDescent="0.25">
      <c r="A242" s="8">
        <v>3658</v>
      </c>
      <c r="B242" s="5" t="s">
        <v>291</v>
      </c>
      <c r="C242" s="2">
        <v>1.9499999999999993</v>
      </c>
      <c r="D242" s="24">
        <v>700</v>
      </c>
      <c r="E242" s="26">
        <f t="shared" si="83"/>
        <v>350</v>
      </c>
      <c r="F242" s="26">
        <v>6408</v>
      </c>
      <c r="G242" s="30">
        <f t="shared" si="84"/>
        <v>5.4619225967540576E-2</v>
      </c>
      <c r="H242" s="11"/>
      <c r="I242" s="9">
        <v>306</v>
      </c>
      <c r="J242" s="3">
        <v>380</v>
      </c>
      <c r="K242" s="3">
        <v>860</v>
      </c>
      <c r="L242" s="3">
        <v>151</v>
      </c>
      <c r="M242" s="6">
        <v>209</v>
      </c>
      <c r="N242" s="6">
        <v>0</v>
      </c>
      <c r="O242" s="13"/>
      <c r="P242" s="60">
        <f t="shared" si="102"/>
        <v>596.69999999999982</v>
      </c>
      <c r="Q242" s="61">
        <f t="shared" si="103"/>
        <v>740.99999999999977</v>
      </c>
      <c r="R242" s="61">
        <f t="shared" si="104"/>
        <v>1676.9999999999993</v>
      </c>
      <c r="S242" s="62">
        <f t="shared" si="105"/>
        <v>294.44999999999987</v>
      </c>
      <c r="T242" s="63">
        <f t="shared" si="106"/>
        <v>407.54999999999984</v>
      </c>
      <c r="U242" s="63">
        <f t="shared" si="85"/>
        <v>0</v>
      </c>
      <c r="V242" s="64"/>
      <c r="W242" s="60">
        <v>143</v>
      </c>
      <c r="X242" s="61">
        <v>136</v>
      </c>
      <c r="Y242" s="61">
        <v>60</v>
      </c>
      <c r="Z242" s="61">
        <v>0</v>
      </c>
      <c r="AA242" s="65">
        <v>100</v>
      </c>
      <c r="AB242" s="65">
        <v>0</v>
      </c>
      <c r="AC242" s="66"/>
      <c r="AD242" s="67">
        <f t="shared" si="86"/>
        <v>2.2315855181023719E-2</v>
      </c>
      <c r="AE242" s="67">
        <f t="shared" si="87"/>
        <v>2.1223470661672909E-2</v>
      </c>
      <c r="AF242" s="67">
        <f t="shared" si="88"/>
        <v>9.3632958801498131E-3</v>
      </c>
      <c r="AG242" s="67">
        <f t="shared" si="89"/>
        <v>0</v>
      </c>
      <c r="AH242" s="67">
        <f t="shared" si="90"/>
        <v>1.5605493133583021E-2</v>
      </c>
      <c r="AI242" s="67">
        <f t="shared" si="91"/>
        <v>0</v>
      </c>
      <c r="AJ242" s="66"/>
      <c r="AK242" s="68">
        <v>418.97</v>
      </c>
      <c r="AL242" s="69">
        <v>607.99999999999966</v>
      </c>
      <c r="AM242" s="69">
        <v>607.99999999999989</v>
      </c>
      <c r="AN242" s="69">
        <v>260.85000000000002</v>
      </c>
      <c r="AO242" s="70">
        <v>194.99999999999994</v>
      </c>
      <c r="AP242" s="70">
        <v>0</v>
      </c>
      <c r="AQ242" s="66"/>
      <c r="AR242" s="70" t="s">
        <v>779</v>
      </c>
      <c r="AS242" s="66"/>
      <c r="AT242" s="108">
        <v>2275.98</v>
      </c>
      <c r="AU242" s="109">
        <v>2852</v>
      </c>
      <c r="AV242" s="109">
        <v>6503</v>
      </c>
      <c r="AW242" s="109">
        <v>1130.01</v>
      </c>
      <c r="AX242" s="110">
        <v>1583.75</v>
      </c>
      <c r="AY242" s="110">
        <v>0</v>
      </c>
    </row>
    <row r="243" spans="1:51" x14ac:dyDescent="0.25">
      <c r="A243" s="8" t="s">
        <v>341</v>
      </c>
      <c r="B243" s="5" t="s">
        <v>342</v>
      </c>
      <c r="C243" s="2">
        <v>1.9300000000000015</v>
      </c>
      <c r="D243" s="24">
        <v>3000</v>
      </c>
      <c r="E243" s="26">
        <f t="shared" si="83"/>
        <v>1500</v>
      </c>
      <c r="F243" s="26">
        <v>1191</v>
      </c>
      <c r="G243" s="30">
        <f t="shared" si="84"/>
        <v>1.2594458438287153</v>
      </c>
      <c r="H243" s="11"/>
      <c r="I243" s="9">
        <v>219</v>
      </c>
      <c r="J243" s="3">
        <v>240</v>
      </c>
      <c r="K243" s="3">
        <v>0</v>
      </c>
      <c r="L243" s="3">
        <v>0</v>
      </c>
      <c r="M243" s="6">
        <v>1153</v>
      </c>
      <c r="N243" s="6">
        <v>539</v>
      </c>
      <c r="O243" s="13"/>
      <c r="P243" s="60">
        <f t="shared" si="102"/>
        <v>422.6700000000003</v>
      </c>
      <c r="Q243" s="61">
        <f t="shared" si="103"/>
        <v>463.20000000000039</v>
      </c>
      <c r="R243" s="61">
        <f t="shared" si="104"/>
        <v>0</v>
      </c>
      <c r="S243" s="62">
        <f t="shared" si="105"/>
        <v>0</v>
      </c>
      <c r="T243" s="63">
        <f t="shared" si="106"/>
        <v>2225.2900000000018</v>
      </c>
      <c r="U243" s="63">
        <f t="shared" si="85"/>
        <v>1040.2700000000009</v>
      </c>
      <c r="V243" s="64"/>
      <c r="W243" s="60">
        <v>424</v>
      </c>
      <c r="X243" s="61">
        <v>501</v>
      </c>
      <c r="Y243" s="61">
        <v>240</v>
      </c>
      <c r="Z243" s="61">
        <v>0</v>
      </c>
      <c r="AA243" s="65">
        <v>44</v>
      </c>
      <c r="AB243" s="65">
        <v>1105</v>
      </c>
      <c r="AC243" s="66"/>
      <c r="AD243" s="67">
        <f t="shared" si="86"/>
        <v>0.35600335852225024</v>
      </c>
      <c r="AE243" s="67">
        <f t="shared" si="87"/>
        <v>0.42065491183879095</v>
      </c>
      <c r="AF243" s="67">
        <f t="shared" si="88"/>
        <v>0.20151133501259447</v>
      </c>
      <c r="AG243" s="67">
        <f t="shared" si="89"/>
        <v>0</v>
      </c>
      <c r="AH243" s="67">
        <f t="shared" si="90"/>
        <v>3.6943744752308987E-2</v>
      </c>
      <c r="AI243" s="67">
        <f t="shared" si="91"/>
        <v>0.92779177162048698</v>
      </c>
      <c r="AJ243" s="66"/>
      <c r="AK243" s="68">
        <v>845.70999999999992</v>
      </c>
      <c r="AL243" s="69">
        <v>977.78999999999689</v>
      </c>
      <c r="AM243" s="69">
        <v>977.78999999999689</v>
      </c>
      <c r="AN243" s="69">
        <v>493.8</v>
      </c>
      <c r="AO243" s="70">
        <v>84.920000000000073</v>
      </c>
      <c r="AP243" s="70">
        <v>2075.25</v>
      </c>
      <c r="AQ243" s="66"/>
      <c r="AR243" s="70" t="s">
        <v>779</v>
      </c>
      <c r="AS243" s="66"/>
      <c r="AT243" s="108">
        <v>2195.58</v>
      </c>
      <c r="AU243" s="109">
        <v>2361.6</v>
      </c>
      <c r="AV243" s="109">
        <v>0</v>
      </c>
      <c r="AW243" s="109">
        <v>0</v>
      </c>
      <c r="AX243" s="110">
        <v>11421.75</v>
      </c>
      <c r="AY243" s="110">
        <v>5344.17</v>
      </c>
    </row>
    <row r="244" spans="1:51" x14ac:dyDescent="0.25">
      <c r="A244" s="8" t="s">
        <v>400</v>
      </c>
      <c r="B244" s="5" t="s">
        <v>401</v>
      </c>
      <c r="C244" s="2">
        <v>1.9300000000000015</v>
      </c>
      <c r="D244" s="24">
        <v>200</v>
      </c>
      <c r="E244" s="26">
        <f t="shared" si="83"/>
        <v>100</v>
      </c>
      <c r="F244" s="26">
        <v>589</v>
      </c>
      <c r="G244" s="30">
        <f t="shared" si="84"/>
        <v>0.1697792869269949</v>
      </c>
      <c r="H244" s="11"/>
      <c r="I244" s="9">
        <v>170</v>
      </c>
      <c r="J244" s="3">
        <v>375</v>
      </c>
      <c r="K244" s="3">
        <v>50</v>
      </c>
      <c r="L244" s="3">
        <v>100</v>
      </c>
      <c r="M244" s="6">
        <v>230</v>
      </c>
      <c r="N244" s="6">
        <v>0</v>
      </c>
      <c r="O244" s="13"/>
      <c r="P244" s="60">
        <f t="shared" si="102"/>
        <v>328.10000000000025</v>
      </c>
      <c r="Q244" s="61">
        <f t="shared" si="103"/>
        <v>723.75000000000057</v>
      </c>
      <c r="R244" s="61">
        <f t="shared" si="104"/>
        <v>96.500000000000071</v>
      </c>
      <c r="S244" s="62">
        <f t="shared" si="105"/>
        <v>193.00000000000014</v>
      </c>
      <c r="T244" s="63">
        <f t="shared" si="106"/>
        <v>443.90000000000032</v>
      </c>
      <c r="U244" s="63">
        <f t="shared" si="85"/>
        <v>0</v>
      </c>
      <c r="V244" s="64"/>
      <c r="W244" s="60">
        <v>54</v>
      </c>
      <c r="X244" s="61">
        <v>377</v>
      </c>
      <c r="Y244" s="61">
        <v>168</v>
      </c>
      <c r="Z244" s="61">
        <v>83</v>
      </c>
      <c r="AA244" s="65">
        <v>206</v>
      </c>
      <c r="AB244" s="65">
        <v>111</v>
      </c>
      <c r="AC244" s="66"/>
      <c r="AD244" s="67">
        <f t="shared" si="86"/>
        <v>9.1680814940577254E-2</v>
      </c>
      <c r="AE244" s="67">
        <f t="shared" si="87"/>
        <v>0.64006791171477084</v>
      </c>
      <c r="AF244" s="67">
        <f t="shared" si="88"/>
        <v>0.28522920203735147</v>
      </c>
      <c r="AG244" s="67">
        <f t="shared" si="89"/>
        <v>0.14091680814940577</v>
      </c>
      <c r="AH244" s="67">
        <f t="shared" si="90"/>
        <v>0.34974533106960953</v>
      </c>
      <c r="AI244" s="67">
        <f t="shared" si="91"/>
        <v>0.18845500848896435</v>
      </c>
      <c r="AJ244" s="66"/>
      <c r="AK244" s="68">
        <v>110.48</v>
      </c>
      <c r="AL244" s="69">
        <v>645.26999999999987</v>
      </c>
      <c r="AM244" s="69">
        <v>645.27000000000021</v>
      </c>
      <c r="AN244" s="69">
        <v>495.30999999999966</v>
      </c>
      <c r="AO244" s="70">
        <v>385.2</v>
      </c>
      <c r="AP244" s="70">
        <v>190.63</v>
      </c>
      <c r="AQ244" s="66"/>
      <c r="AR244" s="70" t="s">
        <v>779</v>
      </c>
      <c r="AS244" s="66"/>
      <c r="AT244" s="108">
        <v>2276.3000000000002</v>
      </c>
      <c r="AU244" s="109">
        <v>5000.25</v>
      </c>
      <c r="AV244" s="109">
        <v>672.5</v>
      </c>
      <c r="AW244" s="109">
        <v>1327</v>
      </c>
      <c r="AX244" s="110">
        <v>3040.6</v>
      </c>
      <c r="AY244" s="110">
        <v>0</v>
      </c>
    </row>
    <row r="245" spans="1:51" x14ac:dyDescent="0.25">
      <c r="A245" s="8" t="s">
        <v>75</v>
      </c>
      <c r="B245" s="5" t="s">
        <v>76</v>
      </c>
      <c r="C245" s="2">
        <v>1.9300000000000002</v>
      </c>
      <c r="D245" s="24">
        <v>2000</v>
      </c>
      <c r="E245" s="26">
        <f t="shared" si="83"/>
        <v>1000</v>
      </c>
      <c r="F245" s="26">
        <v>7131</v>
      </c>
      <c r="G245" s="30">
        <f t="shared" si="84"/>
        <v>0.14023278642546627</v>
      </c>
      <c r="H245" s="11"/>
      <c r="I245" s="9">
        <v>8725</v>
      </c>
      <c r="J245" s="3">
        <v>2937</v>
      </c>
      <c r="K245" s="3">
        <v>1298</v>
      </c>
      <c r="L245" s="3">
        <v>65</v>
      </c>
      <c r="M245" s="6">
        <v>1038</v>
      </c>
      <c r="N245" s="6">
        <v>1820</v>
      </c>
      <c r="O245" s="13"/>
      <c r="P245" s="60">
        <f t="shared" si="102"/>
        <v>16839.25</v>
      </c>
      <c r="Q245" s="61">
        <f t="shared" si="103"/>
        <v>5668.4100000000008</v>
      </c>
      <c r="R245" s="61">
        <f t="shared" si="104"/>
        <v>2505.1400000000003</v>
      </c>
      <c r="S245" s="62">
        <f t="shared" si="105"/>
        <v>125.45000000000002</v>
      </c>
      <c r="T245" s="63">
        <f t="shared" si="106"/>
        <v>2003.3400000000001</v>
      </c>
      <c r="U245" s="63">
        <f t="shared" si="85"/>
        <v>3512.6000000000004</v>
      </c>
      <c r="V245" s="64"/>
      <c r="W245" s="60">
        <v>2181</v>
      </c>
      <c r="X245" s="61">
        <v>3120</v>
      </c>
      <c r="Y245" s="61">
        <v>3198</v>
      </c>
      <c r="Z245" s="61">
        <v>2415</v>
      </c>
      <c r="AA245" s="65">
        <v>64</v>
      </c>
      <c r="AB245" s="65">
        <v>630</v>
      </c>
      <c r="AC245" s="66"/>
      <c r="AD245" s="67">
        <f t="shared" si="86"/>
        <v>0.30584770719394194</v>
      </c>
      <c r="AE245" s="67">
        <f t="shared" si="87"/>
        <v>0.43752629364745477</v>
      </c>
      <c r="AF245" s="67">
        <f t="shared" si="88"/>
        <v>0.44846445098864113</v>
      </c>
      <c r="AG245" s="67">
        <f t="shared" si="89"/>
        <v>0.33866217921750102</v>
      </c>
      <c r="AH245" s="67">
        <f t="shared" si="90"/>
        <v>8.9748983312298407E-3</v>
      </c>
      <c r="AI245" s="67">
        <f t="shared" si="91"/>
        <v>8.8346655448043751E-2</v>
      </c>
      <c r="AJ245" s="66"/>
      <c r="AK245" s="68">
        <v>2976.2100000000032</v>
      </c>
      <c r="AL245" s="69">
        <v>3674.2799999999902</v>
      </c>
      <c r="AM245" s="69">
        <v>3674.2799999999907</v>
      </c>
      <c r="AN245" s="69">
        <v>3931.4499999999907</v>
      </c>
      <c r="AO245" s="70">
        <v>3139.0899999999901</v>
      </c>
      <c r="AP245" s="70">
        <v>813.91999999999803</v>
      </c>
      <c r="AQ245" s="66"/>
      <c r="AR245" s="70" t="s">
        <v>779</v>
      </c>
      <c r="AS245" s="66"/>
      <c r="AT245" s="108">
        <v>17861.670000000002</v>
      </c>
      <c r="AU245" s="109">
        <v>6081.15</v>
      </c>
      <c r="AV245" s="109">
        <v>2695.6</v>
      </c>
      <c r="AW245" s="109">
        <v>126.75</v>
      </c>
      <c r="AX245" s="110">
        <v>2129.75</v>
      </c>
      <c r="AY245" s="110">
        <v>3706.7699999999995</v>
      </c>
    </row>
    <row r="246" spans="1:51" x14ac:dyDescent="0.25">
      <c r="A246" s="8" t="s">
        <v>157</v>
      </c>
      <c r="B246" s="5" t="s">
        <v>158</v>
      </c>
      <c r="C246" s="2">
        <v>1.9200000000000004</v>
      </c>
      <c r="D246" s="24">
        <v>500</v>
      </c>
      <c r="E246" s="26">
        <f t="shared" si="83"/>
        <v>250</v>
      </c>
      <c r="F246" s="26">
        <v>876</v>
      </c>
      <c r="G246" s="30">
        <f t="shared" si="84"/>
        <v>0.28538812785388129</v>
      </c>
      <c r="H246" s="11"/>
      <c r="I246" s="9">
        <v>0</v>
      </c>
      <c r="J246" s="3">
        <v>0</v>
      </c>
      <c r="K246" s="3">
        <v>0</v>
      </c>
      <c r="L246" s="3">
        <v>100</v>
      </c>
      <c r="M246" s="6"/>
      <c r="N246" s="6">
        <v>1050</v>
      </c>
      <c r="O246" s="13"/>
      <c r="P246" s="60">
        <f t="shared" si="102"/>
        <v>0</v>
      </c>
      <c r="Q246" s="61">
        <f t="shared" si="103"/>
        <v>0</v>
      </c>
      <c r="R246" s="61">
        <f t="shared" si="104"/>
        <v>0</v>
      </c>
      <c r="S246" s="62">
        <f t="shared" si="105"/>
        <v>192.00000000000003</v>
      </c>
      <c r="T246" s="63">
        <f t="shared" si="106"/>
        <v>0</v>
      </c>
      <c r="U246" s="63">
        <f t="shared" si="85"/>
        <v>2016.0000000000005</v>
      </c>
      <c r="V246" s="64"/>
      <c r="W246" s="60">
        <v>0</v>
      </c>
      <c r="X246" s="61">
        <v>100</v>
      </c>
      <c r="Y246" s="61">
        <v>100</v>
      </c>
      <c r="Z246" s="61">
        <v>197</v>
      </c>
      <c r="AA246" s="65">
        <v>256</v>
      </c>
      <c r="AB246" s="65">
        <v>115</v>
      </c>
      <c r="AC246" s="66"/>
      <c r="AD246" s="67">
        <f t="shared" si="86"/>
        <v>0</v>
      </c>
      <c r="AE246" s="67">
        <f t="shared" si="87"/>
        <v>0.11415525114155251</v>
      </c>
      <c r="AF246" s="67">
        <f t="shared" si="88"/>
        <v>0.11415525114155251</v>
      </c>
      <c r="AG246" s="67">
        <f t="shared" si="89"/>
        <v>0.22488584474885845</v>
      </c>
      <c r="AH246" s="67">
        <f t="shared" si="90"/>
        <v>0.29223744292237441</v>
      </c>
      <c r="AI246" s="67">
        <f t="shared" si="91"/>
        <v>0.13127853881278539</v>
      </c>
      <c r="AJ246" s="66"/>
      <c r="AK246" s="68">
        <v>0</v>
      </c>
      <c r="AL246" s="69">
        <v>1.9499999999999971</v>
      </c>
      <c r="AM246" s="69">
        <v>192.00000000000003</v>
      </c>
      <c r="AN246" s="69">
        <v>82.139999999999986</v>
      </c>
      <c r="AO246" s="70">
        <v>130.29</v>
      </c>
      <c r="AP246" s="70">
        <v>102.97</v>
      </c>
      <c r="AQ246" s="66"/>
      <c r="AR246" s="70" t="s">
        <v>779</v>
      </c>
      <c r="AS246" s="66"/>
      <c r="AT246" s="108">
        <v>0</v>
      </c>
      <c r="AU246" s="109">
        <v>0</v>
      </c>
      <c r="AV246" s="109">
        <v>0</v>
      </c>
      <c r="AW246" s="109">
        <v>388</v>
      </c>
      <c r="AX246" s="110">
        <v>0</v>
      </c>
      <c r="AY246" s="110">
        <v>4043</v>
      </c>
    </row>
    <row r="247" spans="1:51" x14ac:dyDescent="0.25">
      <c r="A247" s="8" t="s">
        <v>73</v>
      </c>
      <c r="B247" s="5" t="s">
        <v>74</v>
      </c>
      <c r="C247" s="2">
        <v>1.91</v>
      </c>
      <c r="D247" s="24">
        <v>1397.8000000000002</v>
      </c>
      <c r="E247" s="26">
        <f t="shared" si="83"/>
        <v>698.90000000000009</v>
      </c>
      <c r="F247" s="26">
        <v>6989</v>
      </c>
      <c r="G247" s="30">
        <f t="shared" si="84"/>
        <v>0.10000000000000002</v>
      </c>
      <c r="H247" s="11"/>
      <c r="I247" s="9">
        <v>295</v>
      </c>
      <c r="J247" s="3">
        <v>0</v>
      </c>
      <c r="K247" s="3">
        <v>0</v>
      </c>
      <c r="L247" s="3">
        <v>0</v>
      </c>
      <c r="M247" s="6"/>
      <c r="N247" s="6">
        <v>0</v>
      </c>
      <c r="O247" s="13"/>
      <c r="P247" s="60">
        <f t="shared" si="102"/>
        <v>563.44999999999993</v>
      </c>
      <c r="Q247" s="61">
        <f t="shared" si="103"/>
        <v>0</v>
      </c>
      <c r="R247" s="61">
        <f t="shared" si="104"/>
        <v>0</v>
      </c>
      <c r="S247" s="62">
        <f t="shared" si="105"/>
        <v>0</v>
      </c>
      <c r="T247" s="63">
        <f t="shared" si="106"/>
        <v>0</v>
      </c>
      <c r="U247" s="63">
        <f t="shared" si="85"/>
        <v>0</v>
      </c>
      <c r="V247" s="64"/>
      <c r="W247" s="60">
        <v>23</v>
      </c>
      <c r="X247" s="61">
        <v>114</v>
      </c>
      <c r="Y247" s="61">
        <v>1378</v>
      </c>
      <c r="Z247" s="61">
        <v>1703</v>
      </c>
      <c r="AA247" s="65">
        <v>104</v>
      </c>
      <c r="AB247" s="65">
        <v>0</v>
      </c>
      <c r="AC247" s="66"/>
      <c r="AD247" s="67">
        <f t="shared" si="86"/>
        <v>3.2908856774932038E-3</v>
      </c>
      <c r="AE247" s="67">
        <f t="shared" si="87"/>
        <v>1.6311346401488052E-2</v>
      </c>
      <c r="AF247" s="67">
        <f t="shared" si="88"/>
        <v>0.19716697667763627</v>
      </c>
      <c r="AG247" s="67">
        <f t="shared" si="89"/>
        <v>0.24366862212047502</v>
      </c>
      <c r="AH247" s="67">
        <f t="shared" si="90"/>
        <v>1.4880526541708398E-2</v>
      </c>
      <c r="AI247" s="67">
        <f t="shared" si="91"/>
        <v>0</v>
      </c>
      <c r="AJ247" s="66"/>
      <c r="AK247" s="68">
        <v>7.2899999999999991</v>
      </c>
      <c r="AL247" s="69">
        <v>8.5599999999999987</v>
      </c>
      <c r="AM247" s="69">
        <v>8.56</v>
      </c>
      <c r="AN247" s="69">
        <v>292.34999999999957</v>
      </c>
      <c r="AO247" s="70">
        <v>420.469999999999</v>
      </c>
      <c r="AP247" s="70">
        <v>0</v>
      </c>
      <c r="AQ247" s="66"/>
      <c r="AR247" s="70" t="s">
        <v>779</v>
      </c>
      <c r="AS247" s="66"/>
      <c r="AT247" s="108">
        <v>578.20000000000005</v>
      </c>
      <c r="AU247" s="109">
        <v>0</v>
      </c>
      <c r="AV247" s="109">
        <v>0</v>
      </c>
      <c r="AW247" s="109">
        <v>0</v>
      </c>
      <c r="AX247" s="110">
        <v>0</v>
      </c>
      <c r="AY247" s="110">
        <v>0</v>
      </c>
    </row>
    <row r="248" spans="1:51" x14ac:dyDescent="0.25">
      <c r="A248" s="8" t="s">
        <v>136</v>
      </c>
      <c r="B248" s="5" t="s">
        <v>137</v>
      </c>
      <c r="C248" s="2">
        <v>1.9000000000000004</v>
      </c>
      <c r="D248" s="24">
        <v>1000</v>
      </c>
      <c r="E248" s="26">
        <f t="shared" si="83"/>
        <v>500</v>
      </c>
      <c r="F248" s="26">
        <v>5028</v>
      </c>
      <c r="G248" s="30">
        <f t="shared" si="84"/>
        <v>9.9443118536197292E-2</v>
      </c>
      <c r="H248" s="11"/>
      <c r="I248" s="9">
        <v>909</v>
      </c>
      <c r="J248" s="3">
        <v>2655</v>
      </c>
      <c r="K248" s="3">
        <v>199</v>
      </c>
      <c r="L248" s="3">
        <v>0</v>
      </c>
      <c r="M248" s="6"/>
      <c r="N248" s="6">
        <v>0</v>
      </c>
      <c r="O248" s="13"/>
      <c r="P248" s="60">
        <f t="shared" si="102"/>
        <v>1727.1000000000004</v>
      </c>
      <c r="Q248" s="61">
        <f t="shared" si="103"/>
        <v>5044.5000000000009</v>
      </c>
      <c r="R248" s="61">
        <f t="shared" si="104"/>
        <v>378.10000000000008</v>
      </c>
      <c r="S248" s="62">
        <f t="shared" si="105"/>
        <v>0</v>
      </c>
      <c r="T248" s="63">
        <f t="shared" si="106"/>
        <v>0</v>
      </c>
      <c r="U248" s="63">
        <f t="shared" si="85"/>
        <v>0</v>
      </c>
      <c r="V248" s="64"/>
      <c r="W248" s="60">
        <v>439</v>
      </c>
      <c r="X248" s="61">
        <v>404</v>
      </c>
      <c r="Y248" s="61">
        <v>1025</v>
      </c>
      <c r="Z248" s="61">
        <v>434</v>
      </c>
      <c r="AA248" s="65">
        <v>0</v>
      </c>
      <c r="AB248" s="65">
        <v>272</v>
      </c>
      <c r="AC248" s="66"/>
      <c r="AD248" s="67">
        <f t="shared" si="86"/>
        <v>8.731105807478122E-2</v>
      </c>
      <c r="AE248" s="67">
        <f t="shared" si="87"/>
        <v>8.0350039777247417E-2</v>
      </c>
      <c r="AF248" s="67">
        <f t="shared" si="88"/>
        <v>0.20385839299920447</v>
      </c>
      <c r="AG248" s="67">
        <f t="shared" si="89"/>
        <v>8.6316626889419254E-2</v>
      </c>
      <c r="AH248" s="67">
        <f t="shared" si="90"/>
        <v>0</v>
      </c>
      <c r="AI248" s="67">
        <f t="shared" si="91"/>
        <v>5.4097056483691328E-2</v>
      </c>
      <c r="AJ248" s="66"/>
      <c r="AK248" s="68">
        <v>489.16000000000008</v>
      </c>
      <c r="AL248" s="69">
        <v>462.67999999999881</v>
      </c>
      <c r="AM248" s="69">
        <v>462.67999999999887</v>
      </c>
      <c r="AN248" s="69">
        <v>926.95999999999924</v>
      </c>
      <c r="AO248" s="70">
        <v>291.74999999999898</v>
      </c>
      <c r="AP248" s="70">
        <v>505.86</v>
      </c>
      <c r="AQ248" s="66"/>
      <c r="AR248" s="70" t="s">
        <v>779</v>
      </c>
      <c r="AS248" s="66"/>
      <c r="AT248" s="108">
        <v>3023.16</v>
      </c>
      <c r="AU248" s="109">
        <v>8765.6699999999983</v>
      </c>
      <c r="AV248" s="109">
        <v>648.74</v>
      </c>
      <c r="AW248" s="109">
        <v>0</v>
      </c>
      <c r="AX248" s="110">
        <v>0</v>
      </c>
      <c r="AY248" s="110">
        <v>0</v>
      </c>
    </row>
    <row r="249" spans="1:51" x14ac:dyDescent="0.25">
      <c r="A249" s="8" t="s">
        <v>397</v>
      </c>
      <c r="B249" s="5" t="s">
        <v>398</v>
      </c>
      <c r="C249" s="2">
        <v>1.8800000000000008</v>
      </c>
      <c r="D249" s="24">
        <v>2000</v>
      </c>
      <c r="E249" s="26">
        <f t="shared" si="83"/>
        <v>1000</v>
      </c>
      <c r="F249" s="26">
        <v>2836</v>
      </c>
      <c r="G249" s="30">
        <f t="shared" si="84"/>
        <v>0.35260930888575459</v>
      </c>
      <c r="H249" s="11"/>
      <c r="I249" s="9">
        <v>0</v>
      </c>
      <c r="J249" s="3">
        <v>0</v>
      </c>
      <c r="K249" s="3">
        <v>190</v>
      </c>
      <c r="L249" s="3">
        <v>0</v>
      </c>
      <c r="M249" s="6"/>
      <c r="N249" s="6">
        <v>0</v>
      </c>
      <c r="O249" s="13"/>
      <c r="P249" s="60">
        <f t="shared" si="102"/>
        <v>0</v>
      </c>
      <c r="Q249" s="61">
        <f t="shared" si="103"/>
        <v>0</v>
      </c>
      <c r="R249" s="61">
        <f t="shared" si="104"/>
        <v>357.20000000000016</v>
      </c>
      <c r="S249" s="62">
        <f t="shared" si="105"/>
        <v>0</v>
      </c>
      <c r="T249" s="63">
        <f t="shared" si="106"/>
        <v>0</v>
      </c>
      <c r="U249" s="63">
        <f t="shared" si="85"/>
        <v>0</v>
      </c>
      <c r="V249" s="64"/>
      <c r="W249" s="60">
        <v>0</v>
      </c>
      <c r="X249" s="61">
        <v>0</v>
      </c>
      <c r="Y249" s="61">
        <v>0</v>
      </c>
      <c r="Z249" s="61">
        <v>0</v>
      </c>
      <c r="AA249" s="65">
        <v>0</v>
      </c>
      <c r="AB249" s="65">
        <v>225</v>
      </c>
      <c r="AC249" s="66"/>
      <c r="AD249" s="67">
        <f t="shared" si="86"/>
        <v>0</v>
      </c>
      <c r="AE249" s="67">
        <f t="shared" si="87"/>
        <v>0</v>
      </c>
      <c r="AF249" s="67">
        <f t="shared" si="88"/>
        <v>0</v>
      </c>
      <c r="AG249" s="67">
        <f t="shared" si="89"/>
        <v>0</v>
      </c>
      <c r="AH249" s="67">
        <f t="shared" si="90"/>
        <v>0</v>
      </c>
      <c r="AI249" s="67">
        <f t="shared" si="91"/>
        <v>7.9337094499294783E-2</v>
      </c>
      <c r="AJ249" s="66"/>
      <c r="AK249" s="68">
        <v>0</v>
      </c>
      <c r="AL249" s="69">
        <v>0</v>
      </c>
      <c r="AM249" s="69">
        <v>0</v>
      </c>
      <c r="AN249" s="69">
        <v>0</v>
      </c>
      <c r="AO249" s="70">
        <v>0</v>
      </c>
      <c r="AP249" s="70">
        <v>409.289999999999</v>
      </c>
      <c r="AQ249" s="66"/>
      <c r="AR249" s="70" t="s">
        <v>779</v>
      </c>
      <c r="AS249" s="66"/>
      <c r="AT249" s="108">
        <v>0</v>
      </c>
      <c r="AU249" s="109">
        <v>0</v>
      </c>
      <c r="AV249" s="109">
        <v>2421.5500000000002</v>
      </c>
      <c r="AW249" s="109">
        <v>0</v>
      </c>
      <c r="AX249" s="110">
        <v>0</v>
      </c>
      <c r="AY249" s="110">
        <v>0</v>
      </c>
    </row>
    <row r="250" spans="1:51" x14ac:dyDescent="0.25">
      <c r="A250" s="8" t="s">
        <v>509</v>
      </c>
      <c r="B250" s="5" t="s">
        <v>510</v>
      </c>
      <c r="C250" s="2">
        <v>1.879999999999999</v>
      </c>
      <c r="D250" s="24">
        <v>800</v>
      </c>
      <c r="E250" s="26">
        <f t="shared" si="83"/>
        <v>400</v>
      </c>
      <c r="F250" s="26">
        <v>1131</v>
      </c>
      <c r="G250" s="30">
        <f t="shared" si="84"/>
        <v>0.35366931918656058</v>
      </c>
      <c r="H250" s="11"/>
      <c r="I250" s="9">
        <v>0</v>
      </c>
      <c r="J250" s="3">
        <v>0</v>
      </c>
      <c r="K250" s="3">
        <v>0</v>
      </c>
      <c r="L250" s="3">
        <v>178.78787878787878</v>
      </c>
      <c r="M250" s="6"/>
      <c r="N250" s="6">
        <v>0</v>
      </c>
      <c r="O250" s="13"/>
      <c r="P250" s="60">
        <f t="shared" si="102"/>
        <v>0</v>
      </c>
      <c r="Q250" s="61">
        <f t="shared" si="103"/>
        <v>0</v>
      </c>
      <c r="R250" s="61">
        <f t="shared" si="104"/>
        <v>0</v>
      </c>
      <c r="S250" s="62">
        <f t="shared" si="105"/>
        <v>336.12121212121195</v>
      </c>
      <c r="T250" s="63">
        <f t="shared" si="106"/>
        <v>0</v>
      </c>
      <c r="U250" s="63">
        <f t="shared" si="85"/>
        <v>0</v>
      </c>
      <c r="V250" s="64"/>
      <c r="W250" s="60">
        <v>261</v>
      </c>
      <c r="X250" s="61">
        <v>238</v>
      </c>
      <c r="Y250" s="61">
        <v>2</v>
      </c>
      <c r="Z250" s="61">
        <v>0</v>
      </c>
      <c r="AA250" s="65">
        <v>0</v>
      </c>
      <c r="AB250" s="65">
        <v>0</v>
      </c>
      <c r="AC250" s="66"/>
      <c r="AD250" s="67">
        <f t="shared" si="86"/>
        <v>0.23076923076923078</v>
      </c>
      <c r="AE250" s="67">
        <f t="shared" si="87"/>
        <v>0.21043324491600354</v>
      </c>
      <c r="AF250" s="67">
        <f t="shared" si="88"/>
        <v>1.7683465959328027E-3</v>
      </c>
      <c r="AG250" s="67">
        <f t="shared" si="89"/>
        <v>0</v>
      </c>
      <c r="AH250" s="67">
        <f t="shared" si="90"/>
        <v>0</v>
      </c>
      <c r="AI250" s="67">
        <f t="shared" si="91"/>
        <v>0</v>
      </c>
      <c r="AJ250" s="66"/>
      <c r="AK250" s="68">
        <v>355.93000000000012</v>
      </c>
      <c r="AL250" s="69">
        <v>103.36</v>
      </c>
      <c r="AM250" s="69">
        <v>103.36</v>
      </c>
      <c r="AN250" s="69">
        <v>0.77</v>
      </c>
      <c r="AO250" s="70">
        <v>0</v>
      </c>
      <c r="AP250" s="70">
        <v>0</v>
      </c>
      <c r="AQ250" s="66"/>
      <c r="AR250" s="70" t="s">
        <v>780</v>
      </c>
      <c r="AS250" s="66"/>
      <c r="AT250" s="108">
        <v>0</v>
      </c>
      <c r="AU250" s="109">
        <v>0</v>
      </c>
      <c r="AV250" s="109">
        <v>0</v>
      </c>
      <c r="AW250" s="109">
        <v>3863.91</v>
      </c>
      <c r="AX250" s="110">
        <v>0</v>
      </c>
      <c r="AY250" s="110">
        <v>0</v>
      </c>
    </row>
    <row r="251" spans="1:51" x14ac:dyDescent="0.25">
      <c r="A251" s="8" t="s">
        <v>821</v>
      </c>
      <c r="B251" s="5" t="s">
        <v>864</v>
      </c>
      <c r="C251" s="2">
        <v>1.8718660287081299</v>
      </c>
      <c r="D251" s="24">
        <v>30000</v>
      </c>
      <c r="E251" s="26">
        <f t="shared" si="83"/>
        <v>15000</v>
      </c>
      <c r="F251" s="26">
        <v>79788</v>
      </c>
      <c r="G251" s="30">
        <f t="shared" si="84"/>
        <v>0.18799819521732591</v>
      </c>
      <c r="H251" s="11"/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6">
        <v>11060</v>
      </c>
      <c r="O251" s="13"/>
      <c r="P251" s="60"/>
      <c r="Q251" s="61"/>
      <c r="R251" s="61"/>
      <c r="S251" s="62"/>
      <c r="T251" s="63"/>
      <c r="U251" s="63">
        <f t="shared" si="85"/>
        <v>20702.838277511917</v>
      </c>
      <c r="V251" s="64"/>
      <c r="W251" s="60"/>
      <c r="X251" s="61"/>
      <c r="Y251" s="61"/>
      <c r="Z251" s="61"/>
      <c r="AA251" s="65"/>
      <c r="AB251" s="65"/>
      <c r="AC251" s="66"/>
      <c r="AD251" s="67">
        <f t="shared" si="86"/>
        <v>0</v>
      </c>
      <c r="AE251" s="67">
        <f t="shared" si="87"/>
        <v>0</v>
      </c>
      <c r="AF251" s="67">
        <f t="shared" si="88"/>
        <v>0</v>
      </c>
      <c r="AG251" s="67">
        <f t="shared" si="89"/>
        <v>0</v>
      </c>
      <c r="AH251" s="67">
        <f t="shared" si="90"/>
        <v>0</v>
      </c>
      <c r="AI251" s="67">
        <f t="shared" si="91"/>
        <v>0</v>
      </c>
      <c r="AJ251" s="66"/>
      <c r="AK251" s="68"/>
      <c r="AL251" s="69"/>
      <c r="AM251" s="69"/>
      <c r="AN251" s="69"/>
      <c r="AO251" s="70"/>
      <c r="AP251" s="70"/>
      <c r="AQ251" s="66"/>
      <c r="AR251" s="70" t="s">
        <v>780</v>
      </c>
      <c r="AS251" s="66"/>
      <c r="AT251" s="108">
        <v>450717.37999999995</v>
      </c>
      <c r="AU251" s="109">
        <v>191829.78999999995</v>
      </c>
      <c r="AV251" s="109">
        <v>166316.76999999999</v>
      </c>
      <c r="AW251" s="109">
        <v>264813.58</v>
      </c>
      <c r="AX251" s="110">
        <v>285130.57</v>
      </c>
      <c r="AY251" s="110">
        <v>312292.69999999995</v>
      </c>
    </row>
    <row r="252" spans="1:51" x14ac:dyDescent="0.25">
      <c r="A252" s="8" t="s">
        <v>819</v>
      </c>
      <c r="B252" s="5" t="s">
        <v>862</v>
      </c>
      <c r="C252" s="2">
        <v>1.8364225781845889</v>
      </c>
      <c r="D252" s="24">
        <v>25000</v>
      </c>
      <c r="E252" s="26">
        <f t="shared" si="83"/>
        <v>12500</v>
      </c>
      <c r="F252" s="26">
        <v>81124</v>
      </c>
      <c r="G252" s="30">
        <f t="shared" si="84"/>
        <v>0.15408510428479857</v>
      </c>
      <c r="H252" s="11"/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6">
        <v>7812</v>
      </c>
      <c r="O252" s="13"/>
      <c r="P252" s="60"/>
      <c r="Q252" s="61"/>
      <c r="R252" s="61"/>
      <c r="S252" s="62"/>
      <c r="T252" s="63"/>
      <c r="U252" s="63">
        <f t="shared" si="85"/>
        <v>14346.133180778008</v>
      </c>
      <c r="V252" s="64"/>
      <c r="W252" s="60"/>
      <c r="X252" s="61"/>
      <c r="Y252" s="61"/>
      <c r="Z252" s="61"/>
      <c r="AA252" s="65"/>
      <c r="AB252" s="65"/>
      <c r="AC252" s="66"/>
      <c r="AD252" s="67">
        <f t="shared" si="86"/>
        <v>0</v>
      </c>
      <c r="AE252" s="67">
        <f t="shared" si="87"/>
        <v>0</v>
      </c>
      <c r="AF252" s="67">
        <f t="shared" si="88"/>
        <v>0</v>
      </c>
      <c r="AG252" s="67">
        <f t="shared" si="89"/>
        <v>0</v>
      </c>
      <c r="AH252" s="67">
        <f t="shared" si="90"/>
        <v>0</v>
      </c>
      <c r="AI252" s="67">
        <f t="shared" si="91"/>
        <v>0</v>
      </c>
      <c r="AJ252" s="66"/>
      <c r="AK252" s="68"/>
      <c r="AL252" s="69"/>
      <c r="AM252" s="69"/>
      <c r="AN252" s="69"/>
      <c r="AO252" s="70"/>
      <c r="AP252" s="70"/>
      <c r="AQ252" s="66"/>
      <c r="AR252" s="70" t="s">
        <v>780</v>
      </c>
      <c r="AS252" s="66"/>
      <c r="AT252" s="108">
        <v>195692.41</v>
      </c>
      <c r="AU252" s="109">
        <v>112518.87000000001</v>
      </c>
      <c r="AV252" s="109">
        <v>318631.22000000003</v>
      </c>
      <c r="AW252" s="109">
        <v>175895.1</v>
      </c>
      <c r="AX252" s="110">
        <v>324200.46999999997</v>
      </c>
      <c r="AY252" s="110">
        <v>248440.80000000002</v>
      </c>
    </row>
    <row r="253" spans="1:51" x14ac:dyDescent="0.25">
      <c r="A253" s="8" t="s">
        <v>827</v>
      </c>
      <c r="B253" s="5" t="s">
        <v>870</v>
      </c>
      <c r="C253" s="2">
        <v>1.8143215180809129</v>
      </c>
      <c r="D253" s="24">
        <v>20000</v>
      </c>
      <c r="E253" s="26">
        <f t="shared" si="83"/>
        <v>10000</v>
      </c>
      <c r="F253" s="26">
        <v>40820</v>
      </c>
      <c r="G253" s="30">
        <f t="shared" si="84"/>
        <v>0.2449779519843214</v>
      </c>
      <c r="H253" s="11"/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6">
        <v>1141</v>
      </c>
      <c r="O253" s="13"/>
      <c r="P253" s="60"/>
      <c r="Q253" s="61"/>
      <c r="R253" s="61"/>
      <c r="S253" s="62"/>
      <c r="T253" s="63"/>
      <c r="U253" s="63">
        <f t="shared" si="85"/>
        <v>2070.1408521303215</v>
      </c>
      <c r="V253" s="64"/>
      <c r="W253" s="60"/>
      <c r="X253" s="61"/>
      <c r="Y253" s="61"/>
      <c r="Z253" s="61"/>
      <c r="AA253" s="65"/>
      <c r="AB253" s="65"/>
      <c r="AC253" s="66"/>
      <c r="AD253" s="67">
        <f t="shared" si="86"/>
        <v>0</v>
      </c>
      <c r="AE253" s="67">
        <f t="shared" si="87"/>
        <v>0</v>
      </c>
      <c r="AF253" s="67">
        <f t="shared" si="88"/>
        <v>0</v>
      </c>
      <c r="AG253" s="67">
        <f t="shared" si="89"/>
        <v>0</v>
      </c>
      <c r="AH253" s="67">
        <f t="shared" si="90"/>
        <v>0</v>
      </c>
      <c r="AI253" s="67">
        <f t="shared" si="91"/>
        <v>0</v>
      </c>
      <c r="AJ253" s="66"/>
      <c r="AK253" s="68"/>
      <c r="AL253" s="69"/>
      <c r="AM253" s="69"/>
      <c r="AN253" s="69"/>
      <c r="AO253" s="70"/>
      <c r="AP253" s="70"/>
      <c r="AQ253" s="66"/>
      <c r="AR253" s="70" t="s">
        <v>780</v>
      </c>
      <c r="AS253" s="66"/>
      <c r="AT253" s="108">
        <v>420066.55</v>
      </c>
      <c r="AU253" s="109">
        <v>35070.6</v>
      </c>
      <c r="AV253" s="109">
        <v>27172.55</v>
      </c>
      <c r="AW253" s="109">
        <v>87239.33</v>
      </c>
      <c r="AX253" s="110">
        <v>53260.460000000006</v>
      </c>
      <c r="AY253" s="110">
        <v>33697.53</v>
      </c>
    </row>
    <row r="254" spans="1:51" x14ac:dyDescent="0.25">
      <c r="A254" s="8" t="s">
        <v>598</v>
      </c>
      <c r="B254" s="5" t="s">
        <v>599</v>
      </c>
      <c r="C254" s="2">
        <v>1.8000000000000043</v>
      </c>
      <c r="D254" s="24">
        <v>10000</v>
      </c>
      <c r="E254" s="26">
        <f t="shared" si="83"/>
        <v>5000</v>
      </c>
      <c r="F254" s="26">
        <v>168665</v>
      </c>
      <c r="G254" s="30">
        <f t="shared" si="84"/>
        <v>2.9644561705155191E-2</v>
      </c>
      <c r="H254" s="11"/>
      <c r="I254" s="9">
        <v>9033</v>
      </c>
      <c r="J254" s="3">
        <v>10184</v>
      </c>
      <c r="K254" s="3">
        <v>4250</v>
      </c>
      <c r="L254" s="3">
        <v>2074</v>
      </c>
      <c r="M254" s="6">
        <v>4635</v>
      </c>
      <c r="N254" s="6">
        <v>5555</v>
      </c>
      <c r="O254" s="13"/>
      <c r="P254" s="60">
        <f t="shared" ref="P254:P268" si="107">+I254*C254</f>
        <v>16259.400000000038</v>
      </c>
      <c r="Q254" s="61">
        <f t="shared" ref="Q254:Q268" si="108">+J254*C254</f>
        <v>18331.200000000044</v>
      </c>
      <c r="R254" s="61">
        <f t="shared" ref="R254:R268" si="109">+K254*C254</f>
        <v>7650.0000000000182</v>
      </c>
      <c r="S254" s="62">
        <f t="shared" ref="S254:S268" si="110">+L254*C254</f>
        <v>3733.2000000000089</v>
      </c>
      <c r="T254" s="63">
        <f t="shared" ref="T254:T268" si="111">+M254*C254</f>
        <v>8343.00000000002</v>
      </c>
      <c r="U254" s="63">
        <f t="shared" si="85"/>
        <v>9999.0000000000236</v>
      </c>
      <c r="V254" s="64"/>
      <c r="W254" s="60">
        <v>6080</v>
      </c>
      <c r="X254" s="61">
        <v>7216</v>
      </c>
      <c r="Y254" s="61">
        <v>9414</v>
      </c>
      <c r="Z254" s="61">
        <v>8412</v>
      </c>
      <c r="AA254" s="65">
        <v>5538</v>
      </c>
      <c r="AB254" s="65">
        <v>5089</v>
      </c>
      <c r="AC254" s="66"/>
      <c r="AD254" s="67">
        <f t="shared" si="86"/>
        <v>3.6047787033468712E-2</v>
      </c>
      <c r="AE254" s="67">
        <f t="shared" si="87"/>
        <v>4.2783031452879969E-2</v>
      </c>
      <c r="AF254" s="67">
        <f t="shared" si="88"/>
        <v>5.5814780778466189E-2</v>
      </c>
      <c r="AG254" s="67">
        <f t="shared" si="89"/>
        <v>4.9874010612753088E-2</v>
      </c>
      <c r="AH254" s="67">
        <f t="shared" si="90"/>
        <v>3.2834316544629885E-2</v>
      </c>
      <c r="AI254" s="67">
        <f t="shared" si="91"/>
        <v>3.0172234903506952E-2</v>
      </c>
      <c r="AJ254" s="66"/>
      <c r="AK254" s="68">
        <v>2903.9599999999959</v>
      </c>
      <c r="AL254" s="69">
        <v>5059.4999999999945</v>
      </c>
      <c r="AM254" s="69">
        <v>5059.4999999999945</v>
      </c>
      <c r="AN254" s="69">
        <v>7861.3399999999938</v>
      </c>
      <c r="AO254" s="70">
        <v>9228.0399999999809</v>
      </c>
      <c r="AP254" s="70">
        <v>5792.01</v>
      </c>
      <c r="AQ254" s="66"/>
      <c r="AR254" s="70" t="s">
        <v>780</v>
      </c>
      <c r="AS254" s="66"/>
      <c r="AT254" s="108">
        <v>324063.52</v>
      </c>
      <c r="AU254" s="109">
        <v>364622.29</v>
      </c>
      <c r="AV254" s="109">
        <v>151143.41999999998</v>
      </c>
      <c r="AW254" s="109">
        <v>73936.340000000011</v>
      </c>
      <c r="AX254" s="110">
        <v>164568.51999999996</v>
      </c>
      <c r="AY254" s="110">
        <v>196642.25999999998</v>
      </c>
    </row>
    <row r="255" spans="1:51" x14ac:dyDescent="0.25">
      <c r="A255" s="8">
        <v>5942</v>
      </c>
      <c r="B255" s="5" t="s">
        <v>439</v>
      </c>
      <c r="C255" s="2">
        <v>1.8000000000000007</v>
      </c>
      <c r="D255" s="24">
        <v>800</v>
      </c>
      <c r="E255" s="26">
        <f t="shared" si="83"/>
        <v>400</v>
      </c>
      <c r="F255" s="26">
        <v>357</v>
      </c>
      <c r="G255" s="30">
        <f t="shared" si="84"/>
        <v>1.1204481792717087</v>
      </c>
      <c r="H255" s="11"/>
      <c r="I255" s="9">
        <v>160</v>
      </c>
      <c r="J255" s="3">
        <v>346</v>
      </c>
      <c r="K255" s="3">
        <v>158</v>
      </c>
      <c r="L255" s="3">
        <v>50</v>
      </c>
      <c r="M255" s="6">
        <v>82</v>
      </c>
      <c r="N255" s="6">
        <v>106</v>
      </c>
      <c r="O255" s="13"/>
      <c r="P255" s="60">
        <f t="shared" si="107"/>
        <v>288.00000000000011</v>
      </c>
      <c r="Q255" s="61">
        <f t="shared" si="108"/>
        <v>622.8000000000003</v>
      </c>
      <c r="R255" s="61">
        <f t="shared" si="109"/>
        <v>284.40000000000009</v>
      </c>
      <c r="S255" s="62">
        <f t="shared" si="110"/>
        <v>90.000000000000028</v>
      </c>
      <c r="T255" s="63">
        <f t="shared" si="111"/>
        <v>147.60000000000005</v>
      </c>
      <c r="U255" s="63">
        <f t="shared" si="85"/>
        <v>190.80000000000007</v>
      </c>
      <c r="V255" s="64"/>
      <c r="W255" s="60">
        <v>155</v>
      </c>
      <c r="X255" s="61">
        <v>232</v>
      </c>
      <c r="Y255" s="61">
        <v>157</v>
      </c>
      <c r="Z255" s="61">
        <v>187</v>
      </c>
      <c r="AA255" s="65">
        <v>380</v>
      </c>
      <c r="AB255" s="65">
        <v>239</v>
      </c>
      <c r="AC255" s="66"/>
      <c r="AD255" s="67">
        <f t="shared" si="86"/>
        <v>0.43417366946778713</v>
      </c>
      <c r="AE255" s="67">
        <f t="shared" si="87"/>
        <v>0.64985994397759106</v>
      </c>
      <c r="AF255" s="67">
        <f t="shared" si="88"/>
        <v>0.43977591036414565</v>
      </c>
      <c r="AG255" s="67">
        <f t="shared" si="89"/>
        <v>0.52380952380952384</v>
      </c>
      <c r="AH255" s="67">
        <f t="shared" si="90"/>
        <v>1.0644257703081232</v>
      </c>
      <c r="AI255" s="67">
        <f t="shared" si="91"/>
        <v>0.66946778711484589</v>
      </c>
      <c r="AJ255" s="66"/>
      <c r="AK255" s="68">
        <v>128.5</v>
      </c>
      <c r="AL255" s="69">
        <v>179.20999999999989</v>
      </c>
      <c r="AM255" s="69">
        <v>179.20999999999992</v>
      </c>
      <c r="AN255" s="69">
        <v>184.61999999999969</v>
      </c>
      <c r="AO255" s="70">
        <v>285.42999999999898</v>
      </c>
      <c r="AP255" s="70">
        <v>310.3</v>
      </c>
      <c r="AQ255" s="66"/>
      <c r="AR255" s="70" t="s">
        <v>779</v>
      </c>
      <c r="AS255" s="66"/>
      <c r="AT255" s="108">
        <v>2430.4</v>
      </c>
      <c r="AU255" s="109">
        <v>5274.96</v>
      </c>
      <c r="AV255" s="109">
        <v>2414.2199999999998</v>
      </c>
      <c r="AW255" s="109">
        <v>761</v>
      </c>
      <c r="AX255" s="110">
        <v>1248.04</v>
      </c>
      <c r="AY255" s="110">
        <v>1583.46</v>
      </c>
    </row>
    <row r="256" spans="1:51" x14ac:dyDescent="0.25">
      <c r="A256" s="8" t="s">
        <v>200</v>
      </c>
      <c r="B256" s="5" t="s">
        <v>201</v>
      </c>
      <c r="C256" s="2">
        <v>1.7999999999999998</v>
      </c>
      <c r="D256" s="24">
        <v>140</v>
      </c>
      <c r="E256" s="26">
        <f t="shared" si="83"/>
        <v>70</v>
      </c>
      <c r="F256" s="26">
        <v>559</v>
      </c>
      <c r="G256" s="30">
        <f t="shared" si="84"/>
        <v>0.12522361359570661</v>
      </c>
      <c r="H256" s="11"/>
      <c r="I256" s="9">
        <v>0</v>
      </c>
      <c r="J256" s="3">
        <v>347</v>
      </c>
      <c r="K256" s="3">
        <v>379</v>
      </c>
      <c r="L256" s="3">
        <v>119</v>
      </c>
      <c r="M256" s="6"/>
      <c r="N256" s="6">
        <v>0</v>
      </c>
      <c r="O256" s="13"/>
      <c r="P256" s="60">
        <f t="shared" si="107"/>
        <v>0</v>
      </c>
      <c r="Q256" s="61">
        <f t="shared" si="108"/>
        <v>624.59999999999991</v>
      </c>
      <c r="R256" s="61">
        <f t="shared" si="109"/>
        <v>682.19999999999993</v>
      </c>
      <c r="S256" s="62">
        <f t="shared" si="110"/>
        <v>214.2</v>
      </c>
      <c r="T256" s="63">
        <f t="shared" si="111"/>
        <v>0</v>
      </c>
      <c r="U256" s="63">
        <f t="shared" si="85"/>
        <v>0</v>
      </c>
      <c r="V256" s="64"/>
      <c r="W256" s="60">
        <v>71</v>
      </c>
      <c r="X256" s="61">
        <v>119</v>
      </c>
      <c r="Y256" s="61">
        <v>59</v>
      </c>
      <c r="Z256" s="61">
        <v>110</v>
      </c>
      <c r="AA256" s="65">
        <v>37</v>
      </c>
      <c r="AB256" s="65">
        <v>53</v>
      </c>
      <c r="AC256" s="66"/>
      <c r="AD256" s="67">
        <f t="shared" si="86"/>
        <v>0.12701252236135957</v>
      </c>
      <c r="AE256" s="67">
        <f t="shared" si="87"/>
        <v>0.21288014311270126</v>
      </c>
      <c r="AF256" s="67">
        <f t="shared" si="88"/>
        <v>0.10554561717352415</v>
      </c>
      <c r="AG256" s="67">
        <f t="shared" si="89"/>
        <v>0.1967799642218247</v>
      </c>
      <c r="AH256" s="67">
        <f t="shared" si="90"/>
        <v>6.6189624329159216E-2</v>
      </c>
      <c r="AI256" s="67">
        <f t="shared" si="91"/>
        <v>9.4812164579606437E-2</v>
      </c>
      <c r="AJ256" s="66"/>
      <c r="AK256" s="68">
        <v>90.720000000000027</v>
      </c>
      <c r="AL256" s="69">
        <v>92.26</v>
      </c>
      <c r="AM256" s="69">
        <v>92.259999999999991</v>
      </c>
      <c r="AN256" s="69">
        <v>109.69999999999997</v>
      </c>
      <c r="AO256" s="70">
        <v>130.05000000000001</v>
      </c>
      <c r="AP256" s="70">
        <v>65.3599999999999</v>
      </c>
      <c r="AQ256" s="66"/>
      <c r="AR256" s="70" t="s">
        <v>779</v>
      </c>
      <c r="AS256" s="66"/>
      <c r="AT256" s="108">
        <v>0</v>
      </c>
      <c r="AU256" s="109">
        <v>1544.29</v>
      </c>
      <c r="AV256" s="109">
        <v>1678.3899999999999</v>
      </c>
      <c r="AW256" s="109">
        <v>529.1</v>
      </c>
      <c r="AX256" s="110">
        <v>0</v>
      </c>
      <c r="AY256" s="110">
        <v>0</v>
      </c>
    </row>
    <row r="257" spans="1:51" x14ac:dyDescent="0.25">
      <c r="A257" s="8" t="s">
        <v>146</v>
      </c>
      <c r="B257" s="5" t="s">
        <v>147</v>
      </c>
      <c r="C257" s="2">
        <v>1.7999999999999998</v>
      </c>
      <c r="D257" s="24">
        <v>1000</v>
      </c>
      <c r="E257" s="26">
        <f t="shared" si="83"/>
        <v>500</v>
      </c>
      <c r="F257" s="26">
        <v>1467</v>
      </c>
      <c r="G257" s="30">
        <f t="shared" si="84"/>
        <v>0.34083162917518744</v>
      </c>
      <c r="H257" s="11"/>
      <c r="I257" s="9">
        <v>100</v>
      </c>
      <c r="J257" s="3">
        <v>0</v>
      </c>
      <c r="K257" s="3">
        <v>0</v>
      </c>
      <c r="L257" s="3">
        <v>0</v>
      </c>
      <c r="M257" s="6">
        <v>1050</v>
      </c>
      <c r="N257" s="6">
        <v>1150</v>
      </c>
      <c r="O257" s="13"/>
      <c r="P257" s="60">
        <f t="shared" si="107"/>
        <v>179.99999999999997</v>
      </c>
      <c r="Q257" s="61">
        <f t="shared" si="108"/>
        <v>0</v>
      </c>
      <c r="R257" s="61">
        <f t="shared" si="109"/>
        <v>0</v>
      </c>
      <c r="S257" s="62">
        <f t="shared" si="110"/>
        <v>0</v>
      </c>
      <c r="T257" s="63">
        <f t="shared" si="111"/>
        <v>1889.9999999999998</v>
      </c>
      <c r="U257" s="63">
        <f t="shared" si="85"/>
        <v>2070</v>
      </c>
      <c r="V257" s="64"/>
      <c r="W257" s="60">
        <v>0</v>
      </c>
      <c r="X257" s="61">
        <v>2</v>
      </c>
      <c r="Y257" s="61">
        <v>286</v>
      </c>
      <c r="Z257" s="61">
        <v>1055</v>
      </c>
      <c r="AA257" s="65">
        <v>0</v>
      </c>
      <c r="AB257" s="65">
        <v>767</v>
      </c>
      <c r="AC257" s="66"/>
      <c r="AD257" s="67">
        <f t="shared" si="86"/>
        <v>0</v>
      </c>
      <c r="AE257" s="67">
        <f t="shared" si="87"/>
        <v>1.3633265167007499E-3</v>
      </c>
      <c r="AF257" s="67">
        <f t="shared" si="88"/>
        <v>0.19495569188820722</v>
      </c>
      <c r="AG257" s="67">
        <f t="shared" si="89"/>
        <v>0.71915473755964554</v>
      </c>
      <c r="AH257" s="67">
        <f t="shared" si="90"/>
        <v>0</v>
      </c>
      <c r="AI257" s="67">
        <f t="shared" si="91"/>
        <v>0.52283571915473759</v>
      </c>
      <c r="AJ257" s="66"/>
      <c r="AK257" s="68">
        <v>0</v>
      </c>
      <c r="AL257" s="69">
        <v>2.37</v>
      </c>
      <c r="AM257" s="69">
        <v>514.79999999999995</v>
      </c>
      <c r="AN257" s="69">
        <v>354.96000000000004</v>
      </c>
      <c r="AO257" s="70">
        <v>1437.45</v>
      </c>
      <c r="AP257" s="70">
        <v>1343.0699999999899</v>
      </c>
      <c r="AQ257" s="66"/>
      <c r="AR257" s="70" t="s">
        <v>779</v>
      </c>
      <c r="AS257" s="66"/>
      <c r="AT257" s="108">
        <v>309</v>
      </c>
      <c r="AU257" s="109">
        <v>0</v>
      </c>
      <c r="AV257" s="109">
        <v>0</v>
      </c>
      <c r="AW257" s="109">
        <v>0</v>
      </c>
      <c r="AX257" s="110">
        <v>3329</v>
      </c>
      <c r="AY257" s="110">
        <v>3698.5</v>
      </c>
    </row>
    <row r="258" spans="1:51" x14ac:dyDescent="0.25">
      <c r="A258" s="8">
        <v>4602</v>
      </c>
      <c r="B258" s="5" t="s">
        <v>376</v>
      </c>
      <c r="C258" s="2">
        <v>1.7999999999999989</v>
      </c>
      <c r="D258" s="24">
        <v>4000</v>
      </c>
      <c r="E258" s="26">
        <f t="shared" si="83"/>
        <v>2000</v>
      </c>
      <c r="F258" s="26">
        <v>6930</v>
      </c>
      <c r="G258" s="30">
        <f t="shared" si="84"/>
        <v>0.28860028860028858</v>
      </c>
      <c r="H258" s="11"/>
      <c r="I258" s="9">
        <v>430</v>
      </c>
      <c r="J258" s="3">
        <v>369</v>
      </c>
      <c r="K258" s="3">
        <v>750</v>
      </c>
      <c r="L258" s="3">
        <v>1040</v>
      </c>
      <c r="M258" s="6">
        <v>119</v>
      </c>
      <c r="N258" s="6">
        <v>2956</v>
      </c>
      <c r="O258" s="13"/>
      <c r="P258" s="60">
        <f t="shared" si="107"/>
        <v>773.99999999999955</v>
      </c>
      <c r="Q258" s="61">
        <f t="shared" si="108"/>
        <v>664.19999999999959</v>
      </c>
      <c r="R258" s="61">
        <f t="shared" si="109"/>
        <v>1349.9999999999991</v>
      </c>
      <c r="S258" s="62">
        <f t="shared" si="110"/>
        <v>1871.9999999999989</v>
      </c>
      <c r="T258" s="63">
        <f t="shared" si="111"/>
        <v>214.19999999999987</v>
      </c>
      <c r="U258" s="63">
        <f t="shared" si="85"/>
        <v>5320.7999999999965</v>
      </c>
      <c r="V258" s="64"/>
      <c r="W258" s="60">
        <v>1485</v>
      </c>
      <c r="X258" s="61">
        <v>2087</v>
      </c>
      <c r="Y258" s="61">
        <v>1113</v>
      </c>
      <c r="Z258" s="61">
        <v>1535</v>
      </c>
      <c r="AA258" s="65">
        <v>2035</v>
      </c>
      <c r="AB258" s="65">
        <v>2127</v>
      </c>
      <c r="AC258" s="66"/>
      <c r="AD258" s="67">
        <f t="shared" si="86"/>
        <v>0.21428571428571427</v>
      </c>
      <c r="AE258" s="67">
        <f t="shared" si="87"/>
        <v>0.30115440115440117</v>
      </c>
      <c r="AF258" s="67">
        <f t="shared" si="88"/>
        <v>0.16060606060606061</v>
      </c>
      <c r="AG258" s="67">
        <f t="shared" si="89"/>
        <v>0.2215007215007215</v>
      </c>
      <c r="AH258" s="67">
        <f t="shared" si="90"/>
        <v>0.29365079365079366</v>
      </c>
      <c r="AI258" s="67">
        <f t="shared" si="91"/>
        <v>0.30692640692640694</v>
      </c>
      <c r="AJ258" s="66"/>
      <c r="AK258" s="68">
        <v>661.34999999999889</v>
      </c>
      <c r="AL258" s="69">
        <v>1048.0799999999988</v>
      </c>
      <c r="AM258" s="69">
        <v>1048.0799999999986</v>
      </c>
      <c r="AN258" s="69">
        <v>762.16999999999894</v>
      </c>
      <c r="AO258" s="70">
        <v>941.79999999999598</v>
      </c>
      <c r="AP258" s="70">
        <v>2142.2999999999902</v>
      </c>
      <c r="AQ258" s="66"/>
      <c r="AR258" s="70" t="s">
        <v>779</v>
      </c>
      <c r="AS258" s="66"/>
      <c r="AT258" s="108">
        <v>4573.7999999999993</v>
      </c>
      <c r="AU258" s="109">
        <v>3935.79</v>
      </c>
      <c r="AV258" s="109">
        <v>8017.5</v>
      </c>
      <c r="AW258" s="109">
        <v>11039.2</v>
      </c>
      <c r="AX258" s="110">
        <v>1257.83</v>
      </c>
      <c r="AY258" s="110">
        <v>31132.52</v>
      </c>
    </row>
    <row r="259" spans="1:51" x14ac:dyDescent="0.25">
      <c r="A259" s="8" t="s">
        <v>477</v>
      </c>
      <c r="B259" s="5" t="s">
        <v>478</v>
      </c>
      <c r="C259" s="2">
        <v>1.7799999999999976</v>
      </c>
      <c r="D259" s="24">
        <v>3362</v>
      </c>
      <c r="E259" s="26">
        <f t="shared" ref="E259:E322" si="112">D259/2</f>
        <v>1681</v>
      </c>
      <c r="F259" s="26">
        <v>16810</v>
      </c>
      <c r="G259" s="30">
        <f t="shared" ref="G259:G322" si="113">+E259/F259</f>
        <v>0.1</v>
      </c>
      <c r="H259" s="11"/>
      <c r="I259" s="9">
        <v>3930</v>
      </c>
      <c r="J259" s="3">
        <v>5168</v>
      </c>
      <c r="K259" s="3">
        <v>3700</v>
      </c>
      <c r="L259" s="3">
        <v>1702</v>
      </c>
      <c r="M259" s="6"/>
      <c r="N259" s="6">
        <v>747</v>
      </c>
      <c r="O259" s="13"/>
      <c r="P259" s="60">
        <f t="shared" si="107"/>
        <v>6995.3999999999905</v>
      </c>
      <c r="Q259" s="61">
        <f t="shared" si="108"/>
        <v>9199.0399999999881</v>
      </c>
      <c r="R259" s="61">
        <f t="shared" si="109"/>
        <v>6585.9999999999909</v>
      </c>
      <c r="S259" s="62">
        <f t="shared" si="110"/>
        <v>3029.5599999999959</v>
      </c>
      <c r="T259" s="63">
        <f t="shared" si="111"/>
        <v>0</v>
      </c>
      <c r="U259" s="63">
        <f t="shared" si="85"/>
        <v>1329.6599999999983</v>
      </c>
      <c r="V259" s="64"/>
      <c r="W259" s="60">
        <v>1420</v>
      </c>
      <c r="X259" s="61">
        <v>1695</v>
      </c>
      <c r="Y259" s="61">
        <v>790</v>
      </c>
      <c r="Z259" s="61">
        <v>2384</v>
      </c>
      <c r="AA259" s="65">
        <v>3410</v>
      </c>
      <c r="AB259" s="65">
        <v>2738</v>
      </c>
      <c r="AC259" s="66"/>
      <c r="AD259" s="67">
        <f t="shared" si="86"/>
        <v>8.4473527662105891E-2</v>
      </c>
      <c r="AE259" s="67">
        <f t="shared" si="87"/>
        <v>0.10083283759666865</v>
      </c>
      <c r="AF259" s="67">
        <f t="shared" si="88"/>
        <v>4.6995835812016655E-2</v>
      </c>
      <c r="AG259" s="67">
        <f t="shared" si="89"/>
        <v>0.14182034503271862</v>
      </c>
      <c r="AH259" s="67">
        <f t="shared" si="90"/>
        <v>0.20285544318857823</v>
      </c>
      <c r="AI259" s="67">
        <f t="shared" si="91"/>
        <v>0.16287923854848305</v>
      </c>
      <c r="AJ259" s="66"/>
      <c r="AK259" s="68">
        <v>1639</v>
      </c>
      <c r="AL259" s="69">
        <v>1233.5199999999966</v>
      </c>
      <c r="AM259" s="69">
        <v>1233.5199999999968</v>
      </c>
      <c r="AN259" s="69">
        <v>352.25999999999965</v>
      </c>
      <c r="AO259" s="70">
        <v>6069.799999999992</v>
      </c>
      <c r="AP259" s="70">
        <v>-3166.5399999999299</v>
      </c>
      <c r="AQ259" s="66"/>
      <c r="AR259" s="70" t="s">
        <v>780</v>
      </c>
      <c r="AS259" s="66"/>
      <c r="AT259" s="108">
        <v>87364.2</v>
      </c>
      <c r="AU259" s="109">
        <v>115791.68999999999</v>
      </c>
      <c r="AV259" s="109">
        <v>81772.41</v>
      </c>
      <c r="AW259" s="109">
        <v>38049.800000000003</v>
      </c>
      <c r="AX259" s="110">
        <v>666</v>
      </c>
      <c r="AY259" s="110">
        <v>14341.88</v>
      </c>
    </row>
    <row r="260" spans="1:51" x14ac:dyDescent="0.25">
      <c r="A260" s="8">
        <v>5541</v>
      </c>
      <c r="B260" s="5" t="s">
        <v>546</v>
      </c>
      <c r="C260" s="2">
        <v>1.7699999999999996</v>
      </c>
      <c r="D260" s="24">
        <v>15000</v>
      </c>
      <c r="E260" s="26">
        <f t="shared" si="112"/>
        <v>7500</v>
      </c>
      <c r="F260" s="26">
        <v>179168</v>
      </c>
      <c r="G260" s="30">
        <f t="shared" si="113"/>
        <v>4.186015359885694E-2</v>
      </c>
      <c r="H260" s="11"/>
      <c r="I260" s="9">
        <v>1420</v>
      </c>
      <c r="J260" s="3">
        <v>200</v>
      </c>
      <c r="K260" s="3">
        <v>1089</v>
      </c>
      <c r="L260" s="3">
        <v>675</v>
      </c>
      <c r="M260" s="6">
        <v>906</v>
      </c>
      <c r="N260" s="6">
        <v>1068</v>
      </c>
      <c r="O260" s="13"/>
      <c r="P260" s="60">
        <f t="shared" si="107"/>
        <v>2513.3999999999992</v>
      </c>
      <c r="Q260" s="61">
        <f t="shared" si="108"/>
        <v>353.99999999999989</v>
      </c>
      <c r="R260" s="61">
        <f t="shared" si="109"/>
        <v>1927.5299999999995</v>
      </c>
      <c r="S260" s="62">
        <f t="shared" si="110"/>
        <v>1194.7499999999998</v>
      </c>
      <c r="T260" s="63">
        <f t="shared" si="111"/>
        <v>1603.6199999999997</v>
      </c>
      <c r="U260" s="63">
        <f t="shared" ref="U260:U323" si="114">+N260*C260</f>
        <v>1890.3599999999994</v>
      </c>
      <c r="V260" s="64"/>
      <c r="W260" s="60">
        <v>927</v>
      </c>
      <c r="X260" s="61">
        <v>788</v>
      </c>
      <c r="Y260" s="61">
        <v>1193</v>
      </c>
      <c r="Z260" s="61">
        <v>1241</v>
      </c>
      <c r="AA260" s="65">
        <v>787</v>
      </c>
      <c r="AB260" s="65">
        <v>917</v>
      </c>
      <c r="AC260" s="66"/>
      <c r="AD260" s="67">
        <f t="shared" ref="AD260:AD323" si="115">+IFERROR(W260/F260,"")</f>
        <v>5.1739149848187178E-3</v>
      </c>
      <c r="AE260" s="67">
        <f t="shared" ref="AE260:AE323" si="116">+IFERROR(X260/F260,"")</f>
        <v>4.3981068047865687E-3</v>
      </c>
      <c r="AF260" s="67">
        <f t="shared" ref="AF260:AF323" si="117">+IFERROR(Y260/F260,"")</f>
        <v>6.6585550991248438E-3</v>
      </c>
      <c r="AG260" s="67">
        <f t="shared" ref="AG260:AG323" si="118">+IFERROR(Z260/F260,"")</f>
        <v>6.9264600821575279E-3</v>
      </c>
      <c r="AH260" s="67">
        <f t="shared" ref="AH260:AH323" si="119">+IFERROR(AA260/F260,"")</f>
        <v>4.3925254509733884E-3</v>
      </c>
      <c r="AI260" s="67">
        <f t="shared" ref="AI260:AI323" si="120">+IFERROR(AB260/F260,"")</f>
        <v>5.1181014466869087E-3</v>
      </c>
      <c r="AJ260" s="66"/>
      <c r="AK260" s="68">
        <v>523.30999999999995</v>
      </c>
      <c r="AL260" s="69">
        <v>880.34999999999866</v>
      </c>
      <c r="AM260" s="69">
        <v>880.34999999999889</v>
      </c>
      <c r="AN260" s="69">
        <v>1456.0699999999979</v>
      </c>
      <c r="AO260" s="70">
        <v>1255.28999999999</v>
      </c>
      <c r="AP260" s="70">
        <v>783.64</v>
      </c>
      <c r="AQ260" s="66"/>
      <c r="AR260" s="70" t="s">
        <v>780</v>
      </c>
      <c r="AS260" s="66"/>
      <c r="AT260" s="108">
        <v>36380.969999999994</v>
      </c>
      <c r="AU260" s="109">
        <v>5132</v>
      </c>
      <c r="AV260" s="109">
        <v>28119.56</v>
      </c>
      <c r="AW260" s="109">
        <v>17343</v>
      </c>
      <c r="AX260" s="110">
        <v>23340.18</v>
      </c>
      <c r="AY260" s="110">
        <v>27312.989999999998</v>
      </c>
    </row>
    <row r="261" spans="1:51" x14ac:dyDescent="0.25">
      <c r="A261" s="8">
        <v>5297</v>
      </c>
      <c r="B261" s="5" t="s">
        <v>579</v>
      </c>
      <c r="C261" s="2">
        <v>1.7600000000000016</v>
      </c>
      <c r="D261" s="24">
        <v>9000</v>
      </c>
      <c r="E261" s="26">
        <f t="shared" si="112"/>
        <v>4500</v>
      </c>
      <c r="F261" s="26">
        <v>203101</v>
      </c>
      <c r="G261" s="30">
        <f t="shared" si="113"/>
        <v>2.2156464025287911E-2</v>
      </c>
      <c r="H261" s="11"/>
      <c r="I261" s="9">
        <v>7233</v>
      </c>
      <c r="J261" s="3">
        <v>6660</v>
      </c>
      <c r="K261" s="3">
        <v>1569</v>
      </c>
      <c r="L261" s="3">
        <v>1891</v>
      </c>
      <c r="M261" s="6">
        <v>2666</v>
      </c>
      <c r="N261" s="6">
        <v>2620</v>
      </c>
      <c r="O261" s="13"/>
      <c r="P261" s="60">
        <f t="shared" si="107"/>
        <v>12730.080000000011</v>
      </c>
      <c r="Q261" s="61">
        <f t="shared" si="108"/>
        <v>11721.600000000011</v>
      </c>
      <c r="R261" s="61">
        <f t="shared" si="109"/>
        <v>2761.4400000000023</v>
      </c>
      <c r="S261" s="62">
        <f t="shared" si="110"/>
        <v>3328.160000000003</v>
      </c>
      <c r="T261" s="63">
        <f t="shared" si="111"/>
        <v>4692.1600000000044</v>
      </c>
      <c r="U261" s="63">
        <f t="shared" si="114"/>
        <v>4611.2000000000044</v>
      </c>
      <c r="V261" s="64"/>
      <c r="W261" s="60">
        <v>3601</v>
      </c>
      <c r="X261" s="61">
        <v>8426</v>
      </c>
      <c r="Y261" s="61">
        <v>6073</v>
      </c>
      <c r="Z261" s="61">
        <v>816</v>
      </c>
      <c r="AA261" s="65">
        <v>2912</v>
      </c>
      <c r="AB261" s="65">
        <v>2173</v>
      </c>
      <c r="AC261" s="66"/>
      <c r="AD261" s="67">
        <f t="shared" si="115"/>
        <v>1.7730094878902616E-2</v>
      </c>
      <c r="AE261" s="67">
        <f t="shared" si="116"/>
        <v>4.1486747972683542E-2</v>
      </c>
      <c r="AF261" s="67">
        <f t="shared" si="117"/>
        <v>2.9901379116794108E-2</v>
      </c>
      <c r="AG261" s="67">
        <f t="shared" si="118"/>
        <v>4.0177054765855409E-3</v>
      </c>
      <c r="AH261" s="67">
        <f t="shared" si="119"/>
        <v>1.4337694053697421E-2</v>
      </c>
      <c r="AI261" s="67">
        <f t="shared" si="120"/>
        <v>1.0699110294877918E-2</v>
      </c>
      <c r="AJ261" s="66"/>
      <c r="AK261" s="68">
        <v>1683.1500000000019</v>
      </c>
      <c r="AL261" s="69">
        <v>6668.7399999999907</v>
      </c>
      <c r="AM261" s="69">
        <v>6668.7399999999907</v>
      </c>
      <c r="AN261" s="69">
        <v>5580.5699999999952</v>
      </c>
      <c r="AO261" s="70">
        <v>854.76999999999896</v>
      </c>
      <c r="AP261" s="70">
        <v>2648.4900000000098</v>
      </c>
      <c r="AQ261" s="66"/>
      <c r="AR261" s="70" t="s">
        <v>780</v>
      </c>
      <c r="AS261" s="66"/>
      <c r="AT261" s="108">
        <v>223569.09000000003</v>
      </c>
      <c r="AU261" s="109">
        <v>206261.55999999997</v>
      </c>
      <c r="AV261" s="109">
        <v>48129.53</v>
      </c>
      <c r="AW261" s="109">
        <v>57804.560000000005</v>
      </c>
      <c r="AX261" s="110">
        <v>70140.52</v>
      </c>
      <c r="AY261" s="110">
        <v>79636.25</v>
      </c>
    </row>
    <row r="262" spans="1:51" x14ac:dyDescent="0.25">
      <c r="A262" s="8" t="s">
        <v>409</v>
      </c>
      <c r="B262" s="5" t="s">
        <v>410</v>
      </c>
      <c r="C262" s="2">
        <v>1.7599999999999998</v>
      </c>
      <c r="D262" s="24">
        <v>8000</v>
      </c>
      <c r="E262" s="26">
        <f t="shared" si="112"/>
        <v>4000</v>
      </c>
      <c r="F262" s="26">
        <v>18668</v>
      </c>
      <c r="G262" s="30">
        <f t="shared" si="113"/>
        <v>0.21427040925648169</v>
      </c>
      <c r="H262" s="11"/>
      <c r="I262" s="9">
        <v>35</v>
      </c>
      <c r="J262" s="3">
        <v>400</v>
      </c>
      <c r="K262" s="3">
        <v>608</v>
      </c>
      <c r="L262" s="3">
        <v>0</v>
      </c>
      <c r="M262" s="6">
        <v>800</v>
      </c>
      <c r="N262" s="6">
        <v>0</v>
      </c>
      <c r="O262" s="13"/>
      <c r="P262" s="60">
        <f t="shared" si="107"/>
        <v>61.599999999999994</v>
      </c>
      <c r="Q262" s="61">
        <f t="shared" si="108"/>
        <v>703.99999999999989</v>
      </c>
      <c r="R262" s="61">
        <f t="shared" si="109"/>
        <v>1070.08</v>
      </c>
      <c r="S262" s="62">
        <f t="shared" si="110"/>
        <v>0</v>
      </c>
      <c r="T262" s="63">
        <f t="shared" si="111"/>
        <v>1407.9999999999998</v>
      </c>
      <c r="U262" s="63">
        <f t="shared" si="114"/>
        <v>0</v>
      </c>
      <c r="V262" s="64"/>
      <c r="W262" s="60">
        <v>248</v>
      </c>
      <c r="X262" s="61">
        <v>35</v>
      </c>
      <c r="Y262" s="61">
        <v>399</v>
      </c>
      <c r="Z262" s="61">
        <v>603</v>
      </c>
      <c r="AA262" s="65">
        <v>-1</v>
      </c>
      <c r="AB262" s="65">
        <v>797</v>
      </c>
      <c r="AC262" s="66"/>
      <c r="AD262" s="67">
        <f t="shared" si="115"/>
        <v>1.3284765373901865E-2</v>
      </c>
      <c r="AE262" s="67">
        <f t="shared" si="116"/>
        <v>1.8748660809942148E-3</v>
      </c>
      <c r="AF262" s="67">
        <f t="shared" si="117"/>
        <v>2.1373473323334048E-2</v>
      </c>
      <c r="AG262" s="67">
        <f t="shared" si="118"/>
        <v>3.2301264195414611E-2</v>
      </c>
      <c r="AH262" s="67">
        <f t="shared" si="119"/>
        <v>-5.3567602314120418E-5</v>
      </c>
      <c r="AI262" s="67">
        <f t="shared" si="120"/>
        <v>4.2693379044353975E-2</v>
      </c>
      <c r="AJ262" s="66"/>
      <c r="AK262" s="68">
        <v>68.94</v>
      </c>
      <c r="AL262" s="69">
        <v>41.029999999999902</v>
      </c>
      <c r="AM262" s="69">
        <v>41.029999999999902</v>
      </c>
      <c r="AN262" s="69">
        <v>567.50999999999794</v>
      </c>
      <c r="AO262" s="70">
        <v>545.04999999999995</v>
      </c>
      <c r="AP262" s="70">
        <v>645.91000000000099</v>
      </c>
      <c r="AQ262" s="66"/>
      <c r="AR262" s="70" t="s">
        <v>779</v>
      </c>
      <c r="AS262" s="66"/>
      <c r="AT262" s="108">
        <v>455.35</v>
      </c>
      <c r="AU262" s="109">
        <v>5132</v>
      </c>
      <c r="AV262" s="109">
        <v>7855.6</v>
      </c>
      <c r="AW262" s="109">
        <v>0</v>
      </c>
      <c r="AX262" s="110">
        <v>10224</v>
      </c>
      <c r="AY262" s="110">
        <v>0</v>
      </c>
    </row>
    <row r="263" spans="1:51" x14ac:dyDescent="0.25">
      <c r="A263" s="8" t="s">
        <v>368</v>
      </c>
      <c r="B263" s="5" t="s">
        <v>369</v>
      </c>
      <c r="C263" s="2">
        <v>1.75</v>
      </c>
      <c r="D263" s="24">
        <v>4000</v>
      </c>
      <c r="E263" s="26">
        <f t="shared" si="112"/>
        <v>2000</v>
      </c>
      <c r="F263" s="26">
        <v>9913</v>
      </c>
      <c r="G263" s="30">
        <f t="shared" si="113"/>
        <v>0.20175527085645112</v>
      </c>
      <c r="H263" s="11"/>
      <c r="I263" s="9">
        <v>5610</v>
      </c>
      <c r="J263" s="3">
        <v>3483</v>
      </c>
      <c r="K263" s="3">
        <v>2173</v>
      </c>
      <c r="L263" s="3">
        <v>318</v>
      </c>
      <c r="M263" s="6">
        <v>680</v>
      </c>
      <c r="N263" s="6">
        <v>2938</v>
      </c>
      <c r="O263" s="13"/>
      <c r="P263" s="60">
        <f t="shared" si="107"/>
        <v>9817.5</v>
      </c>
      <c r="Q263" s="61">
        <f t="shared" si="108"/>
        <v>6095.25</v>
      </c>
      <c r="R263" s="61">
        <f t="shared" si="109"/>
        <v>3802.75</v>
      </c>
      <c r="S263" s="62">
        <f t="shared" si="110"/>
        <v>556.5</v>
      </c>
      <c r="T263" s="63">
        <f t="shared" si="111"/>
        <v>1190</v>
      </c>
      <c r="U263" s="63">
        <f t="shared" si="114"/>
        <v>5141.5</v>
      </c>
      <c r="V263" s="64"/>
      <c r="W263" s="60">
        <v>1211</v>
      </c>
      <c r="X263" s="61">
        <v>2510</v>
      </c>
      <c r="Y263" s="61">
        <v>2777</v>
      </c>
      <c r="Z263" s="61">
        <v>3724</v>
      </c>
      <c r="AA263" s="65">
        <v>3804</v>
      </c>
      <c r="AB263" s="65">
        <v>1112</v>
      </c>
      <c r="AC263" s="66"/>
      <c r="AD263" s="67">
        <f t="shared" si="115"/>
        <v>0.12216281650358116</v>
      </c>
      <c r="AE263" s="67">
        <f t="shared" si="116"/>
        <v>0.25320286492484617</v>
      </c>
      <c r="AF263" s="67">
        <f t="shared" si="117"/>
        <v>0.28013719358418238</v>
      </c>
      <c r="AG263" s="67">
        <f t="shared" si="118"/>
        <v>0.37566831433471198</v>
      </c>
      <c r="AH263" s="67">
        <f t="shared" si="119"/>
        <v>0.38373852516897006</v>
      </c>
      <c r="AI263" s="67">
        <f t="shared" si="120"/>
        <v>0.11217593059618683</v>
      </c>
      <c r="AJ263" s="66"/>
      <c r="AK263" s="68">
        <v>4859.4599999999991</v>
      </c>
      <c r="AL263" s="69">
        <v>8314.9299999999876</v>
      </c>
      <c r="AM263" s="69">
        <v>8314.9299999999912</v>
      </c>
      <c r="AN263" s="69">
        <v>8465.849999999984</v>
      </c>
      <c r="AO263" s="70">
        <v>6453.4099999999198</v>
      </c>
      <c r="AP263" s="70">
        <v>1643.61</v>
      </c>
      <c r="AQ263" s="66"/>
      <c r="AR263" s="70" t="s">
        <v>779</v>
      </c>
      <c r="AS263" s="66"/>
      <c r="AT263" s="108">
        <v>57198.079999999994</v>
      </c>
      <c r="AU263" s="109">
        <v>35734.200000000004</v>
      </c>
      <c r="AV263" s="109">
        <v>22022.68</v>
      </c>
      <c r="AW263" s="109">
        <v>3256.3199999999997</v>
      </c>
      <c r="AX263" s="110">
        <v>6973.4</v>
      </c>
      <c r="AY263" s="110">
        <v>29722.16</v>
      </c>
    </row>
    <row r="264" spans="1:51" x14ac:dyDescent="0.25">
      <c r="A264" s="8" t="s">
        <v>97</v>
      </c>
      <c r="B264" s="5" t="s">
        <v>98</v>
      </c>
      <c r="C264" s="2">
        <v>1.75</v>
      </c>
      <c r="D264" s="24">
        <v>200</v>
      </c>
      <c r="E264" s="26">
        <f t="shared" si="112"/>
        <v>100</v>
      </c>
      <c r="F264" s="26">
        <v>429</v>
      </c>
      <c r="G264" s="30">
        <f t="shared" si="113"/>
        <v>0.23310023310023309</v>
      </c>
      <c r="H264" s="11"/>
      <c r="I264" s="9">
        <v>0</v>
      </c>
      <c r="J264" s="3">
        <v>64</v>
      </c>
      <c r="K264" s="3">
        <v>0</v>
      </c>
      <c r="L264" s="3">
        <v>0</v>
      </c>
      <c r="M264" s="6"/>
      <c r="N264" s="6">
        <v>1214</v>
      </c>
      <c r="O264" s="13"/>
      <c r="P264" s="60">
        <f t="shared" si="107"/>
        <v>0</v>
      </c>
      <c r="Q264" s="61">
        <f t="shared" si="108"/>
        <v>112</v>
      </c>
      <c r="R264" s="61">
        <f t="shared" si="109"/>
        <v>0</v>
      </c>
      <c r="S264" s="62">
        <f t="shared" si="110"/>
        <v>0</v>
      </c>
      <c r="T264" s="63">
        <f t="shared" si="111"/>
        <v>0</v>
      </c>
      <c r="U264" s="63">
        <f t="shared" si="114"/>
        <v>2124.5</v>
      </c>
      <c r="V264" s="64"/>
      <c r="W264" s="60">
        <v>0</v>
      </c>
      <c r="X264" s="61">
        <v>4</v>
      </c>
      <c r="Y264" s="61">
        <v>3</v>
      </c>
      <c r="Z264" s="61">
        <v>4</v>
      </c>
      <c r="AA264" s="65">
        <v>3</v>
      </c>
      <c r="AB264" s="65">
        <v>2</v>
      </c>
      <c r="AC264" s="66"/>
      <c r="AD264" s="67">
        <f t="shared" si="115"/>
        <v>0</v>
      </c>
      <c r="AE264" s="67">
        <f t="shared" si="116"/>
        <v>9.324009324009324E-3</v>
      </c>
      <c r="AF264" s="67">
        <f t="shared" si="117"/>
        <v>6.993006993006993E-3</v>
      </c>
      <c r="AG264" s="67">
        <f t="shared" si="118"/>
        <v>9.324009324009324E-3</v>
      </c>
      <c r="AH264" s="67">
        <f t="shared" si="119"/>
        <v>6.993006993006993E-3</v>
      </c>
      <c r="AI264" s="67">
        <f t="shared" si="120"/>
        <v>4.662004662004662E-3</v>
      </c>
      <c r="AJ264" s="66"/>
      <c r="AK264" s="68">
        <v>0</v>
      </c>
      <c r="AL264" s="69">
        <v>6.56</v>
      </c>
      <c r="AM264" s="69">
        <v>6.56</v>
      </c>
      <c r="AN264" s="69">
        <v>4.92</v>
      </c>
      <c r="AO264" s="70">
        <v>6.56</v>
      </c>
      <c r="AP264" s="70">
        <v>3.49</v>
      </c>
      <c r="AQ264" s="66"/>
      <c r="AR264" s="70" t="s">
        <v>779</v>
      </c>
      <c r="AS264" s="66"/>
      <c r="AT264" s="108">
        <v>2252.6999999999998</v>
      </c>
      <c r="AU264" s="109">
        <v>148.47999999999999</v>
      </c>
      <c r="AV264" s="109">
        <v>0</v>
      </c>
      <c r="AW264" s="109">
        <v>0</v>
      </c>
      <c r="AX264" s="110">
        <v>882</v>
      </c>
      <c r="AY264" s="110">
        <v>2693.0600000000004</v>
      </c>
    </row>
    <row r="265" spans="1:51" x14ac:dyDescent="0.25">
      <c r="A265" s="8" t="s">
        <v>613</v>
      </c>
      <c r="B265" s="5" t="s">
        <v>614</v>
      </c>
      <c r="C265" s="2">
        <v>1.75</v>
      </c>
      <c r="D265" s="24">
        <v>10000</v>
      </c>
      <c r="E265" s="26">
        <f t="shared" si="112"/>
        <v>5000</v>
      </c>
      <c r="F265" s="26">
        <v>46735</v>
      </c>
      <c r="G265" s="30">
        <f t="shared" si="113"/>
        <v>0.10698619878035734</v>
      </c>
      <c r="H265" s="11"/>
      <c r="I265" s="9">
        <v>1250</v>
      </c>
      <c r="J265" s="3">
        <v>1177</v>
      </c>
      <c r="K265" s="3">
        <v>627</v>
      </c>
      <c r="L265" s="3">
        <v>410</v>
      </c>
      <c r="M265" s="6">
        <v>300</v>
      </c>
      <c r="N265" s="6">
        <v>1445</v>
      </c>
      <c r="O265" s="13"/>
      <c r="P265" s="60">
        <f t="shared" si="107"/>
        <v>2187.5</v>
      </c>
      <c r="Q265" s="61">
        <f t="shared" si="108"/>
        <v>2059.75</v>
      </c>
      <c r="R265" s="61">
        <f t="shared" si="109"/>
        <v>1097.25</v>
      </c>
      <c r="S265" s="62">
        <f t="shared" si="110"/>
        <v>717.5</v>
      </c>
      <c r="T265" s="63">
        <f t="shared" si="111"/>
        <v>525</v>
      </c>
      <c r="U265" s="63">
        <f t="shared" si="114"/>
        <v>2528.75</v>
      </c>
      <c r="V265" s="64"/>
      <c r="W265" s="60">
        <v>2172</v>
      </c>
      <c r="X265" s="61">
        <v>2649</v>
      </c>
      <c r="Y265" s="61">
        <v>1171</v>
      </c>
      <c r="Z265" s="61">
        <v>622</v>
      </c>
      <c r="AA265" s="65">
        <v>407</v>
      </c>
      <c r="AB265" s="65">
        <v>0</v>
      </c>
      <c r="AC265" s="66"/>
      <c r="AD265" s="67">
        <f t="shared" si="115"/>
        <v>4.6474804750187226E-2</v>
      </c>
      <c r="AE265" s="67">
        <f t="shared" si="116"/>
        <v>5.6681288113833314E-2</v>
      </c>
      <c r="AF265" s="67">
        <f t="shared" si="117"/>
        <v>2.5056167754359687E-2</v>
      </c>
      <c r="AG265" s="67">
        <f t="shared" si="118"/>
        <v>1.3309083128276453E-2</v>
      </c>
      <c r="AH265" s="67">
        <f t="shared" si="119"/>
        <v>8.7086765807210878E-3</v>
      </c>
      <c r="AI265" s="67">
        <f t="shared" si="120"/>
        <v>0</v>
      </c>
      <c r="AJ265" s="66"/>
      <c r="AK265" s="68">
        <v>687.88000000000306</v>
      </c>
      <c r="AL265" s="69">
        <v>1200.3899999999994</v>
      </c>
      <c r="AM265" s="69">
        <v>1200.3899999999994</v>
      </c>
      <c r="AN265" s="69">
        <v>1307.9699999999966</v>
      </c>
      <c r="AO265" s="70">
        <v>786.09999999999695</v>
      </c>
      <c r="AP265" s="70">
        <v>0</v>
      </c>
      <c r="AQ265" s="66"/>
      <c r="AR265" s="70" t="s">
        <v>780</v>
      </c>
      <c r="AS265" s="66"/>
      <c r="AT265" s="108">
        <v>45867.6</v>
      </c>
      <c r="AU265" s="109">
        <v>42891.560000000005</v>
      </c>
      <c r="AV265" s="109">
        <v>22606.16</v>
      </c>
      <c r="AW265" s="109">
        <v>14835.199999999999</v>
      </c>
      <c r="AX265" s="110">
        <v>10883</v>
      </c>
      <c r="AY265" s="110">
        <v>53075.119999999995</v>
      </c>
    </row>
    <row r="266" spans="1:51" x14ac:dyDescent="0.25">
      <c r="A266" s="8" t="s">
        <v>289</v>
      </c>
      <c r="B266" s="5" t="s">
        <v>290</v>
      </c>
      <c r="C266" s="2">
        <v>1.7300000000000004</v>
      </c>
      <c r="D266" s="24">
        <v>2000</v>
      </c>
      <c r="E266" s="26">
        <f t="shared" si="112"/>
        <v>1000</v>
      </c>
      <c r="F266" s="26">
        <v>42677</v>
      </c>
      <c r="G266" s="30">
        <f t="shared" si="113"/>
        <v>2.3431825104857418E-2</v>
      </c>
      <c r="H266" s="11"/>
      <c r="I266" s="9">
        <v>0</v>
      </c>
      <c r="J266" s="3">
        <v>0</v>
      </c>
      <c r="K266" s="3">
        <v>0</v>
      </c>
      <c r="L266" s="3">
        <v>0</v>
      </c>
      <c r="M266" s="6">
        <v>150</v>
      </c>
      <c r="N266" s="6">
        <v>0</v>
      </c>
      <c r="O266" s="13"/>
      <c r="P266" s="60">
        <f t="shared" si="107"/>
        <v>0</v>
      </c>
      <c r="Q266" s="61">
        <f t="shared" si="108"/>
        <v>0</v>
      </c>
      <c r="R266" s="61">
        <f t="shared" si="109"/>
        <v>0</v>
      </c>
      <c r="S266" s="62">
        <f t="shared" si="110"/>
        <v>0</v>
      </c>
      <c r="T266" s="63">
        <f t="shared" si="111"/>
        <v>259.50000000000006</v>
      </c>
      <c r="U266" s="63">
        <f t="shared" si="114"/>
        <v>0</v>
      </c>
      <c r="V266" s="64"/>
      <c r="W266" s="60">
        <v>0</v>
      </c>
      <c r="X266" s="61">
        <v>0</v>
      </c>
      <c r="Y266" s="61">
        <v>0</v>
      </c>
      <c r="Z266" s="61">
        <v>0</v>
      </c>
      <c r="AA266" s="65">
        <v>0</v>
      </c>
      <c r="AB266" s="65">
        <v>0</v>
      </c>
      <c r="AC266" s="66"/>
      <c r="AD266" s="67">
        <f t="shared" si="115"/>
        <v>0</v>
      </c>
      <c r="AE266" s="67">
        <f t="shared" si="116"/>
        <v>0</v>
      </c>
      <c r="AF266" s="67">
        <f t="shared" si="117"/>
        <v>0</v>
      </c>
      <c r="AG266" s="67">
        <f t="shared" si="118"/>
        <v>0</v>
      </c>
      <c r="AH266" s="67">
        <f t="shared" si="119"/>
        <v>0</v>
      </c>
      <c r="AI266" s="67">
        <f t="shared" si="120"/>
        <v>0</v>
      </c>
      <c r="AJ266" s="66"/>
      <c r="AK266" s="68">
        <v>0</v>
      </c>
      <c r="AL266" s="69">
        <v>0</v>
      </c>
      <c r="AM266" s="69">
        <v>0</v>
      </c>
      <c r="AN266" s="69">
        <v>0</v>
      </c>
      <c r="AO266" s="70">
        <v>0</v>
      </c>
      <c r="AP266" s="70">
        <v>0</v>
      </c>
      <c r="AQ266" s="66"/>
      <c r="AR266" s="70" t="s">
        <v>779</v>
      </c>
      <c r="AS266" s="66"/>
      <c r="AT266" s="108">
        <v>0</v>
      </c>
      <c r="AU266" s="109">
        <v>0</v>
      </c>
      <c r="AV266" s="109">
        <v>0</v>
      </c>
      <c r="AW266" s="109">
        <v>0</v>
      </c>
      <c r="AX266" s="110">
        <v>0</v>
      </c>
      <c r="AY266" s="110">
        <v>0</v>
      </c>
    </row>
    <row r="267" spans="1:51" x14ac:dyDescent="0.25">
      <c r="A267" s="8">
        <v>5334</v>
      </c>
      <c r="B267" s="5" t="s">
        <v>549</v>
      </c>
      <c r="C267" s="2">
        <v>1.7300000000000004</v>
      </c>
      <c r="D267" s="24">
        <v>4500</v>
      </c>
      <c r="E267" s="26">
        <f t="shared" si="112"/>
        <v>2250</v>
      </c>
      <c r="F267" s="26">
        <v>7745</v>
      </c>
      <c r="G267" s="30">
        <f t="shared" si="113"/>
        <v>0.2905100064557779</v>
      </c>
      <c r="H267" s="11"/>
      <c r="I267" s="9">
        <v>740</v>
      </c>
      <c r="J267" s="3">
        <v>500</v>
      </c>
      <c r="K267" s="3">
        <v>0</v>
      </c>
      <c r="L267" s="3">
        <v>50</v>
      </c>
      <c r="M267" s="6"/>
      <c r="N267" s="6">
        <v>0</v>
      </c>
      <c r="O267" s="13"/>
      <c r="P267" s="60">
        <f t="shared" si="107"/>
        <v>1280.2000000000003</v>
      </c>
      <c r="Q267" s="61">
        <f t="shared" si="108"/>
        <v>865.00000000000023</v>
      </c>
      <c r="R267" s="61">
        <f t="shared" si="109"/>
        <v>0</v>
      </c>
      <c r="S267" s="62">
        <f t="shared" si="110"/>
        <v>86.500000000000028</v>
      </c>
      <c r="T267" s="63">
        <f t="shared" si="111"/>
        <v>0</v>
      </c>
      <c r="U267" s="63">
        <f t="shared" si="114"/>
        <v>0</v>
      </c>
      <c r="V267" s="64"/>
      <c r="W267" s="60">
        <v>815</v>
      </c>
      <c r="X267" s="61">
        <v>609</v>
      </c>
      <c r="Y267" s="61">
        <v>898</v>
      </c>
      <c r="Z267" s="61">
        <v>1729</v>
      </c>
      <c r="AA267" s="65">
        <v>48</v>
      </c>
      <c r="AB267" s="65">
        <v>0</v>
      </c>
      <c r="AC267" s="66"/>
      <c r="AD267" s="67">
        <f t="shared" si="115"/>
        <v>0.105229180116204</v>
      </c>
      <c r="AE267" s="67">
        <f t="shared" si="116"/>
        <v>7.863137508069723E-2</v>
      </c>
      <c r="AF267" s="67">
        <f t="shared" si="117"/>
        <v>0.11594577146546159</v>
      </c>
      <c r="AG267" s="67">
        <f t="shared" si="118"/>
        <v>0.22324080051646222</v>
      </c>
      <c r="AH267" s="67">
        <f t="shared" si="119"/>
        <v>6.1975468043899288E-3</v>
      </c>
      <c r="AI267" s="67">
        <f t="shared" si="120"/>
        <v>0</v>
      </c>
      <c r="AJ267" s="66"/>
      <c r="AK267" s="68">
        <v>420.29000000000008</v>
      </c>
      <c r="AL267" s="69">
        <v>508.37999999999943</v>
      </c>
      <c r="AM267" s="69">
        <v>508.37999999999948</v>
      </c>
      <c r="AN267" s="69">
        <v>616.80999999999949</v>
      </c>
      <c r="AO267" s="70">
        <v>1177.3299999999899</v>
      </c>
      <c r="AP267" s="70">
        <v>0</v>
      </c>
      <c r="AQ267" s="66"/>
      <c r="AR267" s="70" t="s">
        <v>780</v>
      </c>
      <c r="AS267" s="66"/>
      <c r="AT267" s="108">
        <v>19318.400000000001</v>
      </c>
      <c r="AU267" s="109">
        <v>13170</v>
      </c>
      <c r="AV267" s="109">
        <v>0</v>
      </c>
      <c r="AW267" s="109">
        <v>1272.5</v>
      </c>
      <c r="AX267" s="110">
        <v>0</v>
      </c>
      <c r="AY267" s="110">
        <v>0</v>
      </c>
    </row>
    <row r="268" spans="1:51" x14ac:dyDescent="0.25">
      <c r="A268" s="8">
        <v>6230</v>
      </c>
      <c r="B268" s="5" t="s">
        <v>250</v>
      </c>
      <c r="C268" s="2">
        <v>1.7199999999999998</v>
      </c>
      <c r="D268" s="24">
        <v>600</v>
      </c>
      <c r="E268" s="26">
        <f t="shared" si="112"/>
        <v>300</v>
      </c>
      <c r="F268" s="26">
        <v>57</v>
      </c>
      <c r="G268" s="30">
        <f t="shared" si="113"/>
        <v>5.2631578947368425</v>
      </c>
      <c r="H268" s="11"/>
      <c r="I268" s="9">
        <v>0</v>
      </c>
      <c r="J268" s="3">
        <v>0</v>
      </c>
      <c r="K268" s="3">
        <v>801</v>
      </c>
      <c r="L268" s="3">
        <v>560</v>
      </c>
      <c r="M268" s="6">
        <v>289</v>
      </c>
      <c r="N268" s="6">
        <v>0</v>
      </c>
      <c r="O268" s="13"/>
      <c r="P268" s="60">
        <f t="shared" si="107"/>
        <v>0</v>
      </c>
      <c r="Q268" s="61">
        <f t="shared" si="108"/>
        <v>0</v>
      </c>
      <c r="R268" s="61">
        <f t="shared" si="109"/>
        <v>1377.7199999999998</v>
      </c>
      <c r="S268" s="62">
        <f t="shared" si="110"/>
        <v>963.19999999999982</v>
      </c>
      <c r="T268" s="63">
        <f t="shared" si="111"/>
        <v>497.07999999999993</v>
      </c>
      <c r="U268" s="63">
        <f t="shared" si="114"/>
        <v>0</v>
      </c>
      <c r="V268" s="64"/>
      <c r="W268" s="60">
        <v>306</v>
      </c>
      <c r="X268" s="61">
        <v>71</v>
      </c>
      <c r="Y268" s="61">
        <v>224</v>
      </c>
      <c r="Z268" s="61">
        <v>24</v>
      </c>
      <c r="AA268" s="65">
        <v>345</v>
      </c>
      <c r="AB268" s="65">
        <v>364</v>
      </c>
      <c r="AC268" s="66"/>
      <c r="AD268" s="67">
        <f t="shared" si="115"/>
        <v>5.3684210526315788</v>
      </c>
      <c r="AE268" s="67">
        <f t="shared" si="116"/>
        <v>1.2456140350877194</v>
      </c>
      <c r="AF268" s="67">
        <f t="shared" si="117"/>
        <v>3.9298245614035086</v>
      </c>
      <c r="AG268" s="67">
        <f t="shared" si="118"/>
        <v>0.42105263157894735</v>
      </c>
      <c r="AH268" s="67">
        <f t="shared" si="119"/>
        <v>6.0526315789473681</v>
      </c>
      <c r="AI268" s="67">
        <f t="shared" si="120"/>
        <v>6.3859649122807021</v>
      </c>
      <c r="AJ268" s="66"/>
      <c r="AK268" s="68">
        <v>244.29</v>
      </c>
      <c r="AL268" s="69">
        <v>815.06999999999994</v>
      </c>
      <c r="AM268" s="69">
        <v>815.06999999999994</v>
      </c>
      <c r="AN268" s="69">
        <v>2874.869999999999</v>
      </c>
      <c r="AO268" s="70">
        <v>713.88</v>
      </c>
      <c r="AP268" s="70">
        <v>734.86</v>
      </c>
      <c r="AQ268" s="66"/>
      <c r="AR268" s="70" t="s">
        <v>779</v>
      </c>
      <c r="AS268" s="66"/>
      <c r="AT268" s="108">
        <v>0</v>
      </c>
      <c r="AU268" s="109">
        <v>0</v>
      </c>
      <c r="AV268" s="109">
        <v>3900.87</v>
      </c>
      <c r="AW268" s="109">
        <v>3168.6</v>
      </c>
      <c r="AX268" s="110">
        <v>1485.75</v>
      </c>
      <c r="AY268" s="110">
        <v>0</v>
      </c>
    </row>
    <row r="269" spans="1:51" x14ac:dyDescent="0.25">
      <c r="A269" s="8" t="s">
        <v>825</v>
      </c>
      <c r="B269" s="5" t="s">
        <v>868</v>
      </c>
      <c r="C269" s="2">
        <v>1.7062907268170378</v>
      </c>
      <c r="D269" s="24">
        <v>4000</v>
      </c>
      <c r="E269" s="26">
        <f t="shared" si="112"/>
        <v>2000</v>
      </c>
      <c r="F269" s="26">
        <v>13205</v>
      </c>
      <c r="G269" s="30">
        <f t="shared" si="113"/>
        <v>0.15145778114350625</v>
      </c>
      <c r="H269" s="11"/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6">
        <v>258</v>
      </c>
      <c r="O269" s="13"/>
      <c r="P269" s="60"/>
      <c r="Q269" s="61"/>
      <c r="R269" s="61"/>
      <c r="S269" s="62"/>
      <c r="T269" s="63"/>
      <c r="U269" s="63">
        <f t="shared" si="114"/>
        <v>440.22300751879573</v>
      </c>
      <c r="V269" s="64"/>
      <c r="W269" s="60"/>
      <c r="X269" s="61"/>
      <c r="Y269" s="61"/>
      <c r="Z269" s="61"/>
      <c r="AA269" s="65"/>
      <c r="AB269" s="65"/>
      <c r="AC269" s="66"/>
      <c r="AD269" s="67">
        <f t="shared" si="115"/>
        <v>0</v>
      </c>
      <c r="AE269" s="67">
        <f t="shared" si="116"/>
        <v>0</v>
      </c>
      <c r="AF269" s="67">
        <f t="shared" si="117"/>
        <v>0</v>
      </c>
      <c r="AG269" s="67">
        <f t="shared" si="118"/>
        <v>0</v>
      </c>
      <c r="AH269" s="67">
        <f t="shared" si="119"/>
        <v>0</v>
      </c>
      <c r="AI269" s="67">
        <f t="shared" si="120"/>
        <v>0</v>
      </c>
      <c r="AJ269" s="66"/>
      <c r="AK269" s="68"/>
      <c r="AL269" s="69"/>
      <c r="AM269" s="69"/>
      <c r="AN269" s="69"/>
      <c r="AO269" s="70"/>
      <c r="AP269" s="70"/>
      <c r="AQ269" s="66"/>
      <c r="AR269" s="70" t="s">
        <v>780</v>
      </c>
      <c r="AS269" s="66"/>
      <c r="AT269" s="108">
        <v>26818.66</v>
      </c>
      <c r="AU269" s="109">
        <v>2768.28</v>
      </c>
      <c r="AV269" s="109">
        <v>0</v>
      </c>
      <c r="AW269" s="109">
        <v>24805.24</v>
      </c>
      <c r="AX269" s="110">
        <v>12854.550000000001</v>
      </c>
      <c r="AY269" s="110">
        <v>15529.720000000001</v>
      </c>
    </row>
    <row r="270" spans="1:51" x14ac:dyDescent="0.25">
      <c r="A270" s="8" t="s">
        <v>660</v>
      </c>
      <c r="B270" s="5" t="s">
        <v>661</v>
      </c>
      <c r="C270" s="2">
        <v>1.7000000000000028</v>
      </c>
      <c r="D270" s="24">
        <v>1000</v>
      </c>
      <c r="E270" s="26">
        <f t="shared" si="112"/>
        <v>500</v>
      </c>
      <c r="F270" s="26">
        <v>7459</v>
      </c>
      <c r="G270" s="30">
        <f t="shared" si="113"/>
        <v>6.7033114358493101E-2</v>
      </c>
      <c r="H270" s="11"/>
      <c r="I270" s="9">
        <v>181.81818181818181</v>
      </c>
      <c r="J270" s="3">
        <v>166.66666666666666</v>
      </c>
      <c r="K270" s="3">
        <v>0</v>
      </c>
      <c r="L270" s="3">
        <v>151.5151515151515</v>
      </c>
      <c r="M270" s="6">
        <v>96.969696969696969</v>
      </c>
      <c r="N270" s="6">
        <v>981</v>
      </c>
      <c r="O270" s="13"/>
      <c r="P270" s="60">
        <f t="shared" ref="P270:P277" si="121">+I270*C270</f>
        <v>309.09090909090958</v>
      </c>
      <c r="Q270" s="61">
        <f t="shared" ref="Q270:Q277" si="122">+J270*C270</f>
        <v>283.33333333333377</v>
      </c>
      <c r="R270" s="61">
        <f t="shared" ref="R270:R277" si="123">+K270*C270</f>
        <v>0</v>
      </c>
      <c r="S270" s="62">
        <f t="shared" ref="S270:S277" si="124">+L270*C270</f>
        <v>257.57575757575796</v>
      </c>
      <c r="T270" s="63">
        <f t="shared" ref="T270:T277" si="125">+M270*C270</f>
        <v>164.84848484848513</v>
      </c>
      <c r="U270" s="63">
        <f t="shared" si="114"/>
        <v>1667.7000000000028</v>
      </c>
      <c r="V270" s="64"/>
      <c r="W270" s="60">
        <v>66</v>
      </c>
      <c r="X270" s="61">
        <v>241</v>
      </c>
      <c r="Y270" s="61">
        <v>164</v>
      </c>
      <c r="Z270" s="61">
        <v>0</v>
      </c>
      <c r="AA270" s="65">
        <v>149</v>
      </c>
      <c r="AB270" s="65">
        <v>440</v>
      </c>
      <c r="AC270" s="66"/>
      <c r="AD270" s="67">
        <f t="shared" si="115"/>
        <v>8.8483710953210885E-3</v>
      </c>
      <c r="AE270" s="67">
        <f t="shared" si="116"/>
        <v>3.2309961120793672E-2</v>
      </c>
      <c r="AF270" s="67">
        <f t="shared" si="117"/>
        <v>2.1986861509585735E-2</v>
      </c>
      <c r="AG270" s="67">
        <f t="shared" si="118"/>
        <v>0</v>
      </c>
      <c r="AH270" s="67">
        <f t="shared" si="119"/>
        <v>1.9975868078830943E-2</v>
      </c>
      <c r="AI270" s="67">
        <f t="shared" si="120"/>
        <v>5.8989140635473926E-2</v>
      </c>
      <c r="AJ270" s="66"/>
      <c r="AK270" s="68">
        <v>143.88</v>
      </c>
      <c r="AL270" s="69">
        <v>656.38999999999601</v>
      </c>
      <c r="AM270" s="69">
        <v>656.38999999999601</v>
      </c>
      <c r="AN270" s="69">
        <v>198.76999999999902</v>
      </c>
      <c r="AO270" s="70">
        <v>253.30000000000041</v>
      </c>
      <c r="AP270" s="70">
        <v>769.29999999999802</v>
      </c>
      <c r="AQ270" s="66"/>
      <c r="AR270" s="70" t="s">
        <v>780</v>
      </c>
      <c r="AS270" s="66"/>
      <c r="AT270" s="108">
        <v>10044.6</v>
      </c>
      <c r="AU270" s="109">
        <v>9442.4</v>
      </c>
      <c r="AV270" s="109">
        <v>0</v>
      </c>
      <c r="AW270" s="109">
        <v>8521</v>
      </c>
      <c r="AX270" s="110">
        <v>8198.4000000000015</v>
      </c>
      <c r="AY270" s="110">
        <v>15384.81</v>
      </c>
    </row>
    <row r="271" spans="1:51" x14ac:dyDescent="0.25">
      <c r="A271" s="8">
        <v>5458</v>
      </c>
      <c r="B271" s="5" t="s">
        <v>310</v>
      </c>
      <c r="C271" s="2">
        <v>1.7000000000000011</v>
      </c>
      <c r="D271" s="24">
        <v>25000</v>
      </c>
      <c r="E271" s="26">
        <f t="shared" si="112"/>
        <v>12500</v>
      </c>
      <c r="F271" s="26">
        <v>244082</v>
      </c>
      <c r="G271" s="30">
        <f t="shared" si="113"/>
        <v>5.121229750657566E-2</v>
      </c>
      <c r="H271" s="11"/>
      <c r="I271" s="9">
        <v>2625</v>
      </c>
      <c r="J271" s="3">
        <v>5321</v>
      </c>
      <c r="K271" s="3">
        <v>5587</v>
      </c>
      <c r="L271" s="3">
        <v>3430</v>
      </c>
      <c r="M271" s="6">
        <v>550</v>
      </c>
      <c r="N271" s="6">
        <v>13399</v>
      </c>
      <c r="O271" s="13"/>
      <c r="P271" s="60">
        <f t="shared" si="121"/>
        <v>4462.5000000000027</v>
      </c>
      <c r="Q271" s="61">
        <f t="shared" si="122"/>
        <v>9045.7000000000062</v>
      </c>
      <c r="R271" s="61">
        <f t="shared" si="123"/>
        <v>9497.9000000000051</v>
      </c>
      <c r="S271" s="62">
        <f t="shared" si="124"/>
        <v>5831.0000000000036</v>
      </c>
      <c r="T271" s="63">
        <f t="shared" si="125"/>
        <v>935.00000000000057</v>
      </c>
      <c r="U271" s="63">
        <f t="shared" si="114"/>
        <v>22778.300000000014</v>
      </c>
      <c r="V271" s="64"/>
      <c r="W271" s="60">
        <v>222</v>
      </c>
      <c r="X271" s="61">
        <v>3413</v>
      </c>
      <c r="Y271" s="61">
        <v>2839</v>
      </c>
      <c r="Z271" s="61">
        <v>5530</v>
      </c>
      <c r="AA271" s="65">
        <v>3743</v>
      </c>
      <c r="AB271" s="65">
        <v>11149</v>
      </c>
      <c r="AC271" s="66"/>
      <c r="AD271" s="67">
        <f t="shared" si="115"/>
        <v>9.0953040371678372E-4</v>
      </c>
      <c r="AE271" s="67">
        <f t="shared" si="116"/>
        <v>1.3983005711195418E-2</v>
      </c>
      <c r="AF271" s="67">
        <f t="shared" si="117"/>
        <v>1.1631337009693463E-2</v>
      </c>
      <c r="AG271" s="67">
        <f t="shared" si="118"/>
        <v>2.265632041690907E-2</v>
      </c>
      <c r="AH271" s="67">
        <f t="shared" si="119"/>
        <v>1.5335010365369016E-2</v>
      </c>
      <c r="AI271" s="67">
        <f t="shared" si="120"/>
        <v>4.5677272392064962E-2</v>
      </c>
      <c r="AJ271" s="66"/>
      <c r="AK271" s="68">
        <v>426.1</v>
      </c>
      <c r="AL271" s="69">
        <v>6376.95999999999</v>
      </c>
      <c r="AM271" s="69">
        <v>6376.9599999999909</v>
      </c>
      <c r="AN271" s="69">
        <v>4275.489999999998</v>
      </c>
      <c r="AO271" s="70">
        <v>8193.6999999999898</v>
      </c>
      <c r="AP271" s="70">
        <v>17709.439999999999</v>
      </c>
      <c r="AQ271" s="66"/>
      <c r="AR271" s="70" t="s">
        <v>779</v>
      </c>
      <c r="AS271" s="66"/>
      <c r="AT271" s="108">
        <v>19227.200000000004</v>
      </c>
      <c r="AU271" s="109">
        <v>39837.820000000007</v>
      </c>
      <c r="AV271" s="109">
        <v>41062.03</v>
      </c>
      <c r="AW271" s="109">
        <v>25676.800000000003</v>
      </c>
      <c r="AX271" s="110">
        <v>4020.5</v>
      </c>
      <c r="AY271" s="110">
        <v>100206.98</v>
      </c>
    </row>
    <row r="272" spans="1:51" x14ac:dyDescent="0.25">
      <c r="A272" s="8">
        <v>5671</v>
      </c>
      <c r="B272" s="5" t="s">
        <v>238</v>
      </c>
      <c r="C272" s="2">
        <v>1.7000000000000002</v>
      </c>
      <c r="D272" s="24">
        <v>500</v>
      </c>
      <c r="E272" s="26">
        <f t="shared" si="112"/>
        <v>250</v>
      </c>
      <c r="F272" s="26">
        <v>1558</v>
      </c>
      <c r="G272" s="30">
        <f t="shared" si="113"/>
        <v>0.16046213093709885</v>
      </c>
      <c r="H272" s="11"/>
      <c r="I272" s="9">
        <v>196</v>
      </c>
      <c r="J272" s="3">
        <v>1320</v>
      </c>
      <c r="K272" s="3">
        <v>882</v>
      </c>
      <c r="L272" s="3">
        <v>250</v>
      </c>
      <c r="M272" s="6">
        <v>150</v>
      </c>
      <c r="N272" s="6">
        <v>1037</v>
      </c>
      <c r="O272" s="13"/>
      <c r="P272" s="60">
        <f t="shared" si="121"/>
        <v>333.20000000000005</v>
      </c>
      <c r="Q272" s="61">
        <f t="shared" si="122"/>
        <v>2244.0000000000005</v>
      </c>
      <c r="R272" s="61">
        <f t="shared" si="123"/>
        <v>1499.4</v>
      </c>
      <c r="S272" s="62">
        <f t="shared" si="124"/>
        <v>425.00000000000006</v>
      </c>
      <c r="T272" s="63">
        <f t="shared" si="125"/>
        <v>255.00000000000003</v>
      </c>
      <c r="U272" s="63">
        <f t="shared" si="114"/>
        <v>1762.9</v>
      </c>
      <c r="V272" s="64"/>
      <c r="W272" s="60">
        <v>83</v>
      </c>
      <c r="X272" s="61">
        <v>261</v>
      </c>
      <c r="Y272" s="61">
        <v>633</v>
      </c>
      <c r="Z272" s="61">
        <v>776</v>
      </c>
      <c r="AA272" s="65">
        <v>523</v>
      </c>
      <c r="AB272" s="65">
        <v>475</v>
      </c>
      <c r="AC272" s="66"/>
      <c r="AD272" s="67">
        <f t="shared" si="115"/>
        <v>5.3273427471116817E-2</v>
      </c>
      <c r="AE272" s="67">
        <f t="shared" si="116"/>
        <v>0.16752246469833118</v>
      </c>
      <c r="AF272" s="67">
        <f t="shared" si="117"/>
        <v>0.40629011553273425</v>
      </c>
      <c r="AG272" s="67">
        <f t="shared" si="118"/>
        <v>0.49807445442875481</v>
      </c>
      <c r="AH272" s="67">
        <f t="shared" si="119"/>
        <v>0.33568677792041079</v>
      </c>
      <c r="AI272" s="67">
        <f t="shared" si="120"/>
        <v>0.3048780487804878</v>
      </c>
      <c r="AJ272" s="66"/>
      <c r="AK272" s="68">
        <v>405.98</v>
      </c>
      <c r="AL272" s="69">
        <v>3079.9799999999959</v>
      </c>
      <c r="AM272" s="69">
        <v>3079.979999999995</v>
      </c>
      <c r="AN272" s="69">
        <v>6540.8999999999942</v>
      </c>
      <c r="AO272" s="70">
        <v>7202.7699999999704</v>
      </c>
      <c r="AP272" s="70">
        <v>767.28</v>
      </c>
      <c r="AQ272" s="66"/>
      <c r="AR272" s="70" t="s">
        <v>779</v>
      </c>
      <c r="AS272" s="66"/>
      <c r="AT272" s="108">
        <v>959.74</v>
      </c>
      <c r="AU272" s="109">
        <v>6497.9699999999993</v>
      </c>
      <c r="AV272" s="109">
        <v>4159.2199999999993</v>
      </c>
      <c r="AW272" s="109">
        <v>1206.5</v>
      </c>
      <c r="AX272" s="110">
        <v>727.5</v>
      </c>
      <c r="AY272" s="110">
        <v>4994.92</v>
      </c>
    </row>
    <row r="273" spans="1:51" x14ac:dyDescent="0.25">
      <c r="A273" s="8" t="s">
        <v>602</v>
      </c>
      <c r="B273" s="5" t="s">
        <v>603</v>
      </c>
      <c r="C273" s="2">
        <v>1.6999999999999957</v>
      </c>
      <c r="D273" s="24">
        <v>2000</v>
      </c>
      <c r="E273" s="26">
        <f t="shared" si="112"/>
        <v>1000</v>
      </c>
      <c r="F273" s="26">
        <v>9434</v>
      </c>
      <c r="G273" s="30">
        <f t="shared" si="113"/>
        <v>0.10599957600169599</v>
      </c>
      <c r="H273" s="11"/>
      <c r="I273" s="9">
        <v>67</v>
      </c>
      <c r="J273" s="3">
        <v>1024</v>
      </c>
      <c r="K273" s="3">
        <v>1069</v>
      </c>
      <c r="L273" s="3">
        <v>838</v>
      </c>
      <c r="M273" s="6">
        <v>264</v>
      </c>
      <c r="N273" s="6">
        <v>291</v>
      </c>
      <c r="O273" s="13"/>
      <c r="P273" s="60">
        <f t="shared" si="121"/>
        <v>113.89999999999972</v>
      </c>
      <c r="Q273" s="61">
        <f t="shared" si="122"/>
        <v>1740.7999999999956</v>
      </c>
      <c r="R273" s="61">
        <f t="shared" si="123"/>
        <v>1817.2999999999954</v>
      </c>
      <c r="S273" s="62">
        <f t="shared" si="124"/>
        <v>1424.5999999999965</v>
      </c>
      <c r="T273" s="63">
        <f t="shared" si="125"/>
        <v>448.79999999999887</v>
      </c>
      <c r="U273" s="63">
        <f t="shared" si="114"/>
        <v>494.69999999999874</v>
      </c>
      <c r="V273" s="64"/>
      <c r="W273" s="60">
        <v>70</v>
      </c>
      <c r="X273" s="61">
        <v>106</v>
      </c>
      <c r="Y273" s="61">
        <v>936</v>
      </c>
      <c r="Z273" s="61">
        <v>1225</v>
      </c>
      <c r="AA273" s="65">
        <v>546</v>
      </c>
      <c r="AB273" s="65">
        <v>496</v>
      </c>
      <c r="AC273" s="66"/>
      <c r="AD273" s="67">
        <f t="shared" si="115"/>
        <v>7.4199703201187194E-3</v>
      </c>
      <c r="AE273" s="67">
        <f t="shared" si="116"/>
        <v>1.1235955056179775E-2</v>
      </c>
      <c r="AF273" s="67">
        <f t="shared" si="117"/>
        <v>9.9215603137587455E-2</v>
      </c>
      <c r="AG273" s="67">
        <f t="shared" si="118"/>
        <v>0.1298494806020776</v>
      </c>
      <c r="AH273" s="67">
        <f t="shared" si="119"/>
        <v>5.7875768496926015E-2</v>
      </c>
      <c r="AI273" s="67">
        <f t="shared" si="120"/>
        <v>5.2575789696841214E-2</v>
      </c>
      <c r="AJ273" s="66"/>
      <c r="AK273" s="68">
        <v>131.51</v>
      </c>
      <c r="AL273" s="69">
        <v>183.31999999999988</v>
      </c>
      <c r="AM273" s="69">
        <v>183.31999999999991</v>
      </c>
      <c r="AN273" s="69">
        <v>1160.8799999999978</v>
      </c>
      <c r="AO273" s="70">
        <v>1476.1499999999901</v>
      </c>
      <c r="AP273" s="70">
        <v>823.26</v>
      </c>
      <c r="AQ273" s="66"/>
      <c r="AR273" s="70" t="s">
        <v>780</v>
      </c>
      <c r="AS273" s="66"/>
      <c r="AT273" s="108">
        <v>2273.31</v>
      </c>
      <c r="AU273" s="109">
        <v>34949</v>
      </c>
      <c r="AV273" s="109">
        <v>36202.570000000007</v>
      </c>
      <c r="AW273" s="109">
        <v>28296.94</v>
      </c>
      <c r="AX273" s="110">
        <v>8903.369999999999</v>
      </c>
      <c r="AY273" s="110">
        <v>9768.33</v>
      </c>
    </row>
    <row r="274" spans="1:51" x14ac:dyDescent="0.25">
      <c r="A274" s="8">
        <v>5107</v>
      </c>
      <c r="B274" s="5" t="s">
        <v>123</v>
      </c>
      <c r="C274" s="2">
        <v>1.6600000000000001</v>
      </c>
      <c r="D274" s="24">
        <v>1500</v>
      </c>
      <c r="E274" s="26">
        <f t="shared" si="112"/>
        <v>750</v>
      </c>
      <c r="F274" s="26">
        <v>2571</v>
      </c>
      <c r="G274" s="30">
        <f t="shared" si="113"/>
        <v>0.29171528588098017</v>
      </c>
      <c r="H274" s="11"/>
      <c r="I274" s="9">
        <v>576</v>
      </c>
      <c r="J274" s="3">
        <v>408</v>
      </c>
      <c r="K274" s="3">
        <v>0</v>
      </c>
      <c r="L274" s="3">
        <v>532</v>
      </c>
      <c r="M274" s="6">
        <v>246</v>
      </c>
      <c r="N274" s="6">
        <v>257</v>
      </c>
      <c r="O274" s="13"/>
      <c r="P274" s="60">
        <f t="shared" si="121"/>
        <v>956.16000000000008</v>
      </c>
      <c r="Q274" s="61">
        <f t="shared" si="122"/>
        <v>677.28000000000009</v>
      </c>
      <c r="R274" s="61">
        <f t="shared" si="123"/>
        <v>0</v>
      </c>
      <c r="S274" s="62">
        <f t="shared" si="124"/>
        <v>883.12000000000012</v>
      </c>
      <c r="T274" s="63">
        <f t="shared" si="125"/>
        <v>408.36</v>
      </c>
      <c r="U274" s="63">
        <f t="shared" si="114"/>
        <v>426.62000000000006</v>
      </c>
      <c r="V274" s="64"/>
      <c r="W274" s="60">
        <v>265</v>
      </c>
      <c r="X274" s="61">
        <v>574</v>
      </c>
      <c r="Y274" s="61">
        <v>404</v>
      </c>
      <c r="Z274" s="61">
        <v>0</v>
      </c>
      <c r="AA274" s="65">
        <v>600</v>
      </c>
      <c r="AB274" s="65">
        <v>244</v>
      </c>
      <c r="AC274" s="66"/>
      <c r="AD274" s="67">
        <f t="shared" si="115"/>
        <v>0.10307273434461299</v>
      </c>
      <c r="AE274" s="67">
        <f t="shared" si="116"/>
        <v>0.22325943212757682</v>
      </c>
      <c r="AF274" s="67">
        <f t="shared" si="117"/>
        <v>0.15713730066122131</v>
      </c>
      <c r="AG274" s="67">
        <f t="shared" si="118"/>
        <v>0</v>
      </c>
      <c r="AH274" s="67">
        <f t="shared" si="119"/>
        <v>0.23337222870478413</v>
      </c>
      <c r="AI274" s="67">
        <f t="shared" si="120"/>
        <v>9.4904706339945549E-2</v>
      </c>
      <c r="AJ274" s="66"/>
      <c r="AK274" s="68">
        <v>143.28</v>
      </c>
      <c r="AL274" s="69">
        <v>657.83999999999685</v>
      </c>
      <c r="AM274" s="69">
        <v>657.83999999999673</v>
      </c>
      <c r="AN274" s="69">
        <v>590.75999999999794</v>
      </c>
      <c r="AO274" s="70">
        <v>996.00000000000011</v>
      </c>
      <c r="AP274" s="70">
        <v>298.18999999999897</v>
      </c>
      <c r="AQ274" s="66"/>
      <c r="AR274" s="70" t="s">
        <v>779</v>
      </c>
      <c r="AS274" s="66"/>
      <c r="AT274" s="108">
        <v>1634.3999999999999</v>
      </c>
      <c r="AU274" s="109">
        <v>1162.74</v>
      </c>
      <c r="AV274" s="109">
        <v>0</v>
      </c>
      <c r="AW274" s="109">
        <v>1508.44</v>
      </c>
      <c r="AX274" s="110">
        <v>694.44</v>
      </c>
      <c r="AY274" s="110">
        <v>722.89</v>
      </c>
    </row>
    <row r="275" spans="1:51" x14ac:dyDescent="0.25">
      <c r="A275" s="8" t="s">
        <v>165</v>
      </c>
      <c r="B275" s="5" t="s">
        <v>166</v>
      </c>
      <c r="C275" s="2">
        <v>1.6599999999999997</v>
      </c>
      <c r="D275" s="24">
        <v>20000</v>
      </c>
      <c r="E275" s="26">
        <f t="shared" si="112"/>
        <v>10000</v>
      </c>
      <c r="F275" s="26">
        <v>28294</v>
      </c>
      <c r="G275" s="30">
        <f t="shared" si="113"/>
        <v>0.35343182300134302</v>
      </c>
      <c r="H275" s="11"/>
      <c r="I275" s="9">
        <v>10703</v>
      </c>
      <c r="J275" s="3">
        <v>6979</v>
      </c>
      <c r="K275" s="3">
        <v>5375</v>
      </c>
      <c r="L275" s="3">
        <v>4622</v>
      </c>
      <c r="M275" s="6">
        <v>2390</v>
      </c>
      <c r="N275" s="6">
        <v>7710</v>
      </c>
      <c r="O275" s="13"/>
      <c r="P275" s="60">
        <f t="shared" si="121"/>
        <v>17766.979999999996</v>
      </c>
      <c r="Q275" s="61">
        <f t="shared" si="122"/>
        <v>11585.139999999998</v>
      </c>
      <c r="R275" s="61">
        <f t="shared" si="123"/>
        <v>8922.4999999999982</v>
      </c>
      <c r="S275" s="62">
        <f t="shared" si="124"/>
        <v>7672.5199999999986</v>
      </c>
      <c r="T275" s="63">
        <f t="shared" si="125"/>
        <v>3967.3999999999992</v>
      </c>
      <c r="U275" s="63">
        <f t="shared" si="114"/>
        <v>12798.599999999999</v>
      </c>
      <c r="V275" s="64"/>
      <c r="W275" s="60">
        <v>3082</v>
      </c>
      <c r="X275" s="61">
        <v>4996</v>
      </c>
      <c r="Y275" s="61">
        <v>11719</v>
      </c>
      <c r="Z275" s="61">
        <v>11210</v>
      </c>
      <c r="AA275" s="65">
        <v>6059</v>
      </c>
      <c r="AB275" s="65">
        <v>3866</v>
      </c>
      <c r="AC275" s="66"/>
      <c r="AD275" s="67">
        <f t="shared" si="115"/>
        <v>0.10892768784901392</v>
      </c>
      <c r="AE275" s="67">
        <f t="shared" si="116"/>
        <v>0.17657453877147097</v>
      </c>
      <c r="AF275" s="67">
        <f t="shared" si="117"/>
        <v>0.41418675337527389</v>
      </c>
      <c r="AG275" s="67">
        <f t="shared" si="118"/>
        <v>0.39619707358450557</v>
      </c>
      <c r="AH275" s="67">
        <f t="shared" si="119"/>
        <v>0.21414434155651374</v>
      </c>
      <c r="AI275" s="67">
        <f t="shared" si="120"/>
        <v>0.13663674277231921</v>
      </c>
      <c r="AJ275" s="66"/>
      <c r="AK275" s="68">
        <v>4492.9000000000051</v>
      </c>
      <c r="AL275" s="69">
        <v>8390.6199999999844</v>
      </c>
      <c r="AM275" s="69">
        <v>8390.6199999999844</v>
      </c>
      <c r="AN275" s="69">
        <v>18401.159999999942</v>
      </c>
      <c r="AO275" s="70">
        <v>17759.959999999599</v>
      </c>
      <c r="AP275" s="70">
        <v>5508.4699999999802</v>
      </c>
      <c r="AQ275" s="66"/>
      <c r="AR275" s="70" t="s">
        <v>779</v>
      </c>
      <c r="AS275" s="66"/>
      <c r="AT275" s="108">
        <v>37237.440000000002</v>
      </c>
      <c r="AU275" s="109">
        <v>23925.03</v>
      </c>
      <c r="AV275" s="109">
        <v>18484.45</v>
      </c>
      <c r="AW275" s="109">
        <v>15142.02</v>
      </c>
      <c r="AX275" s="110">
        <v>7676.7999999999993</v>
      </c>
      <c r="AY275" s="110">
        <v>26391.050000000003</v>
      </c>
    </row>
    <row r="276" spans="1:51" x14ac:dyDescent="0.25">
      <c r="A276" s="8">
        <v>5939</v>
      </c>
      <c r="B276" s="5" t="s">
        <v>455</v>
      </c>
      <c r="C276" s="2">
        <v>1.6500000000000021</v>
      </c>
      <c r="D276" s="24">
        <v>600</v>
      </c>
      <c r="E276" s="26">
        <f t="shared" si="112"/>
        <v>300</v>
      </c>
      <c r="F276" s="26">
        <v>1710</v>
      </c>
      <c r="G276" s="30">
        <f t="shared" si="113"/>
        <v>0.17543859649122806</v>
      </c>
      <c r="H276" s="11"/>
      <c r="I276" s="9">
        <v>0</v>
      </c>
      <c r="J276" s="3">
        <v>0</v>
      </c>
      <c r="K276" s="3">
        <v>1295</v>
      </c>
      <c r="L276" s="3">
        <v>500</v>
      </c>
      <c r="M276" s="6">
        <v>710</v>
      </c>
      <c r="N276" s="6">
        <v>0</v>
      </c>
      <c r="O276" s="13"/>
      <c r="P276" s="60">
        <f t="shared" si="121"/>
        <v>0</v>
      </c>
      <c r="Q276" s="61">
        <f t="shared" si="122"/>
        <v>0</v>
      </c>
      <c r="R276" s="61">
        <f t="shared" si="123"/>
        <v>2136.7500000000027</v>
      </c>
      <c r="S276" s="62">
        <f t="shared" si="124"/>
        <v>825.00000000000102</v>
      </c>
      <c r="T276" s="63">
        <f t="shared" si="125"/>
        <v>1171.5000000000016</v>
      </c>
      <c r="U276" s="63">
        <f t="shared" si="114"/>
        <v>0</v>
      </c>
      <c r="V276" s="64"/>
      <c r="W276" s="60">
        <v>474</v>
      </c>
      <c r="X276" s="61">
        <v>672</v>
      </c>
      <c r="Y276" s="61">
        <v>378</v>
      </c>
      <c r="Z276" s="61">
        <v>498</v>
      </c>
      <c r="AA276" s="65">
        <v>713</v>
      </c>
      <c r="AB276" s="65">
        <v>321</v>
      </c>
      <c r="AC276" s="66"/>
      <c r="AD276" s="67">
        <f t="shared" si="115"/>
        <v>0.27719298245614032</v>
      </c>
      <c r="AE276" s="67">
        <f t="shared" si="116"/>
        <v>0.39298245614035088</v>
      </c>
      <c r="AF276" s="67">
        <f t="shared" si="117"/>
        <v>0.22105263157894736</v>
      </c>
      <c r="AG276" s="67">
        <f t="shared" si="118"/>
        <v>0.29122807017543861</v>
      </c>
      <c r="AH276" s="67">
        <f t="shared" si="119"/>
        <v>0.41695906432748536</v>
      </c>
      <c r="AI276" s="67">
        <f t="shared" si="120"/>
        <v>0.18771929824561404</v>
      </c>
      <c r="AJ276" s="66"/>
      <c r="AK276" s="68">
        <v>338.99999999999977</v>
      </c>
      <c r="AL276" s="69">
        <v>760.8599999999991</v>
      </c>
      <c r="AM276" s="69">
        <v>760.85999999999933</v>
      </c>
      <c r="AN276" s="69">
        <v>532.41999999999871</v>
      </c>
      <c r="AO276" s="70">
        <v>452.38</v>
      </c>
      <c r="AP276" s="70">
        <v>412.07999999999902</v>
      </c>
      <c r="AQ276" s="66"/>
      <c r="AR276" s="70" t="s">
        <v>780</v>
      </c>
      <c r="AS276" s="66"/>
      <c r="AT276" s="108">
        <v>0</v>
      </c>
      <c r="AU276" s="109">
        <v>0</v>
      </c>
      <c r="AV276" s="109">
        <v>17243.099999999999</v>
      </c>
      <c r="AW276" s="109">
        <v>7737</v>
      </c>
      <c r="AX276" s="110">
        <v>9913.56</v>
      </c>
      <c r="AY276" s="110">
        <v>0</v>
      </c>
    </row>
    <row r="277" spans="1:51" x14ac:dyDescent="0.25">
      <c r="A277" s="8" t="s">
        <v>595</v>
      </c>
      <c r="B277" s="5" t="s">
        <v>596</v>
      </c>
      <c r="C277" s="2">
        <v>1.6499999999999986</v>
      </c>
      <c r="D277" s="24">
        <v>10000</v>
      </c>
      <c r="E277" s="26">
        <f t="shared" si="112"/>
        <v>5000</v>
      </c>
      <c r="F277" s="26">
        <v>203101</v>
      </c>
      <c r="G277" s="30">
        <f t="shared" si="113"/>
        <v>2.4618293361431013E-2</v>
      </c>
      <c r="H277" s="11"/>
      <c r="I277" s="9">
        <v>1454.090909090909</v>
      </c>
      <c r="J277" s="3">
        <v>1915.7272727272727</v>
      </c>
      <c r="K277" s="3">
        <v>1810.121212121212</v>
      </c>
      <c r="L277" s="3">
        <v>1230.969696969697</v>
      </c>
      <c r="M277" s="6">
        <v>1343.030303030303</v>
      </c>
      <c r="N277" s="6">
        <v>2084</v>
      </c>
      <c r="O277" s="13"/>
      <c r="P277" s="60">
        <f t="shared" si="121"/>
        <v>2399.2499999999977</v>
      </c>
      <c r="Q277" s="61">
        <f t="shared" si="122"/>
        <v>3160.9499999999971</v>
      </c>
      <c r="R277" s="61">
        <f t="shared" si="123"/>
        <v>2986.6999999999971</v>
      </c>
      <c r="S277" s="62">
        <f t="shared" si="124"/>
        <v>2031.0999999999983</v>
      </c>
      <c r="T277" s="63">
        <f t="shared" si="125"/>
        <v>2215.9999999999982</v>
      </c>
      <c r="U277" s="63">
        <f t="shared" si="114"/>
        <v>3438.5999999999972</v>
      </c>
      <c r="V277" s="64"/>
      <c r="W277" s="60">
        <v>3415</v>
      </c>
      <c r="X277" s="61">
        <v>2829</v>
      </c>
      <c r="Y277" s="61">
        <v>5189</v>
      </c>
      <c r="Z277" s="61">
        <v>1160</v>
      </c>
      <c r="AA277" s="65">
        <v>1819</v>
      </c>
      <c r="AB277" s="65">
        <v>1066</v>
      </c>
      <c r="AC277" s="66"/>
      <c r="AD277" s="67">
        <f t="shared" si="115"/>
        <v>1.681429436585738E-2</v>
      </c>
      <c r="AE277" s="67">
        <f t="shared" si="116"/>
        <v>1.3929030383897667E-2</v>
      </c>
      <c r="AF277" s="67">
        <f t="shared" si="117"/>
        <v>2.5548864850493104E-2</v>
      </c>
      <c r="AG277" s="67">
        <f t="shared" si="118"/>
        <v>5.7114440598519944E-3</v>
      </c>
      <c r="AH277" s="67">
        <f t="shared" si="119"/>
        <v>8.9561351248886017E-3</v>
      </c>
      <c r="AI277" s="67">
        <f t="shared" si="120"/>
        <v>5.2486201446570917E-3</v>
      </c>
      <c r="AJ277" s="66"/>
      <c r="AK277" s="68">
        <v>1282.24</v>
      </c>
      <c r="AL277" s="69">
        <v>1862.2699999999998</v>
      </c>
      <c r="AM277" s="69">
        <v>1862.2699999999991</v>
      </c>
      <c r="AN277" s="69">
        <v>3580.2199999999962</v>
      </c>
      <c r="AO277" s="70">
        <v>1254.3</v>
      </c>
      <c r="AP277" s="70">
        <v>1452.29999999999</v>
      </c>
      <c r="AQ277" s="66"/>
      <c r="AR277" s="70" t="s">
        <v>780</v>
      </c>
      <c r="AS277" s="66"/>
      <c r="AT277" s="108">
        <v>47767.350000000006</v>
      </c>
      <c r="AU277" s="109">
        <v>61538.46</v>
      </c>
      <c r="AV277" s="109">
        <v>58031.9</v>
      </c>
      <c r="AW277" s="109">
        <v>45720.79</v>
      </c>
      <c r="AX277" s="110">
        <v>42596.57</v>
      </c>
      <c r="AY277" s="110">
        <v>84684.72</v>
      </c>
    </row>
    <row r="278" spans="1:51" x14ac:dyDescent="0.25">
      <c r="A278" s="8" t="s">
        <v>796</v>
      </c>
      <c r="B278" s="5" t="s">
        <v>839</v>
      </c>
      <c r="C278" s="2">
        <v>1.6349245206038345</v>
      </c>
      <c r="D278" s="24">
        <v>513.4</v>
      </c>
      <c r="E278" s="26">
        <f t="shared" si="112"/>
        <v>256.7</v>
      </c>
      <c r="F278" s="26">
        <v>2567</v>
      </c>
      <c r="G278" s="30">
        <f t="shared" si="113"/>
        <v>9.9999999999999992E-2</v>
      </c>
      <c r="H278" s="11"/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6">
        <v>840</v>
      </c>
      <c r="O278" s="13"/>
      <c r="P278" s="60"/>
      <c r="Q278" s="61"/>
      <c r="R278" s="61"/>
      <c r="S278" s="62"/>
      <c r="T278" s="63"/>
      <c r="U278" s="63">
        <f t="shared" si="114"/>
        <v>1373.3365973072209</v>
      </c>
      <c r="V278" s="64"/>
      <c r="W278" s="60"/>
      <c r="X278" s="61"/>
      <c r="Y278" s="61"/>
      <c r="Z278" s="61"/>
      <c r="AA278" s="65"/>
      <c r="AB278" s="65"/>
      <c r="AC278" s="66"/>
      <c r="AD278" s="67">
        <f t="shared" si="115"/>
        <v>0</v>
      </c>
      <c r="AE278" s="67">
        <f t="shared" si="116"/>
        <v>0</v>
      </c>
      <c r="AF278" s="67">
        <f t="shared" si="117"/>
        <v>0</v>
      </c>
      <c r="AG278" s="67">
        <f t="shared" si="118"/>
        <v>0</v>
      </c>
      <c r="AH278" s="67">
        <f t="shared" si="119"/>
        <v>0</v>
      </c>
      <c r="AI278" s="67">
        <f t="shared" si="120"/>
        <v>0</v>
      </c>
      <c r="AJ278" s="66"/>
      <c r="AK278" s="68"/>
      <c r="AL278" s="69"/>
      <c r="AM278" s="69"/>
      <c r="AN278" s="69"/>
      <c r="AO278" s="70"/>
      <c r="AP278" s="70"/>
      <c r="AQ278" s="66"/>
      <c r="AR278" s="70" t="s">
        <v>779</v>
      </c>
      <c r="AS278" s="66"/>
      <c r="AT278" s="108">
        <v>26711.340000000004</v>
      </c>
      <c r="AU278" s="109">
        <v>15077.680000000002</v>
      </c>
      <c r="AV278" s="109">
        <v>8040.1</v>
      </c>
      <c r="AW278" s="109">
        <v>18145.830000000002</v>
      </c>
      <c r="AX278" s="110">
        <v>6397.34</v>
      </c>
      <c r="AY278" s="110">
        <v>2297.5500000000002</v>
      </c>
    </row>
    <row r="279" spans="1:51" x14ac:dyDescent="0.25">
      <c r="A279" s="8" t="s">
        <v>318</v>
      </c>
      <c r="B279" s="5" t="s">
        <v>319</v>
      </c>
      <c r="C279" s="2">
        <v>1.6300000000000008</v>
      </c>
      <c r="D279" s="24">
        <v>500</v>
      </c>
      <c r="E279" s="26">
        <f t="shared" si="112"/>
        <v>250</v>
      </c>
      <c r="F279" s="26">
        <v>842</v>
      </c>
      <c r="G279" s="30">
        <f t="shared" si="113"/>
        <v>0.29691211401425177</v>
      </c>
      <c r="H279" s="11"/>
      <c r="I279" s="9">
        <v>0</v>
      </c>
      <c r="J279" s="3">
        <v>0</v>
      </c>
      <c r="K279" s="3">
        <v>519</v>
      </c>
      <c r="L279" s="3">
        <v>606</v>
      </c>
      <c r="M279" s="6">
        <v>516</v>
      </c>
      <c r="N279" s="6">
        <v>193</v>
      </c>
      <c r="O279" s="13"/>
      <c r="P279" s="60">
        <f t="shared" ref="P279:P293" si="126">+I279*C279</f>
        <v>0</v>
      </c>
      <c r="Q279" s="61">
        <f t="shared" ref="Q279:Q293" si="127">+J279*C279</f>
        <v>0</v>
      </c>
      <c r="R279" s="61">
        <f t="shared" ref="R279:R293" si="128">+K279*C279</f>
        <v>845.97000000000037</v>
      </c>
      <c r="S279" s="62">
        <f t="shared" ref="S279:S293" si="129">+L279*C279</f>
        <v>987.78000000000043</v>
      </c>
      <c r="T279" s="63">
        <f t="shared" ref="T279:T293" si="130">+M279*C279</f>
        <v>841.08000000000038</v>
      </c>
      <c r="U279" s="63">
        <f t="shared" si="114"/>
        <v>314.59000000000015</v>
      </c>
      <c r="V279" s="64"/>
      <c r="W279" s="60">
        <v>755</v>
      </c>
      <c r="X279" s="61">
        <v>406</v>
      </c>
      <c r="Y279" s="61">
        <v>375</v>
      </c>
      <c r="Z279" s="61">
        <v>192</v>
      </c>
      <c r="AA279" s="65">
        <v>448</v>
      </c>
      <c r="AB279" s="65">
        <v>472</v>
      </c>
      <c r="AC279" s="66"/>
      <c r="AD279" s="67">
        <f t="shared" si="115"/>
        <v>0.89667458432304037</v>
      </c>
      <c r="AE279" s="67">
        <f t="shared" si="116"/>
        <v>0.48218527315914489</v>
      </c>
      <c r="AF279" s="67">
        <f t="shared" si="117"/>
        <v>0.44536817102137766</v>
      </c>
      <c r="AG279" s="67">
        <f t="shared" si="118"/>
        <v>0.22802850356294538</v>
      </c>
      <c r="AH279" s="67">
        <f t="shared" si="119"/>
        <v>0.53206650831353919</v>
      </c>
      <c r="AI279" s="67">
        <f t="shared" si="120"/>
        <v>0.56057007125890734</v>
      </c>
      <c r="AJ279" s="66"/>
      <c r="AK279" s="68">
        <v>1869.6</v>
      </c>
      <c r="AL279" s="69">
        <v>1529.3599999999981</v>
      </c>
      <c r="AM279" s="69">
        <v>1529.3599999999985</v>
      </c>
      <c r="AN279" s="69">
        <v>1608.6999999999987</v>
      </c>
      <c r="AO279" s="70">
        <v>1253.21</v>
      </c>
      <c r="AP279" s="70">
        <v>790.75</v>
      </c>
      <c r="AQ279" s="66"/>
      <c r="AR279" s="70" t="s">
        <v>779</v>
      </c>
      <c r="AS279" s="66"/>
      <c r="AT279" s="108">
        <v>0</v>
      </c>
      <c r="AU279" s="109">
        <v>0</v>
      </c>
      <c r="AV279" s="109">
        <v>3788.07</v>
      </c>
      <c r="AW279" s="109">
        <v>4436.4599999999991</v>
      </c>
      <c r="AX279" s="110">
        <v>3736.7799999999997</v>
      </c>
      <c r="AY279" s="110">
        <v>1386.26</v>
      </c>
    </row>
    <row r="280" spans="1:51" x14ac:dyDescent="0.25">
      <c r="A280" s="8" t="s">
        <v>645</v>
      </c>
      <c r="B280" s="5" t="s">
        <v>646</v>
      </c>
      <c r="C280" s="2">
        <v>1.6099999999999994</v>
      </c>
      <c r="D280" s="24">
        <v>20000</v>
      </c>
      <c r="E280" s="26">
        <f t="shared" si="112"/>
        <v>10000</v>
      </c>
      <c r="F280" s="26">
        <v>136376</v>
      </c>
      <c r="G280" s="30">
        <f t="shared" si="113"/>
        <v>7.3326685047222381E-2</v>
      </c>
      <c r="H280" s="11"/>
      <c r="I280" s="9">
        <v>2936.939393939394</v>
      </c>
      <c r="J280" s="3">
        <v>0</v>
      </c>
      <c r="K280" s="3">
        <v>0</v>
      </c>
      <c r="L280" s="3">
        <v>1229.8181818181818</v>
      </c>
      <c r="M280" s="6">
        <v>2444.4848484848485</v>
      </c>
      <c r="N280" s="6">
        <v>4487</v>
      </c>
      <c r="O280" s="13"/>
      <c r="P280" s="60">
        <f t="shared" si="126"/>
        <v>4728.4724242424227</v>
      </c>
      <c r="Q280" s="61">
        <f t="shared" si="127"/>
        <v>0</v>
      </c>
      <c r="R280" s="61">
        <f t="shared" si="128"/>
        <v>0</v>
      </c>
      <c r="S280" s="62">
        <f t="shared" si="129"/>
        <v>1980.007272727272</v>
      </c>
      <c r="T280" s="63">
        <f t="shared" si="130"/>
        <v>3935.6206060606046</v>
      </c>
      <c r="U280" s="63">
        <f t="shared" si="114"/>
        <v>7224.0699999999979</v>
      </c>
      <c r="V280" s="64"/>
      <c r="W280" s="60">
        <v>6897</v>
      </c>
      <c r="X280" s="61">
        <v>3000</v>
      </c>
      <c r="Y280" s="61">
        <v>368</v>
      </c>
      <c r="Z280" s="61">
        <v>0</v>
      </c>
      <c r="AA280" s="65">
        <v>1793</v>
      </c>
      <c r="AB280" s="65">
        <v>5981</v>
      </c>
      <c r="AC280" s="66"/>
      <c r="AD280" s="67">
        <f t="shared" si="115"/>
        <v>5.057341467706928E-2</v>
      </c>
      <c r="AE280" s="67">
        <f t="shared" si="116"/>
        <v>2.1998005514166717E-2</v>
      </c>
      <c r="AF280" s="67">
        <f t="shared" si="117"/>
        <v>2.6984220097377837E-3</v>
      </c>
      <c r="AG280" s="67">
        <f t="shared" si="118"/>
        <v>0</v>
      </c>
      <c r="AH280" s="67">
        <f t="shared" si="119"/>
        <v>1.3147474628966973E-2</v>
      </c>
      <c r="AI280" s="67">
        <f t="shared" si="120"/>
        <v>4.3856690326743705E-2</v>
      </c>
      <c r="AJ280" s="66"/>
      <c r="AK280" s="68">
        <v>5583.8899999999858</v>
      </c>
      <c r="AL280" s="69">
        <v>1997.5799999999997</v>
      </c>
      <c r="AM280" s="69">
        <v>1997.58</v>
      </c>
      <c r="AN280" s="69">
        <v>198.09</v>
      </c>
      <c r="AO280" s="70">
        <v>2886.7299999999991</v>
      </c>
      <c r="AP280" s="70">
        <v>8942.4899999999398</v>
      </c>
      <c r="AQ280" s="66"/>
      <c r="AR280" s="70" t="s">
        <v>780</v>
      </c>
      <c r="AS280" s="66"/>
      <c r="AT280" s="108">
        <v>127329.29999999999</v>
      </c>
      <c r="AU280" s="109">
        <v>0</v>
      </c>
      <c r="AV280" s="109">
        <v>0</v>
      </c>
      <c r="AW280" s="109">
        <v>52653.430000000008</v>
      </c>
      <c r="AX280" s="110">
        <v>104642.58</v>
      </c>
      <c r="AY280" s="110">
        <v>193585.21999999997</v>
      </c>
    </row>
    <row r="281" spans="1:51" x14ac:dyDescent="0.25">
      <c r="A281" s="8">
        <v>4160</v>
      </c>
      <c r="B281" s="5" t="s">
        <v>140</v>
      </c>
      <c r="C281" s="2">
        <v>1.6000000000000005</v>
      </c>
      <c r="D281" s="24">
        <v>480</v>
      </c>
      <c r="E281" s="26">
        <f t="shared" si="112"/>
        <v>240</v>
      </c>
      <c r="F281" s="26">
        <v>671</v>
      </c>
      <c r="G281" s="30">
        <f t="shared" si="113"/>
        <v>0.35767511177347244</v>
      </c>
      <c r="H281" s="11"/>
      <c r="I281" s="9">
        <v>51</v>
      </c>
      <c r="J281" s="3">
        <v>0</v>
      </c>
      <c r="K281" s="3">
        <v>31</v>
      </c>
      <c r="L281" s="3">
        <v>706</v>
      </c>
      <c r="M281" s="6">
        <v>243</v>
      </c>
      <c r="N281" s="6">
        <v>300</v>
      </c>
      <c r="O281" s="13"/>
      <c r="P281" s="60">
        <f t="shared" si="126"/>
        <v>81.600000000000023</v>
      </c>
      <c r="Q281" s="61">
        <f t="shared" si="127"/>
        <v>0</v>
      </c>
      <c r="R281" s="61">
        <f t="shared" si="128"/>
        <v>49.600000000000016</v>
      </c>
      <c r="S281" s="62">
        <f t="shared" si="129"/>
        <v>1129.6000000000004</v>
      </c>
      <c r="T281" s="63">
        <f t="shared" si="130"/>
        <v>388.80000000000013</v>
      </c>
      <c r="U281" s="63">
        <f t="shared" si="114"/>
        <v>480.00000000000017</v>
      </c>
      <c r="V281" s="64"/>
      <c r="W281" s="60">
        <v>304</v>
      </c>
      <c r="X281" s="61">
        <v>331</v>
      </c>
      <c r="Y281" s="61">
        <v>355</v>
      </c>
      <c r="Z281" s="61">
        <v>169</v>
      </c>
      <c r="AA281" s="65">
        <v>226</v>
      </c>
      <c r="AB281" s="65">
        <v>350</v>
      </c>
      <c r="AC281" s="66"/>
      <c r="AD281" s="67">
        <f t="shared" si="115"/>
        <v>0.45305514157973176</v>
      </c>
      <c r="AE281" s="67">
        <f t="shared" si="116"/>
        <v>0.49329359165424741</v>
      </c>
      <c r="AF281" s="67">
        <f t="shared" si="117"/>
        <v>0.52906110283159469</v>
      </c>
      <c r="AG281" s="67">
        <f t="shared" si="118"/>
        <v>0.25186289120715349</v>
      </c>
      <c r="AH281" s="67">
        <f t="shared" si="119"/>
        <v>0.33681073025335323</v>
      </c>
      <c r="AI281" s="67">
        <f t="shared" si="120"/>
        <v>0.5216095380029806</v>
      </c>
      <c r="AJ281" s="66"/>
      <c r="AK281" s="68">
        <v>1055.31</v>
      </c>
      <c r="AL281" s="69">
        <v>1383.7099999999984</v>
      </c>
      <c r="AM281" s="69">
        <v>1383.709999999998</v>
      </c>
      <c r="AN281" s="69">
        <v>804.61999999999966</v>
      </c>
      <c r="AO281" s="70">
        <v>444.66</v>
      </c>
      <c r="AP281" s="70">
        <v>687.09</v>
      </c>
      <c r="AQ281" s="66"/>
      <c r="AR281" s="70" t="s">
        <v>779</v>
      </c>
      <c r="AS281" s="66"/>
      <c r="AT281" s="108">
        <v>202.98</v>
      </c>
      <c r="AU281" s="109">
        <v>0</v>
      </c>
      <c r="AV281" s="109">
        <v>124</v>
      </c>
      <c r="AW281" s="109">
        <v>2188.6</v>
      </c>
      <c r="AX281" s="110">
        <v>749.31999999999994</v>
      </c>
      <c r="AY281" s="110">
        <v>918</v>
      </c>
    </row>
    <row r="282" spans="1:51" x14ac:dyDescent="0.25">
      <c r="A282" s="8">
        <v>5690</v>
      </c>
      <c r="B282" s="5" t="s">
        <v>578</v>
      </c>
      <c r="C282" s="2">
        <v>1.5999999999999979</v>
      </c>
      <c r="D282" s="24">
        <v>1000</v>
      </c>
      <c r="E282" s="26">
        <f t="shared" si="112"/>
        <v>500</v>
      </c>
      <c r="F282" s="26">
        <v>3094</v>
      </c>
      <c r="G282" s="30">
        <f t="shared" si="113"/>
        <v>0.16160310277957338</v>
      </c>
      <c r="H282" s="11"/>
      <c r="I282" s="9">
        <v>0</v>
      </c>
      <c r="J282" s="3">
        <v>0</v>
      </c>
      <c r="K282" s="3">
        <v>0</v>
      </c>
      <c r="L282" s="3">
        <v>124</v>
      </c>
      <c r="M282" s="6">
        <v>1661</v>
      </c>
      <c r="N282" s="6">
        <v>1794</v>
      </c>
      <c r="O282" s="13"/>
      <c r="P282" s="60">
        <f t="shared" si="126"/>
        <v>0</v>
      </c>
      <c r="Q282" s="61">
        <f t="shared" si="127"/>
        <v>0</v>
      </c>
      <c r="R282" s="61">
        <f t="shared" si="128"/>
        <v>0</v>
      </c>
      <c r="S282" s="62">
        <f t="shared" si="129"/>
        <v>198.39999999999975</v>
      </c>
      <c r="T282" s="63">
        <f t="shared" si="130"/>
        <v>2657.5999999999963</v>
      </c>
      <c r="U282" s="63">
        <f t="shared" si="114"/>
        <v>2870.399999999996</v>
      </c>
      <c r="V282" s="64"/>
      <c r="W282" s="60">
        <v>716</v>
      </c>
      <c r="X282" s="61">
        <v>860</v>
      </c>
      <c r="Y282" s="61">
        <v>913</v>
      </c>
      <c r="Z282" s="61">
        <v>731</v>
      </c>
      <c r="AA282" s="65">
        <v>73</v>
      </c>
      <c r="AB282" s="65">
        <v>859</v>
      </c>
      <c r="AC282" s="66"/>
      <c r="AD282" s="67">
        <f t="shared" si="115"/>
        <v>0.23141564318034907</v>
      </c>
      <c r="AE282" s="67">
        <f t="shared" si="116"/>
        <v>0.2779573367808662</v>
      </c>
      <c r="AF282" s="67">
        <f t="shared" si="117"/>
        <v>0.29508726567550098</v>
      </c>
      <c r="AG282" s="67">
        <f t="shared" si="118"/>
        <v>0.23626373626373626</v>
      </c>
      <c r="AH282" s="67">
        <f t="shared" si="119"/>
        <v>2.3594053005817711E-2</v>
      </c>
      <c r="AI282" s="67">
        <f t="shared" si="120"/>
        <v>0.27763413057530706</v>
      </c>
      <c r="AJ282" s="66"/>
      <c r="AK282" s="68">
        <v>462.21999999999991</v>
      </c>
      <c r="AL282" s="69">
        <v>350.68999999999903</v>
      </c>
      <c r="AM282" s="69">
        <v>350.68999999999915</v>
      </c>
      <c r="AN282" s="69">
        <v>315.29999999999967</v>
      </c>
      <c r="AO282" s="70">
        <v>803.95999999999697</v>
      </c>
      <c r="AP282" s="70">
        <v>1297.7</v>
      </c>
      <c r="AQ282" s="66"/>
      <c r="AR282" s="70" t="s">
        <v>780</v>
      </c>
      <c r="AS282" s="66"/>
      <c r="AT282" s="108">
        <v>0</v>
      </c>
      <c r="AU282" s="109">
        <v>0</v>
      </c>
      <c r="AV282" s="109">
        <v>0</v>
      </c>
      <c r="AW282" s="109">
        <v>3401.3199999999997</v>
      </c>
      <c r="AX282" s="110">
        <v>45443.200000000004</v>
      </c>
      <c r="AY282" s="110">
        <v>48797.75</v>
      </c>
    </row>
    <row r="283" spans="1:51" x14ac:dyDescent="0.25">
      <c r="A283" s="8" t="s">
        <v>435</v>
      </c>
      <c r="B283" s="5" t="s">
        <v>436</v>
      </c>
      <c r="C283" s="2">
        <v>1.5899999999999999</v>
      </c>
      <c r="D283" s="24">
        <v>2000</v>
      </c>
      <c r="E283" s="26">
        <f t="shared" si="112"/>
        <v>1000</v>
      </c>
      <c r="F283" s="26">
        <v>5526</v>
      </c>
      <c r="G283" s="30">
        <f t="shared" si="113"/>
        <v>0.18096272167933405</v>
      </c>
      <c r="H283" s="11"/>
      <c r="I283" s="9">
        <v>400</v>
      </c>
      <c r="J283" s="3">
        <v>0</v>
      </c>
      <c r="K283" s="3">
        <v>284</v>
      </c>
      <c r="L283" s="3">
        <v>748</v>
      </c>
      <c r="M283" s="6">
        <v>752</v>
      </c>
      <c r="N283" s="6">
        <v>600</v>
      </c>
      <c r="O283" s="13"/>
      <c r="P283" s="60">
        <f t="shared" si="126"/>
        <v>636</v>
      </c>
      <c r="Q283" s="61">
        <f t="shared" si="127"/>
        <v>0</v>
      </c>
      <c r="R283" s="61">
        <f t="shared" si="128"/>
        <v>451.55999999999995</v>
      </c>
      <c r="S283" s="62">
        <f t="shared" si="129"/>
        <v>1189.32</v>
      </c>
      <c r="T283" s="63">
        <f t="shared" si="130"/>
        <v>1195.6799999999998</v>
      </c>
      <c r="U283" s="63">
        <f t="shared" si="114"/>
        <v>953.99999999999989</v>
      </c>
      <c r="V283" s="64"/>
      <c r="W283" s="60">
        <v>268</v>
      </c>
      <c r="X283" s="61">
        <v>413</v>
      </c>
      <c r="Y283" s="61">
        <v>93</v>
      </c>
      <c r="Z283" s="61">
        <v>185</v>
      </c>
      <c r="AA283" s="65">
        <v>490</v>
      </c>
      <c r="AB283" s="65">
        <v>494</v>
      </c>
      <c r="AC283" s="66"/>
      <c r="AD283" s="67">
        <f t="shared" si="115"/>
        <v>4.8498009410061528E-2</v>
      </c>
      <c r="AE283" s="67">
        <f t="shared" si="116"/>
        <v>7.4737604053564971E-2</v>
      </c>
      <c r="AF283" s="67">
        <f t="shared" si="117"/>
        <v>1.6829533116178068E-2</v>
      </c>
      <c r="AG283" s="67">
        <f t="shared" si="118"/>
        <v>3.3478103510676802E-2</v>
      </c>
      <c r="AH283" s="67">
        <f t="shared" si="119"/>
        <v>8.8671733622873686E-2</v>
      </c>
      <c r="AI283" s="67">
        <f t="shared" si="120"/>
        <v>8.9395584509591022E-2</v>
      </c>
      <c r="AJ283" s="66"/>
      <c r="AK283" s="68">
        <v>269.52999999999997</v>
      </c>
      <c r="AL283" s="69">
        <v>325.32999999999947</v>
      </c>
      <c r="AM283" s="69">
        <v>325.32999999999953</v>
      </c>
      <c r="AN283" s="69">
        <v>151.29000000000002</v>
      </c>
      <c r="AO283" s="70">
        <v>314.83999999999997</v>
      </c>
      <c r="AP283" s="70">
        <v>637.28</v>
      </c>
      <c r="AQ283" s="66"/>
      <c r="AR283" s="70" t="s">
        <v>779</v>
      </c>
      <c r="AS283" s="66"/>
      <c r="AT283" s="108">
        <v>5664</v>
      </c>
      <c r="AU283" s="109">
        <v>0</v>
      </c>
      <c r="AV283" s="109">
        <v>3720.4</v>
      </c>
      <c r="AW283" s="109">
        <v>10049.56</v>
      </c>
      <c r="AX283" s="110">
        <v>10018.279999999999</v>
      </c>
      <c r="AY283" s="110">
        <v>7817</v>
      </c>
    </row>
    <row r="284" spans="1:51" x14ac:dyDescent="0.25">
      <c r="A284" s="8">
        <v>5460</v>
      </c>
      <c r="B284" s="5" t="s">
        <v>263</v>
      </c>
      <c r="C284" s="2">
        <v>1.5599999999999996</v>
      </c>
      <c r="D284" s="24">
        <v>2000</v>
      </c>
      <c r="E284" s="26">
        <f t="shared" si="112"/>
        <v>1000</v>
      </c>
      <c r="F284" s="26">
        <v>1734</v>
      </c>
      <c r="G284" s="30">
        <f t="shared" si="113"/>
        <v>0.57670126874279126</v>
      </c>
      <c r="H284" s="11"/>
      <c r="I284" s="9">
        <v>0</v>
      </c>
      <c r="J284" s="3">
        <v>0</v>
      </c>
      <c r="K284" s="3">
        <v>0</v>
      </c>
      <c r="L284" s="3">
        <v>0</v>
      </c>
      <c r="M284" s="6">
        <v>100</v>
      </c>
      <c r="N284" s="6">
        <v>300</v>
      </c>
      <c r="O284" s="13"/>
      <c r="P284" s="60">
        <f t="shared" si="126"/>
        <v>0</v>
      </c>
      <c r="Q284" s="61">
        <f t="shared" si="127"/>
        <v>0</v>
      </c>
      <c r="R284" s="61">
        <f t="shared" si="128"/>
        <v>0</v>
      </c>
      <c r="S284" s="62">
        <f t="shared" si="129"/>
        <v>0</v>
      </c>
      <c r="T284" s="63">
        <f t="shared" si="130"/>
        <v>155.99999999999997</v>
      </c>
      <c r="U284" s="63">
        <f t="shared" si="114"/>
        <v>467.99999999999989</v>
      </c>
      <c r="V284" s="64"/>
      <c r="W284" s="60">
        <v>652</v>
      </c>
      <c r="X284" s="61">
        <v>821</v>
      </c>
      <c r="Y284" s="61">
        <v>828</v>
      </c>
      <c r="Z284" s="61">
        <v>1190</v>
      </c>
      <c r="AA284" s="65">
        <v>305</v>
      </c>
      <c r="AB284" s="65">
        <v>617</v>
      </c>
      <c r="AC284" s="66"/>
      <c r="AD284" s="67">
        <f t="shared" si="115"/>
        <v>0.37600922722029989</v>
      </c>
      <c r="AE284" s="67">
        <f t="shared" si="116"/>
        <v>0.47347174163783162</v>
      </c>
      <c r="AF284" s="67">
        <f t="shared" si="117"/>
        <v>0.47750865051903113</v>
      </c>
      <c r="AG284" s="67">
        <f t="shared" si="118"/>
        <v>0.68627450980392157</v>
      </c>
      <c r="AH284" s="67">
        <f t="shared" si="119"/>
        <v>0.17589388696655134</v>
      </c>
      <c r="AI284" s="67">
        <f t="shared" si="120"/>
        <v>0.35582468281430218</v>
      </c>
      <c r="AJ284" s="66"/>
      <c r="AK284" s="68">
        <v>102.7</v>
      </c>
      <c r="AL284" s="69">
        <v>44.259999999999877</v>
      </c>
      <c r="AM284" s="69">
        <v>44.259999999999884</v>
      </c>
      <c r="AN284" s="69">
        <v>32.219999999999985</v>
      </c>
      <c r="AO284" s="70">
        <v>958.37999999999897</v>
      </c>
      <c r="AP284" s="70">
        <v>993.34000000000106</v>
      </c>
      <c r="AQ284" s="66"/>
      <c r="AR284" s="70" t="s">
        <v>779</v>
      </c>
      <c r="AS284" s="66"/>
      <c r="AT284" s="108">
        <v>0</v>
      </c>
      <c r="AU284" s="109">
        <v>0</v>
      </c>
      <c r="AV284" s="109">
        <v>0</v>
      </c>
      <c r="AW284" s="109">
        <v>0</v>
      </c>
      <c r="AX284" s="110">
        <v>573</v>
      </c>
      <c r="AY284" s="110">
        <v>1710</v>
      </c>
    </row>
    <row r="285" spans="1:51" x14ac:dyDescent="0.25">
      <c r="A285" s="8" t="s">
        <v>542</v>
      </c>
      <c r="B285" s="5" t="s">
        <v>543</v>
      </c>
      <c r="C285" s="2">
        <v>1.5500000000000007</v>
      </c>
      <c r="D285" s="24">
        <v>400</v>
      </c>
      <c r="E285" s="26">
        <f t="shared" si="112"/>
        <v>200</v>
      </c>
      <c r="F285" s="26">
        <v>2496</v>
      </c>
      <c r="G285" s="30">
        <f t="shared" si="113"/>
        <v>8.0128205128205135E-2</v>
      </c>
      <c r="H285" s="11"/>
      <c r="I285" s="9">
        <v>200</v>
      </c>
      <c r="J285" s="3">
        <v>300</v>
      </c>
      <c r="K285" s="3">
        <v>400</v>
      </c>
      <c r="L285" s="3">
        <v>1387</v>
      </c>
      <c r="M285" s="6"/>
      <c r="N285" s="6">
        <v>1400</v>
      </c>
      <c r="O285" s="13"/>
      <c r="P285" s="60">
        <f t="shared" si="126"/>
        <v>310.00000000000011</v>
      </c>
      <c r="Q285" s="61">
        <f t="shared" si="127"/>
        <v>465.00000000000023</v>
      </c>
      <c r="R285" s="61">
        <f t="shared" si="128"/>
        <v>620.00000000000023</v>
      </c>
      <c r="S285" s="62">
        <f t="shared" si="129"/>
        <v>2149.8500000000008</v>
      </c>
      <c r="T285" s="63">
        <f t="shared" si="130"/>
        <v>0</v>
      </c>
      <c r="U285" s="63">
        <f t="shared" si="114"/>
        <v>2170.0000000000009</v>
      </c>
      <c r="V285" s="64"/>
      <c r="W285" s="60">
        <v>861</v>
      </c>
      <c r="X285" s="61">
        <v>501</v>
      </c>
      <c r="Y285" s="61">
        <v>784</v>
      </c>
      <c r="Z285" s="61">
        <v>574</v>
      </c>
      <c r="AA285" s="65">
        <v>762</v>
      </c>
      <c r="AB285" s="65">
        <v>1096</v>
      </c>
      <c r="AC285" s="66"/>
      <c r="AD285" s="67">
        <f t="shared" si="115"/>
        <v>0.34495192307692307</v>
      </c>
      <c r="AE285" s="67">
        <f t="shared" si="116"/>
        <v>0.20072115384615385</v>
      </c>
      <c r="AF285" s="67">
        <f t="shared" si="117"/>
        <v>0.3141025641025641</v>
      </c>
      <c r="AG285" s="67">
        <f t="shared" si="118"/>
        <v>0.22996794871794871</v>
      </c>
      <c r="AH285" s="67">
        <f t="shared" si="119"/>
        <v>0.30528846153846156</v>
      </c>
      <c r="AI285" s="67">
        <f t="shared" si="120"/>
        <v>0.4391025641025641</v>
      </c>
      <c r="AJ285" s="66"/>
      <c r="AK285" s="68">
        <v>527.13999999999976</v>
      </c>
      <c r="AL285" s="69">
        <v>680.72999999999968</v>
      </c>
      <c r="AM285" s="69">
        <v>680.72999999999956</v>
      </c>
      <c r="AN285" s="69">
        <v>925.55999999999722</v>
      </c>
      <c r="AO285" s="70">
        <v>1132.51</v>
      </c>
      <c r="AP285" s="70">
        <v>1796.12</v>
      </c>
      <c r="AQ285" s="66"/>
      <c r="AR285" s="70" t="s">
        <v>780</v>
      </c>
      <c r="AS285" s="66"/>
      <c r="AT285" s="108">
        <v>4642</v>
      </c>
      <c r="AU285" s="109">
        <v>6756</v>
      </c>
      <c r="AV285" s="109">
        <v>9068</v>
      </c>
      <c r="AW285" s="109">
        <v>30939.66</v>
      </c>
      <c r="AX285" s="110">
        <v>0</v>
      </c>
      <c r="AY285" s="110">
        <v>31108</v>
      </c>
    </row>
    <row r="286" spans="1:51" x14ac:dyDescent="0.25">
      <c r="A286" s="8">
        <v>508</v>
      </c>
      <c r="B286" s="5" t="s">
        <v>354</v>
      </c>
      <c r="C286" s="2">
        <v>1.5499999999999989</v>
      </c>
      <c r="D286" s="24">
        <v>4000</v>
      </c>
      <c r="E286" s="26">
        <f t="shared" si="112"/>
        <v>2000</v>
      </c>
      <c r="F286" s="26">
        <v>25810</v>
      </c>
      <c r="G286" s="30">
        <f t="shared" si="113"/>
        <v>7.7489345215032937E-2</v>
      </c>
      <c r="H286" s="11"/>
      <c r="I286" s="9">
        <v>1241</v>
      </c>
      <c r="J286" s="3">
        <v>55</v>
      </c>
      <c r="K286" s="3">
        <v>1378</v>
      </c>
      <c r="L286" s="3">
        <v>2933</v>
      </c>
      <c r="M286" s="6">
        <v>763</v>
      </c>
      <c r="N286" s="6">
        <v>400</v>
      </c>
      <c r="O286" s="13"/>
      <c r="P286" s="60">
        <f t="shared" si="126"/>
        <v>1923.5499999999986</v>
      </c>
      <c r="Q286" s="61">
        <f t="shared" si="127"/>
        <v>85.249999999999943</v>
      </c>
      <c r="R286" s="61">
        <f t="shared" si="128"/>
        <v>2135.8999999999987</v>
      </c>
      <c r="S286" s="62">
        <f t="shared" si="129"/>
        <v>4546.1499999999969</v>
      </c>
      <c r="T286" s="63">
        <f t="shared" si="130"/>
        <v>1182.6499999999992</v>
      </c>
      <c r="U286" s="63">
        <f t="shared" si="114"/>
        <v>619.99999999999955</v>
      </c>
      <c r="V286" s="64"/>
      <c r="W286" s="60">
        <v>159</v>
      </c>
      <c r="X286" s="61">
        <v>967</v>
      </c>
      <c r="Y286" s="61">
        <v>362</v>
      </c>
      <c r="Z286" s="61">
        <v>935</v>
      </c>
      <c r="AA286" s="65">
        <v>2707</v>
      </c>
      <c r="AB286" s="65">
        <v>1404</v>
      </c>
      <c r="AC286" s="66"/>
      <c r="AD286" s="67">
        <f t="shared" si="115"/>
        <v>6.160402944595118E-3</v>
      </c>
      <c r="AE286" s="67">
        <f t="shared" si="116"/>
        <v>3.7466098411468425E-2</v>
      </c>
      <c r="AF286" s="67">
        <f t="shared" si="117"/>
        <v>1.4025571483920961E-2</v>
      </c>
      <c r="AG286" s="67">
        <f t="shared" si="118"/>
        <v>3.6226268888027893E-2</v>
      </c>
      <c r="AH286" s="67">
        <f t="shared" si="119"/>
        <v>0.10488182874854707</v>
      </c>
      <c r="AI286" s="67">
        <f t="shared" si="120"/>
        <v>5.4397520340953118E-2</v>
      </c>
      <c r="AJ286" s="66"/>
      <c r="AK286" s="68">
        <v>316.99999999999989</v>
      </c>
      <c r="AL286" s="69">
        <v>1049.4199999999964</v>
      </c>
      <c r="AM286" s="69">
        <v>1049.4199999999964</v>
      </c>
      <c r="AN286" s="69">
        <v>378.52999999999895</v>
      </c>
      <c r="AO286" s="70">
        <v>1525.78</v>
      </c>
      <c r="AP286" s="70">
        <v>1580.67</v>
      </c>
      <c r="AQ286" s="66"/>
      <c r="AR286" s="70" t="s">
        <v>779</v>
      </c>
      <c r="AS286" s="66"/>
      <c r="AT286" s="108">
        <v>10205.330000000002</v>
      </c>
      <c r="AU286" s="109">
        <v>407</v>
      </c>
      <c r="AV286" s="109">
        <v>12018.600000000002</v>
      </c>
      <c r="AW286" s="109">
        <v>24715.990000000005</v>
      </c>
      <c r="AX286" s="110">
        <v>6603.9500000000007</v>
      </c>
      <c r="AY286" s="110">
        <v>3534.2</v>
      </c>
    </row>
    <row r="287" spans="1:51" x14ac:dyDescent="0.25">
      <c r="A287" s="8">
        <v>5756</v>
      </c>
      <c r="B287" s="5" t="s">
        <v>583</v>
      </c>
      <c r="C287" s="2">
        <v>1.5399999999999991</v>
      </c>
      <c r="D287" s="24">
        <v>30000</v>
      </c>
      <c r="E287" s="26">
        <f t="shared" si="112"/>
        <v>15000</v>
      </c>
      <c r="F287" s="26">
        <v>181544</v>
      </c>
      <c r="G287" s="30">
        <f t="shared" si="113"/>
        <v>8.2624597893623586E-2</v>
      </c>
      <c r="H287" s="11"/>
      <c r="I287" s="9">
        <v>9449</v>
      </c>
      <c r="J287" s="3">
        <v>10863</v>
      </c>
      <c r="K287" s="3">
        <v>8454</v>
      </c>
      <c r="L287" s="3">
        <v>10127</v>
      </c>
      <c r="M287" s="6">
        <v>6360</v>
      </c>
      <c r="N287" s="6">
        <v>2258</v>
      </c>
      <c r="O287" s="13"/>
      <c r="P287" s="60">
        <f t="shared" si="126"/>
        <v>14551.459999999992</v>
      </c>
      <c r="Q287" s="61">
        <f t="shared" si="127"/>
        <v>16729.01999999999</v>
      </c>
      <c r="R287" s="61">
        <f t="shared" si="128"/>
        <v>13019.159999999993</v>
      </c>
      <c r="S287" s="62">
        <f t="shared" si="129"/>
        <v>15595.579999999991</v>
      </c>
      <c r="T287" s="63">
        <f t="shared" si="130"/>
        <v>9794.3999999999942</v>
      </c>
      <c r="U287" s="63">
        <f t="shared" si="114"/>
        <v>3477.3199999999979</v>
      </c>
      <c r="V287" s="64"/>
      <c r="W287" s="60">
        <v>4564</v>
      </c>
      <c r="X287" s="61">
        <v>7811</v>
      </c>
      <c r="Y287" s="61">
        <v>10667</v>
      </c>
      <c r="Z287" s="61">
        <v>13147</v>
      </c>
      <c r="AA287" s="65">
        <v>10329</v>
      </c>
      <c r="AB287" s="65">
        <v>6920</v>
      </c>
      <c r="AC287" s="66"/>
      <c r="AD287" s="67">
        <f t="shared" si="115"/>
        <v>2.5139910985766536E-2</v>
      </c>
      <c r="AE287" s="67">
        <f t="shared" si="116"/>
        <v>4.3025382276472922E-2</v>
      </c>
      <c r="AF287" s="67">
        <f t="shared" si="117"/>
        <v>5.8757105715418853E-2</v>
      </c>
      <c r="AG287" s="67">
        <f t="shared" si="118"/>
        <v>7.2417705900497953E-2</v>
      </c>
      <c r="AH287" s="67">
        <f t="shared" si="119"/>
        <v>5.68952981095492E-2</v>
      </c>
      <c r="AI287" s="67">
        <f t="shared" si="120"/>
        <v>3.8117481161591679E-2</v>
      </c>
      <c r="AJ287" s="66"/>
      <c r="AK287" s="68">
        <v>5607.0900000000029</v>
      </c>
      <c r="AL287" s="69">
        <v>10780.849999999975</v>
      </c>
      <c r="AM287" s="69">
        <v>10780.849999999973</v>
      </c>
      <c r="AN287" s="69">
        <v>14131.679999999948</v>
      </c>
      <c r="AO287" s="70">
        <v>17423.700000000499</v>
      </c>
      <c r="AP287" s="70">
        <v>8088.4700000000103</v>
      </c>
      <c r="AQ287" s="66"/>
      <c r="AR287" s="70" t="s">
        <v>780</v>
      </c>
      <c r="AS287" s="66"/>
      <c r="AT287" s="108">
        <v>255580.38000000003</v>
      </c>
      <c r="AU287" s="109">
        <v>294558.73</v>
      </c>
      <c r="AV287" s="109">
        <v>228273.20999999996</v>
      </c>
      <c r="AW287" s="109">
        <v>275019.98</v>
      </c>
      <c r="AX287" s="110">
        <v>173503.08999999997</v>
      </c>
      <c r="AY287" s="110">
        <v>61586.53</v>
      </c>
    </row>
    <row r="288" spans="1:51" x14ac:dyDescent="0.25">
      <c r="A288" s="8" t="s">
        <v>520</v>
      </c>
      <c r="B288" s="5" t="s">
        <v>521</v>
      </c>
      <c r="C288" s="2">
        <v>1.5399999999999991</v>
      </c>
      <c r="D288" s="24">
        <v>15000</v>
      </c>
      <c r="E288" s="26">
        <f t="shared" si="112"/>
        <v>7500</v>
      </c>
      <c r="F288" s="26">
        <v>42443</v>
      </c>
      <c r="G288" s="30">
        <f t="shared" si="113"/>
        <v>0.17670758428951772</v>
      </c>
      <c r="H288" s="11"/>
      <c r="I288" s="9">
        <v>3002</v>
      </c>
      <c r="J288" s="3">
        <v>8612.0909090909081</v>
      </c>
      <c r="K288" s="3">
        <v>6677.0606060606051</v>
      </c>
      <c r="L288" s="3">
        <v>8399.9090909090901</v>
      </c>
      <c r="M288" s="6">
        <v>6475.272727272727</v>
      </c>
      <c r="N288" s="6">
        <v>4266</v>
      </c>
      <c r="O288" s="13"/>
      <c r="P288" s="60">
        <f t="shared" si="126"/>
        <v>4623.0799999999972</v>
      </c>
      <c r="Q288" s="61">
        <f t="shared" si="127"/>
        <v>13262.619999999992</v>
      </c>
      <c r="R288" s="61">
        <f t="shared" si="128"/>
        <v>10282.673333333327</v>
      </c>
      <c r="S288" s="62">
        <f t="shared" si="129"/>
        <v>12935.859999999991</v>
      </c>
      <c r="T288" s="63">
        <f t="shared" si="130"/>
        <v>9971.9199999999946</v>
      </c>
      <c r="U288" s="63">
        <f t="shared" si="114"/>
        <v>6569.6399999999967</v>
      </c>
      <c r="V288" s="64"/>
      <c r="W288" s="60">
        <v>5570</v>
      </c>
      <c r="X288" s="61">
        <v>12126</v>
      </c>
      <c r="Y288" s="61">
        <v>8601</v>
      </c>
      <c r="Z288" s="61">
        <v>2133</v>
      </c>
      <c r="AA288" s="65">
        <v>10416</v>
      </c>
      <c r="AB288" s="65">
        <v>11260</v>
      </c>
      <c r="AC288" s="66"/>
      <c r="AD288" s="67">
        <f t="shared" si="115"/>
        <v>0.13123483259901514</v>
      </c>
      <c r="AE288" s="67">
        <f t="shared" si="116"/>
        <v>0.28570082227929222</v>
      </c>
      <c r="AF288" s="67">
        <f t="shared" si="117"/>
        <v>0.20264825766321889</v>
      </c>
      <c r="AG288" s="67">
        <f t="shared" si="118"/>
        <v>5.0255636971938834E-2</v>
      </c>
      <c r="AH288" s="67">
        <f t="shared" si="119"/>
        <v>0.24541149306128218</v>
      </c>
      <c r="AI288" s="67">
        <f t="shared" si="120"/>
        <v>0.26529698654666256</v>
      </c>
      <c r="AJ288" s="66"/>
      <c r="AK288" s="68">
        <v>4900.7399999999916</v>
      </c>
      <c r="AL288" s="69">
        <v>11616.169999999975</v>
      </c>
      <c r="AM288" s="69">
        <v>11616.169999999978</v>
      </c>
      <c r="AN288" s="69">
        <v>13988.219999999979</v>
      </c>
      <c r="AO288" s="70">
        <v>4533.1900000000096</v>
      </c>
      <c r="AP288" s="70">
        <v>17404.050000000399</v>
      </c>
      <c r="AQ288" s="66"/>
      <c r="AR288" s="70" t="s">
        <v>780</v>
      </c>
      <c r="AS288" s="66"/>
      <c r="AT288" s="108">
        <v>60252.02</v>
      </c>
      <c r="AU288" s="109">
        <v>167700.68999999997</v>
      </c>
      <c r="AV288" s="109">
        <v>129171.78</v>
      </c>
      <c r="AW288" s="109">
        <v>162809.68000000002</v>
      </c>
      <c r="AX288" s="110">
        <v>125739.07</v>
      </c>
      <c r="AY288" s="110">
        <v>91557.1</v>
      </c>
    </row>
    <row r="289" spans="1:51" x14ac:dyDescent="0.25">
      <c r="A289" s="8">
        <v>5896</v>
      </c>
      <c r="B289" s="5" t="s">
        <v>307</v>
      </c>
      <c r="C289" s="2">
        <v>1.5099999999999998</v>
      </c>
      <c r="D289" s="24">
        <v>4000</v>
      </c>
      <c r="E289" s="26">
        <f t="shared" si="112"/>
        <v>2000</v>
      </c>
      <c r="F289" s="26">
        <v>7650</v>
      </c>
      <c r="G289" s="30">
        <f t="shared" si="113"/>
        <v>0.26143790849673204</v>
      </c>
      <c r="H289" s="11"/>
      <c r="I289" s="9">
        <v>4960</v>
      </c>
      <c r="J289" s="3">
        <v>1250</v>
      </c>
      <c r="K289" s="3">
        <v>4298</v>
      </c>
      <c r="L289" s="3">
        <v>2500</v>
      </c>
      <c r="M289" s="6">
        <v>1700</v>
      </c>
      <c r="N289" s="6">
        <v>1391</v>
      </c>
      <c r="O289" s="13"/>
      <c r="P289" s="60">
        <f t="shared" si="126"/>
        <v>7489.5999999999985</v>
      </c>
      <c r="Q289" s="61">
        <f t="shared" si="127"/>
        <v>1887.4999999999998</v>
      </c>
      <c r="R289" s="61">
        <f t="shared" si="128"/>
        <v>6489.9799999999987</v>
      </c>
      <c r="S289" s="62">
        <f t="shared" si="129"/>
        <v>3774.9999999999995</v>
      </c>
      <c r="T289" s="63">
        <f t="shared" si="130"/>
        <v>2566.9999999999995</v>
      </c>
      <c r="U289" s="63">
        <f t="shared" si="114"/>
        <v>2100.41</v>
      </c>
      <c r="V289" s="64"/>
      <c r="W289" s="60">
        <v>1369</v>
      </c>
      <c r="X289" s="61">
        <v>2689</v>
      </c>
      <c r="Y289" s="61">
        <v>3389</v>
      </c>
      <c r="Z289" s="61">
        <v>1422</v>
      </c>
      <c r="AA289" s="65">
        <v>1534</v>
      </c>
      <c r="AB289" s="65">
        <v>4629</v>
      </c>
      <c r="AC289" s="66"/>
      <c r="AD289" s="67">
        <f t="shared" si="115"/>
        <v>0.17895424836601306</v>
      </c>
      <c r="AE289" s="67">
        <f t="shared" si="116"/>
        <v>0.35150326797385623</v>
      </c>
      <c r="AF289" s="67">
        <f t="shared" si="117"/>
        <v>0.44300653594771244</v>
      </c>
      <c r="AG289" s="67">
        <f t="shared" si="118"/>
        <v>0.18588235294117647</v>
      </c>
      <c r="AH289" s="67">
        <f t="shared" si="119"/>
        <v>0.20052287581699346</v>
      </c>
      <c r="AI289" s="67">
        <f t="shared" si="120"/>
        <v>0.60509803921568628</v>
      </c>
      <c r="AJ289" s="66"/>
      <c r="AK289" s="68">
        <v>1699.599999999999</v>
      </c>
      <c r="AL289" s="69">
        <v>3536.0699999999933</v>
      </c>
      <c r="AM289" s="69">
        <v>3536.0699999999933</v>
      </c>
      <c r="AN289" s="69">
        <v>3851.279999999992</v>
      </c>
      <c r="AO289" s="70">
        <v>1780.78</v>
      </c>
      <c r="AP289" s="70">
        <v>5571.21000000002</v>
      </c>
      <c r="AQ289" s="66"/>
      <c r="AR289" s="70" t="s">
        <v>779</v>
      </c>
      <c r="AS289" s="66"/>
      <c r="AT289" s="108">
        <v>32308</v>
      </c>
      <c r="AU289" s="109">
        <v>8087.5</v>
      </c>
      <c r="AV289" s="109">
        <v>26990.94</v>
      </c>
      <c r="AW289" s="109">
        <v>16151</v>
      </c>
      <c r="AX289" s="110">
        <v>11006</v>
      </c>
      <c r="AY289" s="110">
        <v>8756.380000000001</v>
      </c>
    </row>
    <row r="290" spans="1:51" x14ac:dyDescent="0.25">
      <c r="A290" s="8">
        <v>5563</v>
      </c>
      <c r="B290" s="5" t="s">
        <v>492</v>
      </c>
      <c r="C290" s="2">
        <v>1.4899999999999984</v>
      </c>
      <c r="D290" s="24">
        <v>6000</v>
      </c>
      <c r="E290" s="26">
        <f t="shared" si="112"/>
        <v>3000</v>
      </c>
      <c r="F290" s="26">
        <v>21532</v>
      </c>
      <c r="G290" s="30">
        <f t="shared" si="113"/>
        <v>0.13932751253947612</v>
      </c>
      <c r="H290" s="11"/>
      <c r="I290" s="9">
        <v>3669</v>
      </c>
      <c r="J290" s="3">
        <v>3810</v>
      </c>
      <c r="K290" s="3">
        <v>2896</v>
      </c>
      <c r="L290" s="3">
        <v>1184</v>
      </c>
      <c r="M290" s="6">
        <v>1050</v>
      </c>
      <c r="N290" s="6">
        <v>3458</v>
      </c>
      <c r="O290" s="13"/>
      <c r="P290" s="60">
        <f t="shared" si="126"/>
        <v>5466.809999999994</v>
      </c>
      <c r="Q290" s="61">
        <f t="shared" si="127"/>
        <v>5676.8999999999942</v>
      </c>
      <c r="R290" s="61">
        <f t="shared" si="128"/>
        <v>4315.0399999999954</v>
      </c>
      <c r="S290" s="62">
        <f t="shared" si="129"/>
        <v>1764.159999999998</v>
      </c>
      <c r="T290" s="63">
        <f t="shared" si="130"/>
        <v>1564.4999999999984</v>
      </c>
      <c r="U290" s="63">
        <f t="shared" si="114"/>
        <v>5152.4199999999946</v>
      </c>
      <c r="V290" s="64"/>
      <c r="W290" s="60">
        <v>1978</v>
      </c>
      <c r="X290" s="61">
        <v>2637</v>
      </c>
      <c r="Y290" s="61">
        <v>4700</v>
      </c>
      <c r="Z290" s="61">
        <v>1977</v>
      </c>
      <c r="AA290" s="65">
        <v>2308</v>
      </c>
      <c r="AB290" s="65">
        <v>2208</v>
      </c>
      <c r="AC290" s="66"/>
      <c r="AD290" s="67">
        <f t="shared" si="115"/>
        <v>9.1863273267694598E-2</v>
      </c>
      <c r="AE290" s="67">
        <f t="shared" si="116"/>
        <v>0.12246888352219952</v>
      </c>
      <c r="AF290" s="67">
        <f t="shared" si="117"/>
        <v>0.21827976964517926</v>
      </c>
      <c r="AG290" s="67">
        <f t="shared" si="118"/>
        <v>9.1816830763514767E-2</v>
      </c>
      <c r="AH290" s="67">
        <f t="shared" si="119"/>
        <v>0.10718929964703697</v>
      </c>
      <c r="AI290" s="67">
        <f t="shared" si="120"/>
        <v>0.10254504922905443</v>
      </c>
      <c r="AJ290" s="66"/>
      <c r="AK290" s="68">
        <v>2959.2999999999952</v>
      </c>
      <c r="AL290" s="69">
        <v>3820.6099999999942</v>
      </c>
      <c r="AM290" s="69">
        <v>3820.6099999999938</v>
      </c>
      <c r="AN290" s="69">
        <v>7544.2199999999893</v>
      </c>
      <c r="AO290" s="70">
        <v>3334.96</v>
      </c>
      <c r="AP290" s="70">
        <v>3266.3800000000201</v>
      </c>
      <c r="AQ290" s="66"/>
      <c r="AR290" s="70" t="s">
        <v>780</v>
      </c>
      <c r="AS290" s="66"/>
      <c r="AT290" s="108">
        <v>62591.6</v>
      </c>
      <c r="AU290" s="109">
        <v>64545.17</v>
      </c>
      <c r="AV290" s="109">
        <v>48963.25</v>
      </c>
      <c r="AW290" s="109">
        <v>19891.16</v>
      </c>
      <c r="AX290" s="110">
        <v>17667.400000000001</v>
      </c>
      <c r="AY290" s="110">
        <v>58477.41</v>
      </c>
    </row>
    <row r="291" spans="1:51" x14ac:dyDescent="0.25">
      <c r="A291" s="8">
        <v>5696</v>
      </c>
      <c r="B291" s="5" t="s">
        <v>480</v>
      </c>
      <c r="C291" s="2">
        <v>1.4800000000000022</v>
      </c>
      <c r="D291" s="24">
        <v>400</v>
      </c>
      <c r="E291" s="26">
        <f t="shared" si="112"/>
        <v>200</v>
      </c>
      <c r="F291" s="26">
        <v>1545</v>
      </c>
      <c r="G291" s="30">
        <f t="shared" si="113"/>
        <v>0.12944983818770225</v>
      </c>
      <c r="H291" s="11"/>
      <c r="I291" s="9">
        <v>571</v>
      </c>
      <c r="J291" s="3">
        <v>150</v>
      </c>
      <c r="K291" s="3">
        <v>0</v>
      </c>
      <c r="L291" s="3">
        <v>0</v>
      </c>
      <c r="M291" s="6">
        <v>360</v>
      </c>
      <c r="N291" s="6">
        <v>0</v>
      </c>
      <c r="O291" s="13"/>
      <c r="P291" s="60">
        <f t="shared" si="126"/>
        <v>845.08000000000129</v>
      </c>
      <c r="Q291" s="61">
        <f t="shared" si="127"/>
        <v>222.00000000000034</v>
      </c>
      <c r="R291" s="61">
        <f t="shared" si="128"/>
        <v>0</v>
      </c>
      <c r="S291" s="62">
        <f t="shared" si="129"/>
        <v>0</v>
      </c>
      <c r="T291" s="63">
        <f t="shared" si="130"/>
        <v>532.80000000000075</v>
      </c>
      <c r="U291" s="63">
        <f t="shared" si="114"/>
        <v>0</v>
      </c>
      <c r="V291" s="64"/>
      <c r="W291" s="60">
        <v>173</v>
      </c>
      <c r="X291" s="61">
        <v>158</v>
      </c>
      <c r="Y291" s="61">
        <v>193</v>
      </c>
      <c r="Z291" s="61">
        <v>153</v>
      </c>
      <c r="AA291" s="65">
        <v>166</v>
      </c>
      <c r="AB291" s="65">
        <v>275</v>
      </c>
      <c r="AC291" s="66"/>
      <c r="AD291" s="67">
        <f t="shared" si="115"/>
        <v>0.11197411003236246</v>
      </c>
      <c r="AE291" s="67">
        <f t="shared" si="116"/>
        <v>0.1022653721682848</v>
      </c>
      <c r="AF291" s="67">
        <f t="shared" si="117"/>
        <v>0.12491909385113269</v>
      </c>
      <c r="AG291" s="67">
        <f t="shared" si="118"/>
        <v>9.9029126213592236E-2</v>
      </c>
      <c r="AH291" s="67">
        <f t="shared" si="119"/>
        <v>0.10744336569579288</v>
      </c>
      <c r="AI291" s="67">
        <f t="shared" si="120"/>
        <v>0.17799352750809061</v>
      </c>
      <c r="AJ291" s="66"/>
      <c r="AK291" s="68">
        <v>112.04</v>
      </c>
      <c r="AL291" s="69">
        <v>325.97000000000003</v>
      </c>
      <c r="AM291" s="69">
        <v>325.96999999999997</v>
      </c>
      <c r="AN291" s="69">
        <v>391.52999999999963</v>
      </c>
      <c r="AO291" s="70">
        <v>346.29</v>
      </c>
      <c r="AP291" s="70">
        <v>346.52</v>
      </c>
      <c r="AQ291" s="66"/>
      <c r="AR291" s="70" t="s">
        <v>780</v>
      </c>
      <c r="AS291" s="66"/>
      <c r="AT291" s="108">
        <v>9108.91</v>
      </c>
      <c r="AU291" s="109">
        <v>2410.5</v>
      </c>
      <c r="AV291" s="109">
        <v>0</v>
      </c>
      <c r="AW291" s="109">
        <v>0</v>
      </c>
      <c r="AX291" s="110">
        <v>5774.7</v>
      </c>
      <c r="AY291" s="110">
        <v>0</v>
      </c>
    </row>
    <row r="292" spans="1:51" x14ac:dyDescent="0.25">
      <c r="A292" s="8">
        <v>5570</v>
      </c>
      <c r="B292" s="5" t="s">
        <v>168</v>
      </c>
      <c r="C292" s="2">
        <v>1.48</v>
      </c>
      <c r="D292" s="24">
        <v>800</v>
      </c>
      <c r="E292" s="26">
        <f t="shared" si="112"/>
        <v>400</v>
      </c>
      <c r="F292" s="26">
        <v>1462</v>
      </c>
      <c r="G292" s="30">
        <f t="shared" si="113"/>
        <v>0.27359781121751026</v>
      </c>
      <c r="H292" s="11"/>
      <c r="I292" s="9">
        <v>0</v>
      </c>
      <c r="J292" s="3">
        <v>0</v>
      </c>
      <c r="K292" s="3">
        <v>0</v>
      </c>
      <c r="L292" s="3">
        <v>240</v>
      </c>
      <c r="M292" s="6"/>
      <c r="N292" s="6">
        <v>0</v>
      </c>
      <c r="O292" s="13"/>
      <c r="P292" s="60">
        <f t="shared" si="126"/>
        <v>0</v>
      </c>
      <c r="Q292" s="61">
        <f t="shared" si="127"/>
        <v>0</v>
      </c>
      <c r="R292" s="61">
        <f t="shared" si="128"/>
        <v>0</v>
      </c>
      <c r="S292" s="62">
        <f t="shared" si="129"/>
        <v>355.2</v>
      </c>
      <c r="T292" s="63">
        <f t="shared" si="130"/>
        <v>0</v>
      </c>
      <c r="U292" s="63">
        <f t="shared" si="114"/>
        <v>0</v>
      </c>
      <c r="V292" s="64"/>
      <c r="W292" s="60">
        <v>0</v>
      </c>
      <c r="X292" s="61">
        <v>0</v>
      </c>
      <c r="Y292" s="61">
        <v>0</v>
      </c>
      <c r="Z292" s="61">
        <v>0</v>
      </c>
      <c r="AA292" s="65">
        <v>239</v>
      </c>
      <c r="AB292" s="65">
        <v>0</v>
      </c>
      <c r="AC292" s="66"/>
      <c r="AD292" s="67">
        <f t="shared" si="115"/>
        <v>0</v>
      </c>
      <c r="AE292" s="67">
        <f t="shared" si="116"/>
        <v>0</v>
      </c>
      <c r="AF292" s="67">
        <f t="shared" si="117"/>
        <v>0</v>
      </c>
      <c r="AG292" s="67">
        <f t="shared" si="118"/>
        <v>0</v>
      </c>
      <c r="AH292" s="67">
        <f t="shared" si="119"/>
        <v>0.16347469220246238</v>
      </c>
      <c r="AI292" s="67">
        <f t="shared" si="120"/>
        <v>0</v>
      </c>
      <c r="AJ292" s="66"/>
      <c r="AK292" s="68">
        <v>0</v>
      </c>
      <c r="AL292" s="69">
        <v>0</v>
      </c>
      <c r="AM292" s="69">
        <v>0</v>
      </c>
      <c r="AN292" s="69">
        <v>0</v>
      </c>
      <c r="AO292" s="70">
        <v>353.71999999999997</v>
      </c>
      <c r="AP292" s="70">
        <v>0</v>
      </c>
      <c r="AQ292" s="66"/>
      <c r="AR292" s="70" t="s">
        <v>779</v>
      </c>
      <c r="AS292" s="66"/>
      <c r="AT292" s="108">
        <v>0</v>
      </c>
      <c r="AU292" s="109">
        <v>0</v>
      </c>
      <c r="AV292" s="109">
        <v>0</v>
      </c>
      <c r="AW292" s="109">
        <v>741.6</v>
      </c>
      <c r="AX292" s="110">
        <v>0</v>
      </c>
      <c r="AY292" s="110">
        <v>0</v>
      </c>
    </row>
    <row r="293" spans="1:51" x14ac:dyDescent="0.25">
      <c r="A293" s="8" t="s">
        <v>381</v>
      </c>
      <c r="B293" s="5" t="s">
        <v>382</v>
      </c>
      <c r="C293" s="2">
        <v>1.4799999999999986</v>
      </c>
      <c r="D293" s="24">
        <v>4000</v>
      </c>
      <c r="E293" s="26">
        <f t="shared" si="112"/>
        <v>2000</v>
      </c>
      <c r="F293" s="26">
        <v>26566</v>
      </c>
      <c r="G293" s="30">
        <f t="shared" si="113"/>
        <v>7.5284197846871945E-2</v>
      </c>
      <c r="H293" s="11"/>
      <c r="I293" s="9">
        <v>0</v>
      </c>
      <c r="J293" s="3">
        <v>167</v>
      </c>
      <c r="K293" s="3">
        <v>774</v>
      </c>
      <c r="L293" s="3">
        <v>551</v>
      </c>
      <c r="M293" s="6">
        <v>141</v>
      </c>
      <c r="N293" s="6">
        <v>151</v>
      </c>
      <c r="O293" s="13"/>
      <c r="P293" s="60">
        <f t="shared" si="126"/>
        <v>0</v>
      </c>
      <c r="Q293" s="61">
        <f t="shared" si="127"/>
        <v>247.15999999999977</v>
      </c>
      <c r="R293" s="61">
        <f t="shared" si="128"/>
        <v>1145.5199999999988</v>
      </c>
      <c r="S293" s="62">
        <f t="shared" si="129"/>
        <v>815.47999999999922</v>
      </c>
      <c r="T293" s="63">
        <f t="shared" si="130"/>
        <v>208.67999999999981</v>
      </c>
      <c r="U293" s="63">
        <f t="shared" si="114"/>
        <v>223.47999999999979</v>
      </c>
      <c r="V293" s="64"/>
      <c r="W293" s="60">
        <v>36</v>
      </c>
      <c r="X293" s="61">
        <v>369</v>
      </c>
      <c r="Y293" s="61">
        <v>78</v>
      </c>
      <c r="Z293" s="61">
        <v>87</v>
      </c>
      <c r="AA293" s="65">
        <v>589</v>
      </c>
      <c r="AB293" s="65">
        <v>69</v>
      </c>
      <c r="AC293" s="66"/>
      <c r="AD293" s="67">
        <f t="shared" si="115"/>
        <v>1.355115561243695E-3</v>
      </c>
      <c r="AE293" s="67">
        <f t="shared" si="116"/>
        <v>1.3889934502747872E-2</v>
      </c>
      <c r="AF293" s="67">
        <f t="shared" si="117"/>
        <v>2.9360837160280059E-3</v>
      </c>
      <c r="AG293" s="67">
        <f t="shared" si="118"/>
        <v>3.2748626063389295E-3</v>
      </c>
      <c r="AH293" s="67">
        <f t="shared" si="119"/>
        <v>2.2171196265903786E-2</v>
      </c>
      <c r="AI293" s="67">
        <f t="shared" si="120"/>
        <v>2.5973048257170819E-3</v>
      </c>
      <c r="AJ293" s="66"/>
      <c r="AK293" s="68">
        <v>57.120000000000012</v>
      </c>
      <c r="AL293" s="69">
        <v>551.35999999999797</v>
      </c>
      <c r="AM293" s="69">
        <v>551.35999999999797</v>
      </c>
      <c r="AN293" s="69">
        <v>119.21999999999989</v>
      </c>
      <c r="AO293" s="70">
        <v>124.99999999999901</v>
      </c>
      <c r="AP293" s="70">
        <v>87.409999999999897</v>
      </c>
      <c r="AQ293" s="66"/>
      <c r="AR293" s="70" t="s">
        <v>779</v>
      </c>
      <c r="AS293" s="66"/>
      <c r="AT293" s="108">
        <v>2297.4</v>
      </c>
      <c r="AU293" s="109">
        <v>780.16</v>
      </c>
      <c r="AV293" s="109">
        <v>3637.83</v>
      </c>
      <c r="AW293" s="109">
        <v>2586.19</v>
      </c>
      <c r="AX293" s="110">
        <v>660.29</v>
      </c>
      <c r="AY293" s="110">
        <v>708.19</v>
      </c>
    </row>
    <row r="294" spans="1:51" x14ac:dyDescent="0.25">
      <c r="A294" s="8" t="s">
        <v>794</v>
      </c>
      <c r="B294" s="5" t="s">
        <v>837</v>
      </c>
      <c r="C294" s="2">
        <v>1.4784819190834213</v>
      </c>
      <c r="D294" s="24">
        <v>600</v>
      </c>
      <c r="E294" s="26">
        <f t="shared" si="112"/>
        <v>300</v>
      </c>
      <c r="F294" s="26">
        <v>1569</v>
      </c>
      <c r="G294" s="30">
        <f t="shared" si="113"/>
        <v>0.19120458891013384</v>
      </c>
      <c r="H294" s="11"/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6">
        <v>175</v>
      </c>
      <c r="O294" s="13"/>
      <c r="P294" s="60"/>
      <c r="Q294" s="61"/>
      <c r="R294" s="61"/>
      <c r="S294" s="62"/>
      <c r="T294" s="63"/>
      <c r="U294" s="63">
        <f t="shared" si="114"/>
        <v>258.73433583959871</v>
      </c>
      <c r="V294" s="64"/>
      <c r="W294" s="60"/>
      <c r="X294" s="61"/>
      <c r="Y294" s="61"/>
      <c r="Z294" s="61"/>
      <c r="AA294" s="65"/>
      <c r="AB294" s="65"/>
      <c r="AC294" s="66"/>
      <c r="AD294" s="67">
        <f t="shared" si="115"/>
        <v>0</v>
      </c>
      <c r="AE294" s="67">
        <f t="shared" si="116"/>
        <v>0</v>
      </c>
      <c r="AF294" s="67">
        <f t="shared" si="117"/>
        <v>0</v>
      </c>
      <c r="AG294" s="67">
        <f t="shared" si="118"/>
        <v>0</v>
      </c>
      <c r="AH294" s="67">
        <f t="shared" si="119"/>
        <v>0</v>
      </c>
      <c r="AI294" s="67">
        <f t="shared" si="120"/>
        <v>0</v>
      </c>
      <c r="AJ294" s="66"/>
      <c r="AK294" s="68"/>
      <c r="AL294" s="69"/>
      <c r="AM294" s="69"/>
      <c r="AN294" s="69"/>
      <c r="AO294" s="70"/>
      <c r="AP294" s="70"/>
      <c r="AQ294" s="66"/>
      <c r="AR294" s="70" t="s">
        <v>780</v>
      </c>
      <c r="AS294" s="66"/>
      <c r="AT294" s="108">
        <v>0</v>
      </c>
      <c r="AU294" s="109">
        <v>0</v>
      </c>
      <c r="AV294" s="109">
        <v>0</v>
      </c>
      <c r="AW294" s="109">
        <v>0</v>
      </c>
      <c r="AX294" s="110">
        <v>0</v>
      </c>
      <c r="AY294" s="110">
        <v>2255.75</v>
      </c>
    </row>
    <row r="295" spans="1:51" x14ac:dyDescent="0.25">
      <c r="A295" s="8">
        <v>6002</v>
      </c>
      <c r="B295" s="5" t="s">
        <v>375</v>
      </c>
      <c r="C295" s="2">
        <v>1.4699999999999989</v>
      </c>
      <c r="D295" s="24">
        <v>6000</v>
      </c>
      <c r="E295" s="26">
        <f t="shared" si="112"/>
        <v>3000</v>
      </c>
      <c r="F295" s="26">
        <v>30080</v>
      </c>
      <c r="G295" s="30">
        <f t="shared" si="113"/>
        <v>9.9734042553191488E-2</v>
      </c>
      <c r="H295" s="11"/>
      <c r="I295" s="9">
        <v>0</v>
      </c>
      <c r="J295" s="3">
        <v>0</v>
      </c>
      <c r="K295" s="3">
        <v>3000</v>
      </c>
      <c r="L295" s="3">
        <v>5660</v>
      </c>
      <c r="M295" s="6">
        <v>13480</v>
      </c>
      <c r="N295" s="6">
        <v>460</v>
      </c>
      <c r="O295" s="13"/>
      <c r="P295" s="60">
        <f t="shared" ref="P295:P303" si="131">+I295*C295</f>
        <v>0</v>
      </c>
      <c r="Q295" s="61">
        <f t="shared" ref="Q295:Q303" si="132">+J295*C295</f>
        <v>0</v>
      </c>
      <c r="R295" s="61">
        <f t="shared" ref="R295:R303" si="133">+K295*C295</f>
        <v>4409.9999999999964</v>
      </c>
      <c r="S295" s="62">
        <f t="shared" ref="S295:S303" si="134">+L295*C295</f>
        <v>8320.1999999999935</v>
      </c>
      <c r="T295" s="63">
        <f t="shared" ref="T295:T303" si="135">+M295*C295</f>
        <v>19815.599999999984</v>
      </c>
      <c r="U295" s="63">
        <f t="shared" si="114"/>
        <v>676.19999999999948</v>
      </c>
      <c r="V295" s="64"/>
      <c r="W295" s="60">
        <v>3638</v>
      </c>
      <c r="X295" s="61">
        <v>982</v>
      </c>
      <c r="Y295" s="61">
        <v>2985</v>
      </c>
      <c r="Z295" s="61">
        <v>2510</v>
      </c>
      <c r="AA295" s="65">
        <v>3225</v>
      </c>
      <c r="AB295" s="65">
        <v>8677</v>
      </c>
      <c r="AC295" s="66"/>
      <c r="AD295" s="67">
        <f t="shared" si="115"/>
        <v>0.12094414893617021</v>
      </c>
      <c r="AE295" s="67">
        <f t="shared" si="116"/>
        <v>3.2646276595744678E-2</v>
      </c>
      <c r="AF295" s="67">
        <f t="shared" si="117"/>
        <v>9.9235372340425537E-2</v>
      </c>
      <c r="AG295" s="67">
        <f t="shared" si="118"/>
        <v>8.3444148936170207E-2</v>
      </c>
      <c r="AH295" s="67">
        <f t="shared" si="119"/>
        <v>0.10721409574468085</v>
      </c>
      <c r="AI295" s="67">
        <f t="shared" si="120"/>
        <v>0.28846409574468085</v>
      </c>
      <c r="AJ295" s="66"/>
      <c r="AK295" s="68">
        <v>2355.0000000000018</v>
      </c>
      <c r="AL295" s="69">
        <v>1337.3199999999974</v>
      </c>
      <c r="AM295" s="69">
        <v>1337.319999999997</v>
      </c>
      <c r="AN295" s="69">
        <v>2448.7799999999938</v>
      </c>
      <c r="AO295" s="70">
        <v>2546.0699999999902</v>
      </c>
      <c r="AP295" s="70">
        <v>8112.82</v>
      </c>
      <c r="AQ295" s="66"/>
      <c r="AR295" s="70" t="s">
        <v>779</v>
      </c>
      <c r="AS295" s="66"/>
      <c r="AT295" s="108">
        <v>0</v>
      </c>
      <c r="AU295" s="109">
        <v>0</v>
      </c>
      <c r="AV295" s="109">
        <v>25890</v>
      </c>
      <c r="AW295" s="109">
        <v>49072.2</v>
      </c>
      <c r="AX295" s="110">
        <v>116332.40000000001</v>
      </c>
      <c r="AY295" s="110">
        <v>3818</v>
      </c>
    </row>
    <row r="296" spans="1:51" x14ac:dyDescent="0.25">
      <c r="A296" s="8">
        <v>5361</v>
      </c>
      <c r="B296" s="5" t="s">
        <v>117</v>
      </c>
      <c r="C296" s="2">
        <v>1.46</v>
      </c>
      <c r="D296" s="24">
        <v>7000</v>
      </c>
      <c r="E296" s="26">
        <f t="shared" si="112"/>
        <v>3500</v>
      </c>
      <c r="F296" s="26">
        <v>15198</v>
      </c>
      <c r="G296" s="30">
        <f t="shared" si="113"/>
        <v>0.23029345966574549</v>
      </c>
      <c r="H296" s="11"/>
      <c r="I296" s="9">
        <v>0</v>
      </c>
      <c r="J296" s="3">
        <v>0</v>
      </c>
      <c r="K296" s="3">
        <v>0</v>
      </c>
      <c r="L296" s="3">
        <v>0</v>
      </c>
      <c r="M296" s="6">
        <v>1890</v>
      </c>
      <c r="N296" s="6">
        <v>11372</v>
      </c>
      <c r="O296" s="13"/>
      <c r="P296" s="60">
        <f t="shared" si="131"/>
        <v>0</v>
      </c>
      <c r="Q296" s="61">
        <f t="shared" si="132"/>
        <v>0</v>
      </c>
      <c r="R296" s="61">
        <f t="shared" si="133"/>
        <v>0</v>
      </c>
      <c r="S296" s="62">
        <f t="shared" si="134"/>
        <v>0</v>
      </c>
      <c r="T296" s="63">
        <f t="shared" si="135"/>
        <v>2759.4</v>
      </c>
      <c r="U296" s="63">
        <f t="shared" si="114"/>
        <v>16603.12</v>
      </c>
      <c r="V296" s="64"/>
      <c r="W296" s="60">
        <v>0</v>
      </c>
      <c r="X296" s="61">
        <v>0</v>
      </c>
      <c r="Y296" s="61">
        <v>0</v>
      </c>
      <c r="Z296" s="61">
        <v>0</v>
      </c>
      <c r="AA296" s="65">
        <v>0</v>
      </c>
      <c r="AB296" s="65">
        <v>1818</v>
      </c>
      <c r="AC296" s="66"/>
      <c r="AD296" s="67">
        <f t="shared" si="115"/>
        <v>0</v>
      </c>
      <c r="AE296" s="67">
        <f t="shared" si="116"/>
        <v>0</v>
      </c>
      <c r="AF296" s="67">
        <f t="shared" si="117"/>
        <v>0</v>
      </c>
      <c r="AG296" s="67">
        <f t="shared" si="118"/>
        <v>0</v>
      </c>
      <c r="AH296" s="67">
        <f t="shared" si="119"/>
        <v>0</v>
      </c>
      <c r="AI296" s="67">
        <f t="shared" si="120"/>
        <v>0.11962100276352151</v>
      </c>
      <c r="AJ296" s="66"/>
      <c r="AK296" s="68">
        <v>0</v>
      </c>
      <c r="AL296" s="69">
        <v>0</v>
      </c>
      <c r="AM296" s="69">
        <v>0</v>
      </c>
      <c r="AN296" s="69">
        <v>0</v>
      </c>
      <c r="AO296" s="70">
        <v>0</v>
      </c>
      <c r="AP296" s="70">
        <v>2117.94</v>
      </c>
      <c r="AQ296" s="66"/>
      <c r="AR296" s="70" t="s">
        <v>779</v>
      </c>
      <c r="AS296" s="66"/>
      <c r="AT296" s="108">
        <v>0</v>
      </c>
      <c r="AU296" s="109">
        <v>0</v>
      </c>
      <c r="AV296" s="109">
        <v>0</v>
      </c>
      <c r="AW296" s="109">
        <v>0</v>
      </c>
      <c r="AX296" s="110">
        <v>4441.5</v>
      </c>
      <c r="AY296" s="110">
        <v>26167.940000000002</v>
      </c>
    </row>
    <row r="297" spans="1:51" x14ac:dyDescent="0.25">
      <c r="A297" s="8" t="s">
        <v>422</v>
      </c>
      <c r="B297" s="5" t="s">
        <v>423</v>
      </c>
      <c r="C297" s="2">
        <v>1.4599999999999991</v>
      </c>
      <c r="D297" s="24">
        <v>2000</v>
      </c>
      <c r="E297" s="26">
        <f t="shared" si="112"/>
        <v>1000</v>
      </c>
      <c r="F297" s="26">
        <v>11254</v>
      </c>
      <c r="G297" s="30">
        <f t="shared" si="113"/>
        <v>8.8857295183934606E-2</v>
      </c>
      <c r="H297" s="11"/>
      <c r="I297" s="9">
        <v>0</v>
      </c>
      <c r="J297" s="3">
        <v>203</v>
      </c>
      <c r="K297" s="3">
        <v>4409</v>
      </c>
      <c r="L297" s="3">
        <v>2621</v>
      </c>
      <c r="M297" s="6"/>
      <c r="N297" s="6">
        <v>500</v>
      </c>
      <c r="O297" s="13"/>
      <c r="P297" s="60">
        <f t="shared" si="131"/>
        <v>0</v>
      </c>
      <c r="Q297" s="61">
        <f t="shared" si="132"/>
        <v>296.37999999999982</v>
      </c>
      <c r="R297" s="61">
        <f t="shared" si="133"/>
        <v>6437.1399999999958</v>
      </c>
      <c r="S297" s="62">
        <f t="shared" si="134"/>
        <v>3826.6599999999976</v>
      </c>
      <c r="T297" s="63">
        <f t="shared" si="135"/>
        <v>0</v>
      </c>
      <c r="U297" s="63">
        <f t="shared" si="114"/>
        <v>729.99999999999955</v>
      </c>
      <c r="V297" s="64"/>
      <c r="W297" s="60">
        <v>2715</v>
      </c>
      <c r="X297" s="61">
        <v>1202</v>
      </c>
      <c r="Y297" s="61">
        <v>228</v>
      </c>
      <c r="Z297" s="61">
        <v>1552</v>
      </c>
      <c r="AA297" s="65">
        <v>1927</v>
      </c>
      <c r="AB297" s="65">
        <v>1832</v>
      </c>
      <c r="AC297" s="66"/>
      <c r="AD297" s="67">
        <f t="shared" si="115"/>
        <v>0.24124755642438245</v>
      </c>
      <c r="AE297" s="67">
        <f t="shared" si="116"/>
        <v>0.10680646881108939</v>
      </c>
      <c r="AF297" s="67">
        <f t="shared" si="117"/>
        <v>2.0259463301937088E-2</v>
      </c>
      <c r="AG297" s="67">
        <f t="shared" si="118"/>
        <v>0.1379065221254665</v>
      </c>
      <c r="AH297" s="67">
        <f t="shared" si="119"/>
        <v>0.17122800781944197</v>
      </c>
      <c r="AI297" s="67">
        <f t="shared" si="120"/>
        <v>0.16278656477696818</v>
      </c>
      <c r="AJ297" s="66"/>
      <c r="AK297" s="68">
        <v>547.7399999999999</v>
      </c>
      <c r="AL297" s="69">
        <v>345.93999999999954</v>
      </c>
      <c r="AM297" s="69">
        <v>345.93999999999949</v>
      </c>
      <c r="AN297" s="69">
        <v>267.79999999999961</v>
      </c>
      <c r="AO297" s="70">
        <v>1158.8900000000001</v>
      </c>
      <c r="AP297" s="70">
        <v>-168.539999999999</v>
      </c>
      <c r="AQ297" s="66"/>
      <c r="AR297" s="70" t="s">
        <v>780</v>
      </c>
      <c r="AS297" s="66"/>
      <c r="AT297" s="108">
        <v>0</v>
      </c>
      <c r="AU297" s="109">
        <v>2663.36</v>
      </c>
      <c r="AV297" s="109">
        <v>56865.789999999994</v>
      </c>
      <c r="AW297" s="109">
        <v>33418.43</v>
      </c>
      <c r="AX297" s="110">
        <v>0</v>
      </c>
      <c r="AY297" s="110">
        <v>5700</v>
      </c>
    </row>
    <row r="298" spans="1:51" x14ac:dyDescent="0.25">
      <c r="A298" s="8" t="s">
        <v>640</v>
      </c>
      <c r="B298" s="5" t="s">
        <v>641</v>
      </c>
      <c r="C298" s="2">
        <v>1.4299999999999997</v>
      </c>
      <c r="D298" s="24">
        <v>3000</v>
      </c>
      <c r="E298" s="26">
        <f t="shared" si="112"/>
        <v>1500</v>
      </c>
      <c r="F298" s="26">
        <v>7585</v>
      </c>
      <c r="G298" s="30">
        <f t="shared" si="113"/>
        <v>0.19775873434410018</v>
      </c>
      <c r="H298" s="11"/>
      <c r="I298" s="9">
        <v>293</v>
      </c>
      <c r="J298" s="3">
        <v>0</v>
      </c>
      <c r="K298" s="3">
        <v>170</v>
      </c>
      <c r="L298" s="3">
        <v>124</v>
      </c>
      <c r="M298" s="6">
        <v>329</v>
      </c>
      <c r="N298" s="6">
        <v>185</v>
      </c>
      <c r="O298" s="13"/>
      <c r="P298" s="60">
        <f t="shared" si="131"/>
        <v>418.9899999999999</v>
      </c>
      <c r="Q298" s="61">
        <f t="shared" si="132"/>
        <v>0</v>
      </c>
      <c r="R298" s="61">
        <f t="shared" si="133"/>
        <v>243.09999999999997</v>
      </c>
      <c r="S298" s="62">
        <f t="shared" si="134"/>
        <v>177.31999999999996</v>
      </c>
      <c r="T298" s="63">
        <f t="shared" si="135"/>
        <v>470.46999999999991</v>
      </c>
      <c r="U298" s="63">
        <f t="shared" si="114"/>
        <v>264.54999999999995</v>
      </c>
      <c r="V298" s="64"/>
      <c r="W298" s="60">
        <v>0</v>
      </c>
      <c r="X298" s="61">
        <v>776</v>
      </c>
      <c r="Y298" s="61">
        <v>165</v>
      </c>
      <c r="Z298" s="61">
        <v>120</v>
      </c>
      <c r="AA298" s="65">
        <v>214</v>
      </c>
      <c r="AB298" s="65">
        <v>573</v>
      </c>
      <c r="AC298" s="66"/>
      <c r="AD298" s="67">
        <f t="shared" si="115"/>
        <v>0</v>
      </c>
      <c r="AE298" s="67">
        <f t="shared" si="116"/>
        <v>0.1023071852340145</v>
      </c>
      <c r="AF298" s="67">
        <f t="shared" si="117"/>
        <v>2.1753460777851022E-2</v>
      </c>
      <c r="AG298" s="67">
        <f t="shared" si="118"/>
        <v>1.5820698747528016E-2</v>
      </c>
      <c r="AH298" s="67">
        <f t="shared" si="119"/>
        <v>2.8213579433091628E-2</v>
      </c>
      <c r="AI298" s="67">
        <f t="shared" si="120"/>
        <v>7.5543836519446281E-2</v>
      </c>
      <c r="AJ298" s="66"/>
      <c r="AK298" s="68">
        <v>0.39999999999999952</v>
      </c>
      <c r="AL298" s="69">
        <v>1385.979999999995</v>
      </c>
      <c r="AM298" s="69">
        <v>1385.9799999999946</v>
      </c>
      <c r="AN298" s="69">
        <v>150.0199999999999</v>
      </c>
      <c r="AO298" s="70">
        <v>330.43999999999897</v>
      </c>
      <c r="AP298" s="70">
        <v>709.770000000001</v>
      </c>
      <c r="AQ298" s="66"/>
      <c r="AR298" s="70" t="s">
        <v>780</v>
      </c>
      <c r="AS298" s="66"/>
      <c r="AT298" s="108">
        <v>10952.99</v>
      </c>
      <c r="AU298" s="109">
        <v>0</v>
      </c>
      <c r="AV298" s="109">
        <v>6298.5</v>
      </c>
      <c r="AW298" s="109">
        <v>4622.5300000000007</v>
      </c>
      <c r="AX298" s="110">
        <v>12221.53</v>
      </c>
      <c r="AY298" s="110">
        <v>6861.1399999999994</v>
      </c>
    </row>
    <row r="299" spans="1:51" x14ac:dyDescent="0.25">
      <c r="A299" s="8">
        <v>5488</v>
      </c>
      <c r="B299" s="5" t="s">
        <v>434</v>
      </c>
      <c r="C299" s="2">
        <v>1.42</v>
      </c>
      <c r="D299" s="24">
        <v>3000</v>
      </c>
      <c r="E299" s="26">
        <f t="shared" si="112"/>
        <v>1500</v>
      </c>
      <c r="F299" s="26">
        <v>5729</v>
      </c>
      <c r="G299" s="30">
        <f t="shared" si="113"/>
        <v>0.26182579856868565</v>
      </c>
      <c r="H299" s="11"/>
      <c r="I299" s="9">
        <v>1081</v>
      </c>
      <c r="J299" s="3">
        <v>1679</v>
      </c>
      <c r="K299" s="3">
        <v>876</v>
      </c>
      <c r="L299" s="3">
        <v>585</v>
      </c>
      <c r="M299" s="6">
        <v>229</v>
      </c>
      <c r="N299" s="6">
        <v>314</v>
      </c>
      <c r="O299" s="13"/>
      <c r="P299" s="60">
        <f t="shared" si="131"/>
        <v>1535.02</v>
      </c>
      <c r="Q299" s="61">
        <f t="shared" si="132"/>
        <v>2384.1799999999998</v>
      </c>
      <c r="R299" s="61">
        <f t="shared" si="133"/>
        <v>1243.9199999999998</v>
      </c>
      <c r="S299" s="62">
        <f t="shared" si="134"/>
        <v>830.69999999999993</v>
      </c>
      <c r="T299" s="63">
        <f t="shared" si="135"/>
        <v>325.18</v>
      </c>
      <c r="U299" s="63">
        <f t="shared" si="114"/>
        <v>445.88</v>
      </c>
      <c r="V299" s="64"/>
      <c r="W299" s="60">
        <v>831</v>
      </c>
      <c r="X299" s="61">
        <v>1404</v>
      </c>
      <c r="Y299" s="61">
        <v>1520</v>
      </c>
      <c r="Z299" s="61">
        <v>760</v>
      </c>
      <c r="AA299" s="65">
        <v>1126</v>
      </c>
      <c r="AB299" s="65">
        <v>434</v>
      </c>
      <c r="AC299" s="66"/>
      <c r="AD299" s="67">
        <f t="shared" si="115"/>
        <v>0.14505149240705184</v>
      </c>
      <c r="AE299" s="67">
        <f t="shared" si="116"/>
        <v>0.24506894746028976</v>
      </c>
      <c r="AF299" s="67">
        <f t="shared" si="117"/>
        <v>0.2653168092162681</v>
      </c>
      <c r="AG299" s="67">
        <f t="shared" si="118"/>
        <v>0.13265840460813405</v>
      </c>
      <c r="AH299" s="67">
        <f t="shared" si="119"/>
        <v>0.19654389945889336</v>
      </c>
      <c r="AI299" s="67">
        <f t="shared" si="120"/>
        <v>7.5754931052539706E-2</v>
      </c>
      <c r="AJ299" s="66"/>
      <c r="AK299" s="68">
        <v>667.15000000000032</v>
      </c>
      <c r="AL299" s="69">
        <v>769.42999999999938</v>
      </c>
      <c r="AM299" s="69">
        <v>769.42999999999961</v>
      </c>
      <c r="AN299" s="69">
        <v>1102.4899999999989</v>
      </c>
      <c r="AO299" s="70">
        <v>795.99999999999704</v>
      </c>
      <c r="AP299" s="70">
        <v>466.52000000000203</v>
      </c>
      <c r="AQ299" s="66"/>
      <c r="AR299" s="70" t="s">
        <v>779</v>
      </c>
      <c r="AS299" s="66"/>
      <c r="AT299" s="108">
        <v>13329.630000000001</v>
      </c>
      <c r="AU299" s="109">
        <v>20936.149999999998</v>
      </c>
      <c r="AV299" s="109">
        <v>10243.26</v>
      </c>
      <c r="AW299" s="109">
        <v>6971.3600000000006</v>
      </c>
      <c r="AX299" s="110">
        <v>2706.8700000000003</v>
      </c>
      <c r="AY299" s="110">
        <v>3729.4</v>
      </c>
    </row>
    <row r="300" spans="1:51" x14ac:dyDescent="0.25">
      <c r="A300" s="8">
        <v>5608</v>
      </c>
      <c r="B300" s="5" t="s">
        <v>228</v>
      </c>
      <c r="C300" s="2">
        <v>1.4199999999999995</v>
      </c>
      <c r="D300" s="24">
        <v>3000</v>
      </c>
      <c r="E300" s="26">
        <f t="shared" si="112"/>
        <v>1500</v>
      </c>
      <c r="F300" s="26">
        <v>31761</v>
      </c>
      <c r="G300" s="30">
        <f t="shared" si="113"/>
        <v>4.7227732124303388E-2</v>
      </c>
      <c r="H300" s="11"/>
      <c r="I300" s="9">
        <v>0</v>
      </c>
      <c r="J300" s="3">
        <v>447</v>
      </c>
      <c r="K300" s="3">
        <v>438</v>
      </c>
      <c r="L300" s="3">
        <v>268</v>
      </c>
      <c r="M300" s="6">
        <v>192</v>
      </c>
      <c r="N300" s="6">
        <v>304</v>
      </c>
      <c r="O300" s="13"/>
      <c r="P300" s="60">
        <f t="shared" si="131"/>
        <v>0</v>
      </c>
      <c r="Q300" s="61">
        <f t="shared" si="132"/>
        <v>634.73999999999978</v>
      </c>
      <c r="R300" s="61">
        <f t="shared" si="133"/>
        <v>621.95999999999981</v>
      </c>
      <c r="S300" s="62">
        <f t="shared" si="134"/>
        <v>380.55999999999989</v>
      </c>
      <c r="T300" s="63">
        <f t="shared" si="135"/>
        <v>272.63999999999987</v>
      </c>
      <c r="U300" s="63">
        <f t="shared" si="114"/>
        <v>431.67999999999984</v>
      </c>
      <c r="V300" s="64"/>
      <c r="W300" s="60">
        <v>123</v>
      </c>
      <c r="X300" s="61">
        <v>12</v>
      </c>
      <c r="Y300" s="61">
        <v>446</v>
      </c>
      <c r="Z300" s="61">
        <v>436</v>
      </c>
      <c r="AA300" s="65">
        <v>267</v>
      </c>
      <c r="AB300" s="65">
        <v>94</v>
      </c>
      <c r="AC300" s="66"/>
      <c r="AD300" s="67">
        <f t="shared" si="115"/>
        <v>3.8726740341928781E-3</v>
      </c>
      <c r="AE300" s="67">
        <f t="shared" si="116"/>
        <v>3.7782185699442711E-4</v>
      </c>
      <c r="AF300" s="67">
        <f t="shared" si="117"/>
        <v>1.4042379018292875E-2</v>
      </c>
      <c r="AG300" s="67">
        <f t="shared" si="118"/>
        <v>1.3727527470797519E-2</v>
      </c>
      <c r="AH300" s="67">
        <f t="shared" si="119"/>
        <v>8.4065363181260039E-3</v>
      </c>
      <c r="AI300" s="67">
        <f t="shared" si="120"/>
        <v>2.9596045464563457E-3</v>
      </c>
      <c r="AJ300" s="66"/>
      <c r="AK300" s="68">
        <v>125.48</v>
      </c>
      <c r="AL300" s="69">
        <v>12.36</v>
      </c>
      <c r="AM300" s="69">
        <v>12.36</v>
      </c>
      <c r="AN300" s="69">
        <v>527.03</v>
      </c>
      <c r="AO300" s="70">
        <v>566.38</v>
      </c>
      <c r="AP300" s="70">
        <v>119.42</v>
      </c>
      <c r="AQ300" s="66"/>
      <c r="AR300" s="70" t="s">
        <v>779</v>
      </c>
      <c r="AS300" s="66"/>
      <c r="AT300" s="108">
        <v>0</v>
      </c>
      <c r="AU300" s="109">
        <v>1701.51</v>
      </c>
      <c r="AV300" s="109">
        <v>1689.24</v>
      </c>
      <c r="AW300" s="109">
        <v>1021.08</v>
      </c>
      <c r="AX300" s="110">
        <v>735.36</v>
      </c>
      <c r="AY300" s="110">
        <v>1181.3600000000001</v>
      </c>
    </row>
    <row r="301" spans="1:51" x14ac:dyDescent="0.25">
      <c r="A301" s="8">
        <v>5146</v>
      </c>
      <c r="B301" s="5" t="s">
        <v>597</v>
      </c>
      <c r="C301" s="2">
        <v>1.4100000000000001</v>
      </c>
      <c r="D301" s="24">
        <v>15000</v>
      </c>
      <c r="E301" s="26">
        <f t="shared" si="112"/>
        <v>7500</v>
      </c>
      <c r="F301" s="26">
        <v>209608</v>
      </c>
      <c r="G301" s="30">
        <f t="shared" si="113"/>
        <v>3.5781077058127553E-2</v>
      </c>
      <c r="H301" s="11"/>
      <c r="I301" s="9">
        <v>4013.3333333333335</v>
      </c>
      <c r="J301" s="3">
        <v>4080.6666666666665</v>
      </c>
      <c r="K301" s="3">
        <v>3875.6666666666665</v>
      </c>
      <c r="L301" s="3">
        <v>4625.333333333333</v>
      </c>
      <c r="M301" s="6">
        <v>6344.333333333333</v>
      </c>
      <c r="N301" s="6">
        <v>7478.71</v>
      </c>
      <c r="O301" s="13"/>
      <c r="P301" s="60">
        <f t="shared" si="131"/>
        <v>5658.8000000000011</v>
      </c>
      <c r="Q301" s="61">
        <f t="shared" si="132"/>
        <v>5753.7400000000007</v>
      </c>
      <c r="R301" s="61">
        <f t="shared" si="133"/>
        <v>5464.6900000000005</v>
      </c>
      <c r="S301" s="62">
        <f t="shared" si="134"/>
        <v>6521.72</v>
      </c>
      <c r="T301" s="63">
        <f t="shared" si="135"/>
        <v>8945.51</v>
      </c>
      <c r="U301" s="63">
        <f t="shared" si="114"/>
        <v>10544.981100000001</v>
      </c>
      <c r="V301" s="64"/>
      <c r="W301" s="60">
        <v>2750</v>
      </c>
      <c r="X301" s="61">
        <v>4641</v>
      </c>
      <c r="Y301" s="61">
        <v>1291</v>
      </c>
      <c r="Z301" s="61">
        <v>5155</v>
      </c>
      <c r="AA301" s="65">
        <v>5495</v>
      </c>
      <c r="AB301" s="65">
        <v>8397</v>
      </c>
      <c r="AC301" s="66"/>
      <c r="AD301" s="67">
        <f t="shared" si="115"/>
        <v>1.311972825464677E-2</v>
      </c>
      <c r="AE301" s="67">
        <f t="shared" si="116"/>
        <v>2.2141330483569331E-2</v>
      </c>
      <c r="AF301" s="67">
        <f t="shared" si="117"/>
        <v>6.1591160642723557E-3</v>
      </c>
      <c r="AG301" s="67">
        <f t="shared" si="118"/>
        <v>2.459352696461967E-2</v>
      </c>
      <c r="AH301" s="67">
        <f t="shared" si="119"/>
        <v>2.6215602457921452E-2</v>
      </c>
      <c r="AI301" s="67">
        <f t="shared" si="120"/>
        <v>4.006049387427961E-2</v>
      </c>
      <c r="AJ301" s="66"/>
      <c r="AK301" s="68">
        <v>3480.599999999994</v>
      </c>
      <c r="AL301" s="69">
        <v>5808.4399999999914</v>
      </c>
      <c r="AM301" s="69">
        <v>5808.4399999999923</v>
      </c>
      <c r="AN301" s="69">
        <v>1638.4299999999992</v>
      </c>
      <c r="AO301" s="70">
        <v>5451.2399999999197</v>
      </c>
      <c r="AP301" s="70">
        <v>9219.9499999998607</v>
      </c>
      <c r="AQ301" s="66"/>
      <c r="AR301" s="70" t="s">
        <v>780</v>
      </c>
      <c r="AS301" s="66"/>
      <c r="AT301" s="108">
        <v>112817.81999999999</v>
      </c>
      <c r="AU301" s="109">
        <v>112263.81000000001</v>
      </c>
      <c r="AV301" s="109">
        <v>105847.21000000002</v>
      </c>
      <c r="AW301" s="109">
        <v>126420.86000000002</v>
      </c>
      <c r="AX301" s="110">
        <v>174699.27000000002</v>
      </c>
      <c r="AY301" s="110">
        <v>214286.15</v>
      </c>
    </row>
    <row r="302" spans="1:51" x14ac:dyDescent="0.25">
      <c r="A302" s="8">
        <v>1379</v>
      </c>
      <c r="B302" s="5" t="s">
        <v>525</v>
      </c>
      <c r="C302" s="2">
        <v>1.4100000000000001</v>
      </c>
      <c r="D302" s="24">
        <v>1000</v>
      </c>
      <c r="E302" s="26">
        <f t="shared" si="112"/>
        <v>500</v>
      </c>
      <c r="F302" s="26">
        <v>1921</v>
      </c>
      <c r="G302" s="30">
        <f t="shared" si="113"/>
        <v>0.26028110359187923</v>
      </c>
      <c r="H302" s="11"/>
      <c r="I302" s="9">
        <v>1376</v>
      </c>
      <c r="J302" s="3">
        <v>155</v>
      </c>
      <c r="K302" s="3">
        <v>845</v>
      </c>
      <c r="L302" s="3">
        <v>1724</v>
      </c>
      <c r="M302" s="6">
        <v>2919</v>
      </c>
      <c r="N302" s="6">
        <v>1243</v>
      </c>
      <c r="O302" s="13"/>
      <c r="P302" s="60">
        <f t="shared" si="131"/>
        <v>1940.1600000000003</v>
      </c>
      <c r="Q302" s="61">
        <f t="shared" si="132"/>
        <v>218.55</v>
      </c>
      <c r="R302" s="61">
        <f t="shared" si="133"/>
        <v>1191.45</v>
      </c>
      <c r="S302" s="62">
        <f t="shared" si="134"/>
        <v>2430.84</v>
      </c>
      <c r="T302" s="63">
        <f t="shared" si="135"/>
        <v>4115.79</v>
      </c>
      <c r="U302" s="63">
        <f t="shared" si="114"/>
        <v>1752.63</v>
      </c>
      <c r="V302" s="64"/>
      <c r="W302" s="60">
        <v>2691</v>
      </c>
      <c r="X302" s="61">
        <v>2427</v>
      </c>
      <c r="Y302" s="61">
        <v>2186</v>
      </c>
      <c r="Z302" s="61">
        <v>1736</v>
      </c>
      <c r="AA302" s="65">
        <v>853</v>
      </c>
      <c r="AB302" s="65">
        <v>982</v>
      </c>
      <c r="AC302" s="66"/>
      <c r="AD302" s="67">
        <f t="shared" si="115"/>
        <v>1.400832899531494</v>
      </c>
      <c r="AE302" s="67">
        <f t="shared" si="116"/>
        <v>1.2634044768349817</v>
      </c>
      <c r="AF302" s="67">
        <f t="shared" si="117"/>
        <v>1.1379489849036959</v>
      </c>
      <c r="AG302" s="67">
        <f t="shared" si="118"/>
        <v>0.90369599167100467</v>
      </c>
      <c r="AH302" s="67">
        <f t="shared" si="119"/>
        <v>0.44403956272774597</v>
      </c>
      <c r="AI302" s="67">
        <f t="shared" si="120"/>
        <v>0.51119208745445077</v>
      </c>
      <c r="AJ302" s="66"/>
      <c r="AK302" s="68">
        <v>9266.7900000000009</v>
      </c>
      <c r="AL302" s="69">
        <v>7569.1199999999808</v>
      </c>
      <c r="AM302" s="69">
        <v>7569.1199999999808</v>
      </c>
      <c r="AN302" s="69">
        <v>6875.9299999999967</v>
      </c>
      <c r="AO302" s="70">
        <v>4950.5999999999904</v>
      </c>
      <c r="AP302" s="70">
        <v>1173.0699999999899</v>
      </c>
      <c r="AQ302" s="66"/>
      <c r="AR302" s="70" t="s">
        <v>780</v>
      </c>
      <c r="AS302" s="66"/>
      <c r="AT302" s="108">
        <v>26306.079999999998</v>
      </c>
      <c r="AU302" s="109">
        <v>2743.5</v>
      </c>
      <c r="AV302" s="109">
        <v>15693.28</v>
      </c>
      <c r="AW302" s="109">
        <v>31900.559999999998</v>
      </c>
      <c r="AX302" s="110">
        <v>25403.920000000002</v>
      </c>
      <c r="AY302" s="110">
        <v>22736.620000000003</v>
      </c>
    </row>
    <row r="303" spans="1:51" x14ac:dyDescent="0.25">
      <c r="A303" s="8" t="s">
        <v>360</v>
      </c>
      <c r="B303" s="5" t="s">
        <v>361</v>
      </c>
      <c r="C303" s="2">
        <v>1.4099999999999993</v>
      </c>
      <c r="D303" s="24">
        <v>2000</v>
      </c>
      <c r="E303" s="26">
        <f t="shared" si="112"/>
        <v>1000</v>
      </c>
      <c r="F303" s="26">
        <v>546</v>
      </c>
      <c r="G303" s="30">
        <f t="shared" si="113"/>
        <v>1.8315018315018314</v>
      </c>
      <c r="H303" s="11"/>
      <c r="I303" s="9">
        <v>1069</v>
      </c>
      <c r="J303" s="3">
        <v>373</v>
      </c>
      <c r="K303" s="3">
        <v>497</v>
      </c>
      <c r="L303" s="3">
        <v>621</v>
      </c>
      <c r="M303" s="6">
        <v>555</v>
      </c>
      <c r="N303" s="6">
        <v>148</v>
      </c>
      <c r="O303" s="13"/>
      <c r="P303" s="60">
        <f t="shared" si="131"/>
        <v>1507.2899999999993</v>
      </c>
      <c r="Q303" s="61">
        <f t="shared" si="132"/>
        <v>525.92999999999972</v>
      </c>
      <c r="R303" s="61">
        <f t="shared" si="133"/>
        <v>700.76999999999964</v>
      </c>
      <c r="S303" s="62">
        <f t="shared" si="134"/>
        <v>875.60999999999956</v>
      </c>
      <c r="T303" s="63">
        <f t="shared" si="135"/>
        <v>782.54999999999961</v>
      </c>
      <c r="U303" s="63">
        <f t="shared" si="114"/>
        <v>208.67999999999989</v>
      </c>
      <c r="V303" s="64"/>
      <c r="W303" s="60">
        <v>458</v>
      </c>
      <c r="X303" s="61">
        <v>996</v>
      </c>
      <c r="Y303" s="61">
        <v>712</v>
      </c>
      <c r="Z303" s="61">
        <v>298</v>
      </c>
      <c r="AA303" s="65">
        <v>0</v>
      </c>
      <c r="AB303" s="65">
        <v>0</v>
      </c>
      <c r="AC303" s="66"/>
      <c r="AD303" s="67">
        <f t="shared" si="115"/>
        <v>0.83882783882783885</v>
      </c>
      <c r="AE303" s="67">
        <f t="shared" si="116"/>
        <v>1.8241758241758241</v>
      </c>
      <c r="AF303" s="67">
        <f t="shared" si="117"/>
        <v>1.3040293040293041</v>
      </c>
      <c r="AG303" s="67">
        <f t="shared" si="118"/>
        <v>0.54578754578754574</v>
      </c>
      <c r="AH303" s="67">
        <f t="shared" si="119"/>
        <v>0</v>
      </c>
      <c r="AI303" s="67">
        <f t="shared" si="120"/>
        <v>0</v>
      </c>
      <c r="AJ303" s="66"/>
      <c r="AK303" s="68">
        <v>384.92</v>
      </c>
      <c r="AL303" s="69">
        <v>597.32999999999959</v>
      </c>
      <c r="AM303" s="69">
        <v>597.32999999999947</v>
      </c>
      <c r="AN303" s="69">
        <v>669.39999999999873</v>
      </c>
      <c r="AO303" s="70">
        <v>392.61999999999898</v>
      </c>
      <c r="AP303" s="70">
        <v>0</v>
      </c>
      <c r="AQ303" s="66"/>
      <c r="AR303" s="70" t="s">
        <v>779</v>
      </c>
      <c r="AS303" s="66"/>
      <c r="AT303" s="108">
        <v>8689.64</v>
      </c>
      <c r="AU303" s="109">
        <v>2954.62</v>
      </c>
      <c r="AV303" s="109">
        <v>3884.99</v>
      </c>
      <c r="AW303" s="109">
        <v>4943.16</v>
      </c>
      <c r="AX303" s="110">
        <v>4446.45</v>
      </c>
      <c r="AY303" s="110">
        <v>1218.04</v>
      </c>
    </row>
    <row r="304" spans="1:51" x14ac:dyDescent="0.25">
      <c r="A304" s="8" t="s">
        <v>800</v>
      </c>
      <c r="B304" s="5" t="s">
        <v>843</v>
      </c>
      <c r="C304" s="2">
        <v>1.4058073755818112</v>
      </c>
      <c r="D304" s="24">
        <v>50</v>
      </c>
      <c r="E304" s="26">
        <f t="shared" si="112"/>
        <v>25</v>
      </c>
      <c r="F304" s="26">
        <v>45</v>
      </c>
      <c r="G304" s="30">
        <f t="shared" si="113"/>
        <v>0.55555555555555558</v>
      </c>
      <c r="H304" s="11"/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6">
        <v>100</v>
      </c>
      <c r="O304" s="13"/>
      <c r="P304" s="60"/>
      <c r="Q304" s="61"/>
      <c r="R304" s="61"/>
      <c r="S304" s="62"/>
      <c r="T304" s="63"/>
      <c r="U304" s="63">
        <f t="shared" si="114"/>
        <v>140.58073755818111</v>
      </c>
      <c r="V304" s="64"/>
      <c r="W304" s="60"/>
      <c r="X304" s="61"/>
      <c r="Y304" s="61"/>
      <c r="Z304" s="61"/>
      <c r="AA304" s="65"/>
      <c r="AB304" s="65"/>
      <c r="AC304" s="66"/>
      <c r="AD304" s="67">
        <f t="shared" si="115"/>
        <v>0</v>
      </c>
      <c r="AE304" s="67">
        <f t="shared" si="116"/>
        <v>0</v>
      </c>
      <c r="AF304" s="67">
        <f t="shared" si="117"/>
        <v>0</v>
      </c>
      <c r="AG304" s="67">
        <f t="shared" si="118"/>
        <v>0</v>
      </c>
      <c r="AH304" s="67">
        <f t="shared" si="119"/>
        <v>0</v>
      </c>
      <c r="AI304" s="67">
        <f t="shared" si="120"/>
        <v>0</v>
      </c>
      <c r="AJ304" s="66"/>
      <c r="AK304" s="68"/>
      <c r="AL304" s="69"/>
      <c r="AM304" s="69"/>
      <c r="AN304" s="69"/>
      <c r="AO304" s="70"/>
      <c r="AP304" s="70"/>
      <c r="AQ304" s="66"/>
      <c r="AR304" s="70" t="s">
        <v>780</v>
      </c>
      <c r="AS304" s="66"/>
      <c r="AT304" s="108">
        <v>0</v>
      </c>
      <c r="AU304" s="109">
        <v>0</v>
      </c>
      <c r="AV304" s="109">
        <v>0</v>
      </c>
      <c r="AW304" s="109">
        <v>0</v>
      </c>
      <c r="AX304" s="110">
        <v>0</v>
      </c>
      <c r="AY304" s="110">
        <v>636.5</v>
      </c>
    </row>
    <row r="305" spans="1:51" x14ac:dyDescent="0.25">
      <c r="A305" s="8">
        <v>5538</v>
      </c>
      <c r="B305" s="5" t="s">
        <v>476</v>
      </c>
      <c r="C305" s="2">
        <v>1.4000000000000021</v>
      </c>
      <c r="D305" s="24">
        <v>500</v>
      </c>
      <c r="E305" s="26">
        <f t="shared" si="112"/>
        <v>250</v>
      </c>
      <c r="F305" s="26">
        <v>1361</v>
      </c>
      <c r="G305" s="30">
        <f t="shared" si="113"/>
        <v>0.18368846436443792</v>
      </c>
      <c r="H305" s="11"/>
      <c r="I305" s="9">
        <v>0</v>
      </c>
      <c r="J305" s="3">
        <v>100</v>
      </c>
      <c r="K305" s="3">
        <v>350</v>
      </c>
      <c r="L305" s="3">
        <v>827</v>
      </c>
      <c r="M305" s="6">
        <v>450</v>
      </c>
      <c r="N305" s="6">
        <v>0</v>
      </c>
      <c r="O305" s="13"/>
      <c r="P305" s="60">
        <f t="shared" ref="P305:P314" si="136">+I305*C305</f>
        <v>0</v>
      </c>
      <c r="Q305" s="61">
        <f t="shared" ref="Q305:Q314" si="137">+J305*C305</f>
        <v>140.00000000000023</v>
      </c>
      <c r="R305" s="61">
        <f t="shared" ref="R305:R314" si="138">+K305*C305</f>
        <v>490.00000000000074</v>
      </c>
      <c r="S305" s="62">
        <f t="shared" ref="S305:S314" si="139">+L305*C305</f>
        <v>1157.8000000000018</v>
      </c>
      <c r="T305" s="63">
        <f t="shared" ref="T305:T314" si="140">+M305*C305</f>
        <v>630.00000000000091</v>
      </c>
      <c r="U305" s="63">
        <f t="shared" si="114"/>
        <v>0</v>
      </c>
      <c r="V305" s="64"/>
      <c r="W305" s="60">
        <v>332</v>
      </c>
      <c r="X305" s="61">
        <v>469</v>
      </c>
      <c r="Y305" s="61">
        <v>236</v>
      </c>
      <c r="Z305" s="61">
        <v>230</v>
      </c>
      <c r="AA305" s="65">
        <v>539</v>
      </c>
      <c r="AB305" s="65">
        <v>517</v>
      </c>
      <c r="AC305" s="66"/>
      <c r="AD305" s="67">
        <f t="shared" si="115"/>
        <v>0.24393828067597356</v>
      </c>
      <c r="AE305" s="67">
        <f t="shared" si="116"/>
        <v>0.34459955914768553</v>
      </c>
      <c r="AF305" s="67">
        <f t="shared" si="117"/>
        <v>0.17340191036002939</v>
      </c>
      <c r="AG305" s="67">
        <f t="shared" si="118"/>
        <v>0.16899338721528287</v>
      </c>
      <c r="AH305" s="67">
        <f t="shared" si="119"/>
        <v>0.39603232916972814</v>
      </c>
      <c r="AI305" s="67">
        <f t="shared" si="120"/>
        <v>0.37986774430565762</v>
      </c>
      <c r="AJ305" s="66"/>
      <c r="AK305" s="68">
        <v>1077.08</v>
      </c>
      <c r="AL305" s="69">
        <v>1145.27</v>
      </c>
      <c r="AM305" s="69">
        <v>1145.27</v>
      </c>
      <c r="AN305" s="69">
        <v>820.49999999999977</v>
      </c>
      <c r="AO305" s="70">
        <v>493.16999999999899</v>
      </c>
      <c r="AP305" s="70">
        <v>476.62999999999897</v>
      </c>
      <c r="AQ305" s="66"/>
      <c r="AR305" s="70" t="s">
        <v>780</v>
      </c>
      <c r="AS305" s="66"/>
      <c r="AT305" s="108">
        <v>0</v>
      </c>
      <c r="AU305" s="109">
        <v>1542</v>
      </c>
      <c r="AV305" s="109">
        <v>5195</v>
      </c>
      <c r="AW305" s="109">
        <v>12351.83</v>
      </c>
      <c r="AX305" s="110">
        <v>6570</v>
      </c>
      <c r="AY305" s="110">
        <v>0</v>
      </c>
    </row>
    <row r="306" spans="1:51" x14ac:dyDescent="0.25">
      <c r="A306" s="8" t="s">
        <v>727</v>
      </c>
      <c r="B306" s="5" t="s">
        <v>728</v>
      </c>
      <c r="C306" s="2">
        <v>1.4</v>
      </c>
      <c r="D306" s="24">
        <v>160</v>
      </c>
      <c r="E306" s="26">
        <f t="shared" si="112"/>
        <v>80</v>
      </c>
      <c r="F306" s="26">
        <v>80</v>
      </c>
      <c r="G306" s="30">
        <f t="shared" si="113"/>
        <v>1</v>
      </c>
      <c r="H306" s="11"/>
      <c r="I306" s="9">
        <v>1030</v>
      </c>
      <c r="J306" s="3">
        <v>598</v>
      </c>
      <c r="K306" s="3">
        <v>0</v>
      </c>
      <c r="L306" s="3">
        <v>0</v>
      </c>
      <c r="M306" s="6"/>
      <c r="N306" s="6">
        <v>0</v>
      </c>
      <c r="O306" s="13"/>
      <c r="P306" s="60">
        <f t="shared" si="136"/>
        <v>1442</v>
      </c>
      <c r="Q306" s="61">
        <f t="shared" si="137"/>
        <v>837.19999999999993</v>
      </c>
      <c r="R306" s="61">
        <f t="shared" si="138"/>
        <v>0</v>
      </c>
      <c r="S306" s="62">
        <f t="shared" si="139"/>
        <v>0</v>
      </c>
      <c r="T306" s="63">
        <f t="shared" si="140"/>
        <v>0</v>
      </c>
      <c r="U306" s="63">
        <f t="shared" si="114"/>
        <v>0</v>
      </c>
      <c r="V306" s="64"/>
      <c r="W306" s="60">
        <v>23</v>
      </c>
      <c r="X306" s="61">
        <v>146</v>
      </c>
      <c r="Y306" s="61">
        <v>99</v>
      </c>
      <c r="Z306" s="61">
        <v>201</v>
      </c>
      <c r="AA306" s="65">
        <v>654</v>
      </c>
      <c r="AB306" s="65">
        <v>136</v>
      </c>
      <c r="AC306" s="66"/>
      <c r="AD306" s="67">
        <f t="shared" si="115"/>
        <v>0.28749999999999998</v>
      </c>
      <c r="AE306" s="67">
        <f t="shared" si="116"/>
        <v>1.825</v>
      </c>
      <c r="AF306" s="67">
        <f t="shared" si="117"/>
        <v>1.2375</v>
      </c>
      <c r="AG306" s="67">
        <f t="shared" si="118"/>
        <v>2.5125000000000002</v>
      </c>
      <c r="AH306" s="67">
        <f t="shared" si="119"/>
        <v>8.1750000000000007</v>
      </c>
      <c r="AI306" s="67">
        <f t="shared" si="120"/>
        <v>1.7</v>
      </c>
      <c r="AJ306" s="66"/>
      <c r="AK306" s="68">
        <v>32.270000000000003</v>
      </c>
      <c r="AL306" s="69">
        <v>195.5</v>
      </c>
      <c r="AM306" s="69">
        <v>195.5</v>
      </c>
      <c r="AN306" s="69">
        <v>34.399999999999984</v>
      </c>
      <c r="AO306" s="70">
        <v>22.9299999999999</v>
      </c>
      <c r="AP306" s="70">
        <v>7.62</v>
      </c>
      <c r="AQ306" s="66"/>
      <c r="AR306" s="70" t="s">
        <v>780</v>
      </c>
      <c r="AS306" s="66"/>
      <c r="AT306" s="108">
        <v>11430.8</v>
      </c>
      <c r="AU306" s="109">
        <v>6679.380000000001</v>
      </c>
      <c r="AV306" s="109">
        <v>0</v>
      </c>
      <c r="AW306" s="109">
        <v>0</v>
      </c>
      <c r="AX306" s="110">
        <v>0</v>
      </c>
      <c r="AY306" s="110">
        <v>0</v>
      </c>
    </row>
    <row r="307" spans="1:51" x14ac:dyDescent="0.25">
      <c r="A307" s="8">
        <v>5780</v>
      </c>
      <c r="B307" s="5" t="s">
        <v>637</v>
      </c>
      <c r="C307" s="2">
        <v>1.3999999999999986</v>
      </c>
      <c r="D307" s="24">
        <v>800</v>
      </c>
      <c r="E307" s="26">
        <f t="shared" si="112"/>
        <v>400</v>
      </c>
      <c r="F307" s="26">
        <v>478</v>
      </c>
      <c r="G307" s="30">
        <f t="shared" si="113"/>
        <v>0.83682008368200833</v>
      </c>
      <c r="H307" s="11"/>
      <c r="I307" s="9">
        <v>0</v>
      </c>
      <c r="J307" s="3">
        <v>0</v>
      </c>
      <c r="K307" s="3">
        <v>0</v>
      </c>
      <c r="L307" s="3">
        <v>0</v>
      </c>
      <c r="M307" s="6"/>
      <c r="N307" s="6">
        <v>0</v>
      </c>
      <c r="O307" s="13"/>
      <c r="P307" s="60">
        <f t="shared" si="136"/>
        <v>0</v>
      </c>
      <c r="Q307" s="61">
        <f t="shared" si="137"/>
        <v>0</v>
      </c>
      <c r="R307" s="61">
        <f t="shared" si="138"/>
        <v>0</v>
      </c>
      <c r="S307" s="62">
        <f t="shared" si="139"/>
        <v>0</v>
      </c>
      <c r="T307" s="63">
        <f t="shared" si="140"/>
        <v>0</v>
      </c>
      <c r="U307" s="63">
        <f t="shared" si="114"/>
        <v>0</v>
      </c>
      <c r="V307" s="64"/>
      <c r="W307" s="60">
        <v>0</v>
      </c>
      <c r="X307" s="61">
        <v>0</v>
      </c>
      <c r="Y307" s="61">
        <v>57</v>
      </c>
      <c r="Z307" s="61">
        <v>0</v>
      </c>
      <c r="AA307" s="65">
        <v>0</v>
      </c>
      <c r="AB307" s="65">
        <v>0</v>
      </c>
      <c r="AC307" s="66"/>
      <c r="AD307" s="67">
        <f t="shared" si="115"/>
        <v>0</v>
      </c>
      <c r="AE307" s="67">
        <f t="shared" si="116"/>
        <v>0</v>
      </c>
      <c r="AF307" s="67">
        <f t="shared" si="117"/>
        <v>0.1192468619246862</v>
      </c>
      <c r="AG307" s="67">
        <f t="shared" si="118"/>
        <v>0</v>
      </c>
      <c r="AH307" s="67">
        <f t="shared" si="119"/>
        <v>0</v>
      </c>
      <c r="AI307" s="67">
        <f t="shared" si="120"/>
        <v>0</v>
      </c>
      <c r="AJ307" s="66"/>
      <c r="AK307" s="68">
        <v>0</v>
      </c>
      <c r="AL307" s="69">
        <v>0</v>
      </c>
      <c r="AM307" s="69">
        <v>79.799999999999926</v>
      </c>
      <c r="AN307" s="69">
        <v>79.819999999999808</v>
      </c>
      <c r="AO307" s="70">
        <v>0</v>
      </c>
      <c r="AP307" s="70">
        <v>0</v>
      </c>
      <c r="AQ307" s="66"/>
      <c r="AR307" s="70" t="s">
        <v>780</v>
      </c>
      <c r="AS307" s="66"/>
      <c r="AT307" s="108">
        <v>0</v>
      </c>
      <c r="AU307" s="109">
        <v>0</v>
      </c>
      <c r="AV307" s="109">
        <v>0</v>
      </c>
      <c r="AW307" s="109">
        <v>0</v>
      </c>
      <c r="AX307" s="110">
        <v>0</v>
      </c>
      <c r="AY307" s="110">
        <v>0</v>
      </c>
    </row>
    <row r="308" spans="1:51" x14ac:dyDescent="0.25">
      <c r="A308" s="8" t="s">
        <v>522</v>
      </c>
      <c r="B308" s="5" t="s">
        <v>523</v>
      </c>
      <c r="C308" s="2">
        <v>1.3900000000000006</v>
      </c>
      <c r="D308" s="24">
        <v>1000</v>
      </c>
      <c r="E308" s="26">
        <f t="shared" si="112"/>
        <v>500</v>
      </c>
      <c r="F308" s="26">
        <v>1290</v>
      </c>
      <c r="G308" s="30">
        <f t="shared" si="113"/>
        <v>0.38759689922480622</v>
      </c>
      <c r="H308" s="11"/>
      <c r="I308" s="9">
        <v>0</v>
      </c>
      <c r="J308" s="3">
        <v>0</v>
      </c>
      <c r="K308" s="3">
        <v>200</v>
      </c>
      <c r="L308" s="3">
        <v>300</v>
      </c>
      <c r="M308" s="6">
        <v>100</v>
      </c>
      <c r="N308" s="6">
        <v>0</v>
      </c>
      <c r="O308" s="13"/>
      <c r="P308" s="60">
        <f t="shared" si="136"/>
        <v>0</v>
      </c>
      <c r="Q308" s="61">
        <f t="shared" si="137"/>
        <v>0</v>
      </c>
      <c r="R308" s="61">
        <f t="shared" si="138"/>
        <v>278.00000000000011</v>
      </c>
      <c r="S308" s="62">
        <f t="shared" si="139"/>
        <v>417.00000000000017</v>
      </c>
      <c r="T308" s="63">
        <f t="shared" si="140"/>
        <v>139.00000000000006</v>
      </c>
      <c r="U308" s="63">
        <f t="shared" si="114"/>
        <v>0</v>
      </c>
      <c r="V308" s="64"/>
      <c r="W308" s="60">
        <v>444</v>
      </c>
      <c r="X308" s="61">
        <v>524</v>
      </c>
      <c r="Y308" s="61">
        <v>397</v>
      </c>
      <c r="Z308" s="61">
        <v>298</v>
      </c>
      <c r="AA308" s="65">
        <v>437</v>
      </c>
      <c r="AB308" s="65">
        <v>363</v>
      </c>
      <c r="AC308" s="66"/>
      <c r="AD308" s="67">
        <f t="shared" si="115"/>
        <v>0.34418604651162793</v>
      </c>
      <c r="AE308" s="67">
        <f t="shared" si="116"/>
        <v>0.40620155038759692</v>
      </c>
      <c r="AF308" s="67">
        <f t="shared" si="117"/>
        <v>0.30775193798449613</v>
      </c>
      <c r="AG308" s="67">
        <f t="shared" si="118"/>
        <v>0.23100775193798451</v>
      </c>
      <c r="AH308" s="67">
        <f t="shared" si="119"/>
        <v>0.33875968992248062</v>
      </c>
      <c r="AI308" s="67">
        <f t="shared" si="120"/>
        <v>0.28139534883720929</v>
      </c>
      <c r="AJ308" s="66"/>
      <c r="AK308" s="68">
        <v>937.03000000000065</v>
      </c>
      <c r="AL308" s="69">
        <v>1071.5499999999981</v>
      </c>
      <c r="AM308" s="69">
        <v>1071.5499999999981</v>
      </c>
      <c r="AN308" s="69">
        <v>1326.8199999999979</v>
      </c>
      <c r="AO308" s="70">
        <v>1061.53999999999</v>
      </c>
      <c r="AP308" s="70">
        <v>770.74999999999795</v>
      </c>
      <c r="AQ308" s="66"/>
      <c r="AR308" s="70" t="s">
        <v>780</v>
      </c>
      <c r="AS308" s="66"/>
      <c r="AT308" s="108">
        <v>0</v>
      </c>
      <c r="AU308" s="109">
        <v>0</v>
      </c>
      <c r="AV308" s="109">
        <v>3746</v>
      </c>
      <c r="AW308" s="109">
        <v>5407</v>
      </c>
      <c r="AX308" s="110">
        <v>1770</v>
      </c>
      <c r="AY308" s="110">
        <v>0</v>
      </c>
    </row>
    <row r="309" spans="1:51" x14ac:dyDescent="0.25">
      <c r="A309" s="8">
        <v>5188</v>
      </c>
      <c r="B309" s="5" t="s">
        <v>320</v>
      </c>
      <c r="C309" s="2">
        <v>1.3899999999999997</v>
      </c>
      <c r="D309" s="24">
        <v>2000</v>
      </c>
      <c r="E309" s="26">
        <f t="shared" si="112"/>
        <v>1000</v>
      </c>
      <c r="F309" s="26">
        <v>5925</v>
      </c>
      <c r="G309" s="30">
        <f t="shared" si="113"/>
        <v>0.16877637130801687</v>
      </c>
      <c r="H309" s="11"/>
      <c r="I309" s="9">
        <v>1950</v>
      </c>
      <c r="J309" s="3">
        <v>2945</v>
      </c>
      <c r="K309" s="3">
        <v>3256</v>
      </c>
      <c r="L309" s="3">
        <v>290</v>
      </c>
      <c r="M309" s="6"/>
      <c r="N309" s="6">
        <v>2136</v>
      </c>
      <c r="O309" s="13"/>
      <c r="P309" s="60">
        <f t="shared" si="136"/>
        <v>2710.4999999999995</v>
      </c>
      <c r="Q309" s="61">
        <f t="shared" si="137"/>
        <v>4093.5499999999993</v>
      </c>
      <c r="R309" s="61">
        <f t="shared" si="138"/>
        <v>4525.8399999999992</v>
      </c>
      <c r="S309" s="62">
        <f t="shared" si="139"/>
        <v>403.09999999999991</v>
      </c>
      <c r="T309" s="63">
        <f t="shared" si="140"/>
        <v>0</v>
      </c>
      <c r="U309" s="63">
        <f t="shared" si="114"/>
        <v>2969.0399999999995</v>
      </c>
      <c r="V309" s="64"/>
      <c r="W309" s="60">
        <v>731</v>
      </c>
      <c r="X309" s="61">
        <v>545</v>
      </c>
      <c r="Y309" s="61">
        <v>1365</v>
      </c>
      <c r="Z309" s="61">
        <v>2031</v>
      </c>
      <c r="AA309" s="65">
        <v>1381</v>
      </c>
      <c r="AB309" s="65">
        <v>1920</v>
      </c>
      <c r="AC309" s="66"/>
      <c r="AD309" s="67">
        <f t="shared" si="115"/>
        <v>0.12337552742616034</v>
      </c>
      <c r="AE309" s="67">
        <f t="shared" si="116"/>
        <v>9.1983122362869194E-2</v>
      </c>
      <c r="AF309" s="67">
        <f t="shared" si="117"/>
        <v>0.23037974683544304</v>
      </c>
      <c r="AG309" s="67">
        <f t="shared" si="118"/>
        <v>0.3427848101265823</v>
      </c>
      <c r="AH309" s="67">
        <f t="shared" si="119"/>
        <v>0.2330801687763713</v>
      </c>
      <c r="AI309" s="67">
        <f t="shared" si="120"/>
        <v>0.32405063291139241</v>
      </c>
      <c r="AJ309" s="66"/>
      <c r="AK309" s="68">
        <v>2161.9200000000042</v>
      </c>
      <c r="AL309" s="69">
        <v>1168.6699999999976</v>
      </c>
      <c r="AM309" s="69">
        <v>1168.6699999999976</v>
      </c>
      <c r="AN309" s="69">
        <v>2013.2799999999952</v>
      </c>
      <c r="AO309" s="70">
        <v>2776.0899999999901</v>
      </c>
      <c r="AP309" s="70">
        <v>2270.1100000000201</v>
      </c>
      <c r="AQ309" s="66"/>
      <c r="AR309" s="70" t="s">
        <v>779</v>
      </c>
      <c r="AS309" s="66"/>
      <c r="AT309" s="108">
        <v>12209</v>
      </c>
      <c r="AU309" s="109">
        <v>18201.79</v>
      </c>
      <c r="AV309" s="109">
        <v>20284.86</v>
      </c>
      <c r="AW309" s="109">
        <v>1780.6</v>
      </c>
      <c r="AX309" s="110">
        <v>0</v>
      </c>
      <c r="AY309" s="110">
        <v>13391.939999999999</v>
      </c>
    </row>
    <row r="310" spans="1:51" x14ac:dyDescent="0.25">
      <c r="A310" s="8">
        <v>5442</v>
      </c>
      <c r="B310" s="5" t="s">
        <v>308</v>
      </c>
      <c r="C310" s="2">
        <v>1.38</v>
      </c>
      <c r="D310" s="24">
        <v>3000</v>
      </c>
      <c r="E310" s="26">
        <f t="shared" si="112"/>
        <v>1500</v>
      </c>
      <c r="F310" s="26">
        <v>2399</v>
      </c>
      <c r="G310" s="30">
        <f t="shared" si="113"/>
        <v>0.62526052521884123</v>
      </c>
      <c r="H310" s="11"/>
      <c r="I310" s="9">
        <v>275</v>
      </c>
      <c r="J310" s="3">
        <v>652</v>
      </c>
      <c r="K310" s="3">
        <v>1223</v>
      </c>
      <c r="L310" s="3">
        <v>1355</v>
      </c>
      <c r="M310" s="6">
        <v>300</v>
      </c>
      <c r="N310" s="6">
        <v>0</v>
      </c>
      <c r="O310" s="13"/>
      <c r="P310" s="60">
        <f t="shared" si="136"/>
        <v>379.49999999999994</v>
      </c>
      <c r="Q310" s="61">
        <f t="shared" si="137"/>
        <v>899.75999999999988</v>
      </c>
      <c r="R310" s="61">
        <f t="shared" si="138"/>
        <v>1687.7399999999998</v>
      </c>
      <c r="S310" s="62">
        <f t="shared" si="139"/>
        <v>1869.8999999999999</v>
      </c>
      <c r="T310" s="63">
        <f t="shared" si="140"/>
        <v>413.99999999999994</v>
      </c>
      <c r="U310" s="63">
        <f t="shared" si="114"/>
        <v>0</v>
      </c>
      <c r="V310" s="64"/>
      <c r="W310" s="60">
        <v>900</v>
      </c>
      <c r="X310" s="61">
        <v>1464</v>
      </c>
      <c r="Y310" s="61">
        <v>469</v>
      </c>
      <c r="Z310" s="61">
        <v>887</v>
      </c>
      <c r="AA310" s="65">
        <v>1192</v>
      </c>
      <c r="AB310" s="65">
        <v>967</v>
      </c>
      <c r="AC310" s="66"/>
      <c r="AD310" s="67">
        <f t="shared" si="115"/>
        <v>0.37515631513130471</v>
      </c>
      <c r="AE310" s="67">
        <f t="shared" si="116"/>
        <v>0.610254272613589</v>
      </c>
      <c r="AF310" s="67">
        <f t="shared" si="117"/>
        <v>0.19549812421842436</v>
      </c>
      <c r="AG310" s="67">
        <f t="shared" si="118"/>
        <v>0.36973739057940808</v>
      </c>
      <c r="AH310" s="67">
        <f t="shared" si="119"/>
        <v>0.4968736973739058</v>
      </c>
      <c r="AI310" s="67">
        <f t="shared" si="120"/>
        <v>0.40308461859107964</v>
      </c>
      <c r="AJ310" s="66"/>
      <c r="AK310" s="68">
        <v>669.72999999999956</v>
      </c>
      <c r="AL310" s="69">
        <v>968.86999999999773</v>
      </c>
      <c r="AM310" s="69">
        <v>968.86999999999773</v>
      </c>
      <c r="AN310" s="69">
        <v>428.60999999999973</v>
      </c>
      <c r="AO310" s="70">
        <v>943.53999999999701</v>
      </c>
      <c r="AP310" s="70">
        <v>835.31999999999903</v>
      </c>
      <c r="AQ310" s="66"/>
      <c r="AR310" s="70" t="s">
        <v>779</v>
      </c>
      <c r="AS310" s="66"/>
      <c r="AT310" s="108">
        <v>1655.5</v>
      </c>
      <c r="AU310" s="109">
        <v>3840.76</v>
      </c>
      <c r="AV310" s="109">
        <v>7116.4699999999993</v>
      </c>
      <c r="AW310" s="109">
        <v>8008.41</v>
      </c>
      <c r="AX310" s="110">
        <v>1755</v>
      </c>
      <c r="AY310" s="110">
        <v>0</v>
      </c>
    </row>
    <row r="311" spans="1:51" ht="30" x14ac:dyDescent="0.25">
      <c r="A311" s="8">
        <v>4127</v>
      </c>
      <c r="B311" s="5" t="s">
        <v>491</v>
      </c>
      <c r="C311" s="2">
        <v>1.3600000000000012</v>
      </c>
      <c r="D311" s="24">
        <v>4000</v>
      </c>
      <c r="E311" s="26">
        <f t="shared" si="112"/>
        <v>2000</v>
      </c>
      <c r="F311" s="26">
        <v>29001</v>
      </c>
      <c r="G311" s="30">
        <f t="shared" si="113"/>
        <v>6.8963139202096485E-2</v>
      </c>
      <c r="H311" s="11"/>
      <c r="I311" s="9">
        <v>5105</v>
      </c>
      <c r="J311" s="3">
        <v>816</v>
      </c>
      <c r="K311" s="3">
        <v>6349</v>
      </c>
      <c r="L311" s="3">
        <v>6087</v>
      </c>
      <c r="M311" s="6">
        <v>3878</v>
      </c>
      <c r="N311" s="6">
        <v>4231</v>
      </c>
      <c r="O311" s="13"/>
      <c r="P311" s="60">
        <f t="shared" si="136"/>
        <v>6942.8000000000065</v>
      </c>
      <c r="Q311" s="61">
        <f t="shared" si="137"/>
        <v>1109.7600000000009</v>
      </c>
      <c r="R311" s="61">
        <f t="shared" si="138"/>
        <v>8634.6400000000085</v>
      </c>
      <c r="S311" s="62">
        <f t="shared" si="139"/>
        <v>8278.320000000007</v>
      </c>
      <c r="T311" s="63">
        <f t="shared" si="140"/>
        <v>5274.0800000000045</v>
      </c>
      <c r="U311" s="63">
        <f t="shared" si="114"/>
        <v>5754.1600000000053</v>
      </c>
      <c r="V311" s="64"/>
      <c r="W311" s="60">
        <v>3355</v>
      </c>
      <c r="X311" s="61">
        <v>5997</v>
      </c>
      <c r="Y311" s="61">
        <v>4226</v>
      </c>
      <c r="Z311" s="61">
        <v>7854</v>
      </c>
      <c r="AA311" s="65">
        <v>5291</v>
      </c>
      <c r="AB311" s="65">
        <v>7424</v>
      </c>
      <c r="AC311" s="66"/>
      <c r="AD311" s="67">
        <f t="shared" si="115"/>
        <v>0.11568566601151685</v>
      </c>
      <c r="AE311" s="67">
        <f t="shared" si="116"/>
        <v>0.20678597289748629</v>
      </c>
      <c r="AF311" s="67">
        <f t="shared" si="117"/>
        <v>0.14571911313402985</v>
      </c>
      <c r="AG311" s="67">
        <f t="shared" si="118"/>
        <v>0.27081824764663287</v>
      </c>
      <c r="AH311" s="67">
        <f t="shared" si="119"/>
        <v>0.18244198475914625</v>
      </c>
      <c r="AI311" s="67">
        <f t="shared" si="120"/>
        <v>0.25599117271818211</v>
      </c>
      <c r="AJ311" s="66"/>
      <c r="AK311" s="68">
        <v>2775.0499999999979</v>
      </c>
      <c r="AL311" s="69">
        <v>8385.9399999999969</v>
      </c>
      <c r="AM311" s="69">
        <v>8385.9399999999969</v>
      </c>
      <c r="AN311" s="69">
        <v>14081.299999999957</v>
      </c>
      <c r="AO311" s="70">
        <v>15895.290000000199</v>
      </c>
      <c r="AP311" s="70">
        <v>13534.4399999997</v>
      </c>
      <c r="AQ311" s="66"/>
      <c r="AR311" s="70" t="s">
        <v>780</v>
      </c>
      <c r="AS311" s="66"/>
      <c r="AT311" s="108">
        <v>86417.29</v>
      </c>
      <c r="AU311" s="109">
        <v>13692.48</v>
      </c>
      <c r="AV311" s="109">
        <v>105625.66999999998</v>
      </c>
      <c r="AW311" s="109">
        <v>97285.950000000012</v>
      </c>
      <c r="AX311" s="110">
        <v>61923.76</v>
      </c>
      <c r="AY311" s="110">
        <v>66576.3</v>
      </c>
    </row>
    <row r="312" spans="1:51" x14ac:dyDescent="0.25">
      <c r="A312" s="8">
        <v>5155</v>
      </c>
      <c r="B312" s="5" t="s">
        <v>309</v>
      </c>
      <c r="C312" s="2">
        <v>1.3600000000000003</v>
      </c>
      <c r="D312" s="24">
        <v>9000</v>
      </c>
      <c r="E312" s="26">
        <f t="shared" si="112"/>
        <v>4500</v>
      </c>
      <c r="F312" s="26">
        <v>8376</v>
      </c>
      <c r="G312" s="30">
        <f t="shared" si="113"/>
        <v>0.53724928366762181</v>
      </c>
      <c r="H312" s="11"/>
      <c r="I312" s="9">
        <v>3150</v>
      </c>
      <c r="J312" s="3">
        <v>0</v>
      </c>
      <c r="K312" s="3">
        <v>0</v>
      </c>
      <c r="L312" s="3">
        <v>870</v>
      </c>
      <c r="M312" s="6">
        <v>1764</v>
      </c>
      <c r="N312" s="6">
        <v>3022</v>
      </c>
      <c r="O312" s="13"/>
      <c r="P312" s="60">
        <f t="shared" si="136"/>
        <v>4284.0000000000009</v>
      </c>
      <c r="Q312" s="61">
        <f t="shared" si="137"/>
        <v>0</v>
      </c>
      <c r="R312" s="61">
        <f t="shared" si="138"/>
        <v>0</v>
      </c>
      <c r="S312" s="62">
        <f t="shared" si="139"/>
        <v>1183.2000000000003</v>
      </c>
      <c r="T312" s="63">
        <f t="shared" si="140"/>
        <v>2399.0400000000004</v>
      </c>
      <c r="U312" s="63">
        <f t="shared" si="114"/>
        <v>4109.920000000001</v>
      </c>
      <c r="V312" s="64"/>
      <c r="W312" s="60">
        <v>3419</v>
      </c>
      <c r="X312" s="61">
        <v>2876</v>
      </c>
      <c r="Y312" s="61">
        <v>7440</v>
      </c>
      <c r="Z312" s="61">
        <v>3281</v>
      </c>
      <c r="AA312" s="65">
        <v>810</v>
      </c>
      <c r="AB312" s="65">
        <v>1876</v>
      </c>
      <c r="AC312" s="66"/>
      <c r="AD312" s="67">
        <f t="shared" si="115"/>
        <v>0.40819006685768866</v>
      </c>
      <c r="AE312" s="67">
        <f t="shared" si="116"/>
        <v>0.34336198662846229</v>
      </c>
      <c r="AF312" s="67">
        <f t="shared" si="117"/>
        <v>0.88825214899713467</v>
      </c>
      <c r="AG312" s="67">
        <f t="shared" si="118"/>
        <v>0.39171442215854824</v>
      </c>
      <c r="AH312" s="67">
        <f t="shared" si="119"/>
        <v>9.6704871060171921E-2</v>
      </c>
      <c r="AI312" s="67">
        <f t="shared" si="120"/>
        <v>0.22397325692454631</v>
      </c>
      <c r="AJ312" s="66"/>
      <c r="AK312" s="68">
        <v>4313.5499999999975</v>
      </c>
      <c r="AL312" s="69">
        <v>4612.9099999999953</v>
      </c>
      <c r="AM312" s="69">
        <v>4612.9099999999953</v>
      </c>
      <c r="AN312" s="69">
        <v>6428.2499999999945</v>
      </c>
      <c r="AO312" s="70">
        <v>1588.0599999999799</v>
      </c>
      <c r="AP312" s="70">
        <v>1272.76999999999</v>
      </c>
      <c r="AQ312" s="66"/>
      <c r="AR312" s="70" t="s">
        <v>779</v>
      </c>
      <c r="AS312" s="66"/>
      <c r="AT312" s="108">
        <v>18210</v>
      </c>
      <c r="AU312" s="109">
        <v>0</v>
      </c>
      <c r="AV312" s="109">
        <v>0</v>
      </c>
      <c r="AW312" s="109">
        <v>5194.2</v>
      </c>
      <c r="AX312" s="110">
        <v>10363.429999999998</v>
      </c>
      <c r="AY312" s="110">
        <v>18078.509999999998</v>
      </c>
    </row>
    <row r="313" spans="1:51" x14ac:dyDescent="0.25">
      <c r="A313" s="8" t="s">
        <v>218</v>
      </c>
      <c r="B313" s="5" t="s">
        <v>219</v>
      </c>
      <c r="C313" s="2">
        <v>1.3599999999999999</v>
      </c>
      <c r="D313" s="24">
        <v>8000</v>
      </c>
      <c r="E313" s="26">
        <f t="shared" si="112"/>
        <v>4000</v>
      </c>
      <c r="F313" s="26">
        <v>5579</v>
      </c>
      <c r="G313" s="30">
        <f t="shared" si="113"/>
        <v>0.71697436816633808</v>
      </c>
      <c r="H313" s="11"/>
      <c r="I313" s="9">
        <v>0</v>
      </c>
      <c r="J313" s="3">
        <v>0</v>
      </c>
      <c r="K313" s="3">
        <v>0</v>
      </c>
      <c r="L313" s="3">
        <v>192</v>
      </c>
      <c r="M313" s="6">
        <v>1500</v>
      </c>
      <c r="N313" s="6">
        <v>0</v>
      </c>
      <c r="O313" s="13"/>
      <c r="P313" s="60">
        <f t="shared" si="136"/>
        <v>0</v>
      </c>
      <c r="Q313" s="61">
        <f t="shared" si="137"/>
        <v>0</v>
      </c>
      <c r="R313" s="61">
        <f t="shared" si="138"/>
        <v>0</v>
      </c>
      <c r="S313" s="62">
        <f t="shared" si="139"/>
        <v>261.12</v>
      </c>
      <c r="T313" s="63">
        <f t="shared" si="140"/>
        <v>2039.9999999999998</v>
      </c>
      <c r="U313" s="63">
        <f t="shared" si="114"/>
        <v>0</v>
      </c>
      <c r="V313" s="64"/>
      <c r="W313" s="60">
        <v>0</v>
      </c>
      <c r="X313" s="61">
        <v>0</v>
      </c>
      <c r="Y313" s="61">
        <v>343</v>
      </c>
      <c r="Z313" s="61">
        <v>2802</v>
      </c>
      <c r="AA313" s="65">
        <v>4568</v>
      </c>
      <c r="AB313" s="65">
        <v>3418</v>
      </c>
      <c r="AC313" s="66"/>
      <c r="AD313" s="67">
        <f t="shared" si="115"/>
        <v>0</v>
      </c>
      <c r="AE313" s="67">
        <f t="shared" si="116"/>
        <v>0</v>
      </c>
      <c r="AF313" s="67">
        <f t="shared" si="117"/>
        <v>6.148055207026349E-2</v>
      </c>
      <c r="AG313" s="67">
        <f t="shared" si="118"/>
        <v>0.50224054490051984</v>
      </c>
      <c r="AH313" s="67">
        <f t="shared" si="119"/>
        <v>0.81878472844595807</v>
      </c>
      <c r="AI313" s="67">
        <f t="shared" si="120"/>
        <v>0.6126545975981359</v>
      </c>
      <c r="AJ313" s="66"/>
      <c r="AK313" s="68">
        <v>0</v>
      </c>
      <c r="AL313" s="69">
        <v>0</v>
      </c>
      <c r="AM313" s="69">
        <v>466.47999999999996</v>
      </c>
      <c r="AN313" s="69">
        <v>616.14999999999793</v>
      </c>
      <c r="AO313" s="70">
        <v>3430.8700000000199</v>
      </c>
      <c r="AP313" s="70">
        <v>3195.4199999999901</v>
      </c>
      <c r="AQ313" s="66"/>
      <c r="AR313" s="70" t="s">
        <v>779</v>
      </c>
      <c r="AS313" s="66"/>
      <c r="AT313" s="108">
        <v>0</v>
      </c>
      <c r="AU313" s="109">
        <v>0</v>
      </c>
      <c r="AV313" s="109">
        <v>0</v>
      </c>
      <c r="AW313" s="109">
        <v>764.16</v>
      </c>
      <c r="AX313" s="110">
        <v>5490</v>
      </c>
      <c r="AY313" s="110">
        <v>0</v>
      </c>
    </row>
    <row r="314" spans="1:51" x14ac:dyDescent="0.25">
      <c r="A314" s="8">
        <v>5650</v>
      </c>
      <c r="B314" s="5" t="s">
        <v>101</v>
      </c>
      <c r="C314" s="2">
        <v>1.3599999999999999</v>
      </c>
      <c r="D314" s="24">
        <v>170.20000000000002</v>
      </c>
      <c r="E314" s="26">
        <f t="shared" si="112"/>
        <v>85.100000000000009</v>
      </c>
      <c r="F314" s="26">
        <v>851</v>
      </c>
      <c r="G314" s="30">
        <f t="shared" si="113"/>
        <v>0.1</v>
      </c>
      <c r="H314" s="11"/>
      <c r="I314" s="9">
        <v>0</v>
      </c>
      <c r="J314" s="3">
        <v>0</v>
      </c>
      <c r="K314" s="3">
        <v>300</v>
      </c>
      <c r="L314" s="3">
        <v>0</v>
      </c>
      <c r="M314" s="6"/>
      <c r="N314" s="6">
        <v>0</v>
      </c>
      <c r="O314" s="13"/>
      <c r="P314" s="60">
        <f t="shared" si="136"/>
        <v>0</v>
      </c>
      <c r="Q314" s="61">
        <f t="shared" si="137"/>
        <v>0</v>
      </c>
      <c r="R314" s="61">
        <f t="shared" si="138"/>
        <v>407.99999999999994</v>
      </c>
      <c r="S314" s="62">
        <f t="shared" si="139"/>
        <v>0</v>
      </c>
      <c r="T314" s="63">
        <f t="shared" si="140"/>
        <v>0</v>
      </c>
      <c r="U314" s="63">
        <f t="shared" si="114"/>
        <v>0</v>
      </c>
      <c r="V314" s="64"/>
      <c r="W314" s="60">
        <v>0</v>
      </c>
      <c r="X314" s="61">
        <v>0</v>
      </c>
      <c r="Y314" s="61">
        <v>0</v>
      </c>
      <c r="Z314" s="61">
        <v>83</v>
      </c>
      <c r="AA314" s="65">
        <v>229</v>
      </c>
      <c r="AB314" s="65">
        <v>258</v>
      </c>
      <c r="AC314" s="66"/>
      <c r="AD314" s="67">
        <f t="shared" si="115"/>
        <v>0</v>
      </c>
      <c r="AE314" s="67">
        <f t="shared" si="116"/>
        <v>0</v>
      </c>
      <c r="AF314" s="67">
        <f t="shared" si="117"/>
        <v>0</v>
      </c>
      <c r="AG314" s="67">
        <f t="shared" si="118"/>
        <v>9.7532314923619273E-2</v>
      </c>
      <c r="AH314" s="67">
        <f t="shared" si="119"/>
        <v>0.2690951821386604</v>
      </c>
      <c r="AI314" s="67">
        <f t="shared" si="120"/>
        <v>0.30317273795534666</v>
      </c>
      <c r="AJ314" s="66"/>
      <c r="AK314" s="68">
        <v>0</v>
      </c>
      <c r="AL314" s="69">
        <v>0</v>
      </c>
      <c r="AM314" s="69">
        <v>0</v>
      </c>
      <c r="AN314" s="69">
        <v>112.88</v>
      </c>
      <c r="AO314" s="70">
        <v>129.52999999999901</v>
      </c>
      <c r="AP314" s="70">
        <v>312.74000000000098</v>
      </c>
      <c r="AQ314" s="66"/>
      <c r="AR314" s="70" t="s">
        <v>779</v>
      </c>
      <c r="AS314" s="66"/>
      <c r="AT314" s="108">
        <v>0</v>
      </c>
      <c r="AU314" s="109">
        <v>0</v>
      </c>
      <c r="AV314" s="109">
        <v>534</v>
      </c>
      <c r="AW314" s="109">
        <v>0</v>
      </c>
      <c r="AX314" s="110">
        <v>0</v>
      </c>
      <c r="AY314" s="110">
        <v>0</v>
      </c>
    </row>
    <row r="315" spans="1:51" x14ac:dyDescent="0.25">
      <c r="A315" s="8" t="s">
        <v>810</v>
      </c>
      <c r="B315" s="5" t="s">
        <v>853</v>
      </c>
      <c r="C315" s="2">
        <v>1.3539883733001119</v>
      </c>
      <c r="D315" s="24">
        <v>300</v>
      </c>
      <c r="E315" s="26">
        <f t="shared" si="112"/>
        <v>150</v>
      </c>
      <c r="F315" s="26">
        <v>479</v>
      </c>
      <c r="G315" s="30">
        <f t="shared" si="113"/>
        <v>0.31315240083507306</v>
      </c>
      <c r="H315" s="11"/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6">
        <v>170</v>
      </c>
      <c r="O315" s="13"/>
      <c r="P315" s="60"/>
      <c r="Q315" s="61"/>
      <c r="R315" s="61"/>
      <c r="S315" s="62"/>
      <c r="T315" s="63"/>
      <c r="U315" s="63">
        <f t="shared" si="114"/>
        <v>230.17802346101902</v>
      </c>
      <c r="V315" s="64"/>
      <c r="W315" s="60"/>
      <c r="X315" s="61"/>
      <c r="Y315" s="61"/>
      <c r="Z315" s="61"/>
      <c r="AA315" s="65"/>
      <c r="AB315" s="65"/>
      <c r="AC315" s="66"/>
      <c r="AD315" s="67">
        <f t="shared" si="115"/>
        <v>0</v>
      </c>
      <c r="AE315" s="67">
        <f t="shared" si="116"/>
        <v>0</v>
      </c>
      <c r="AF315" s="67">
        <f t="shared" si="117"/>
        <v>0</v>
      </c>
      <c r="AG315" s="67">
        <f t="shared" si="118"/>
        <v>0</v>
      </c>
      <c r="AH315" s="67">
        <f t="shared" si="119"/>
        <v>0</v>
      </c>
      <c r="AI315" s="67">
        <f t="shared" si="120"/>
        <v>0</v>
      </c>
      <c r="AJ315" s="66"/>
      <c r="AK315" s="68"/>
      <c r="AL315" s="69"/>
      <c r="AM315" s="69"/>
      <c r="AN315" s="69"/>
      <c r="AO315" s="70"/>
      <c r="AP315" s="70"/>
      <c r="AQ315" s="66"/>
      <c r="AR315" s="70" t="s">
        <v>780</v>
      </c>
      <c r="AS315" s="66"/>
      <c r="AT315" s="108">
        <v>0</v>
      </c>
      <c r="AU315" s="109">
        <v>9987.5499999999993</v>
      </c>
      <c r="AV315" s="109">
        <v>9482.6</v>
      </c>
      <c r="AW315" s="109">
        <v>5950.5</v>
      </c>
      <c r="AX315" s="110">
        <v>4105.59</v>
      </c>
      <c r="AY315" s="110">
        <v>3536</v>
      </c>
    </row>
    <row r="316" spans="1:51" x14ac:dyDescent="0.25">
      <c r="A316" s="8" t="s">
        <v>817</v>
      </c>
      <c r="B316" s="5" t="s">
        <v>860</v>
      </c>
      <c r="C316" s="2">
        <v>1.350497076023391</v>
      </c>
      <c r="D316" s="24">
        <v>8000</v>
      </c>
      <c r="E316" s="26">
        <f t="shared" si="112"/>
        <v>4000</v>
      </c>
      <c r="F316" s="26">
        <v>15339</v>
      </c>
      <c r="G316" s="30">
        <f t="shared" si="113"/>
        <v>0.26077319251580938</v>
      </c>
      <c r="H316" s="11"/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6">
        <v>1715</v>
      </c>
      <c r="O316" s="13"/>
      <c r="P316" s="60"/>
      <c r="Q316" s="61"/>
      <c r="R316" s="61"/>
      <c r="S316" s="62"/>
      <c r="T316" s="63"/>
      <c r="U316" s="63">
        <f t="shared" si="114"/>
        <v>2316.1024853801155</v>
      </c>
      <c r="V316" s="64"/>
      <c r="W316" s="60"/>
      <c r="X316" s="61"/>
      <c r="Y316" s="61"/>
      <c r="Z316" s="61"/>
      <c r="AA316" s="65"/>
      <c r="AB316" s="65"/>
      <c r="AC316" s="66"/>
      <c r="AD316" s="67">
        <f t="shared" si="115"/>
        <v>0</v>
      </c>
      <c r="AE316" s="67">
        <f t="shared" si="116"/>
        <v>0</v>
      </c>
      <c r="AF316" s="67">
        <f t="shared" si="117"/>
        <v>0</v>
      </c>
      <c r="AG316" s="67">
        <f t="shared" si="118"/>
        <v>0</v>
      </c>
      <c r="AH316" s="67">
        <f t="shared" si="119"/>
        <v>0</v>
      </c>
      <c r="AI316" s="67">
        <f t="shared" si="120"/>
        <v>0</v>
      </c>
      <c r="AJ316" s="66"/>
      <c r="AK316" s="68"/>
      <c r="AL316" s="69"/>
      <c r="AM316" s="69"/>
      <c r="AN316" s="69"/>
      <c r="AO316" s="70"/>
      <c r="AP316" s="70"/>
      <c r="AQ316" s="66"/>
      <c r="AR316" s="70" t="s">
        <v>780</v>
      </c>
      <c r="AS316" s="66"/>
      <c r="AT316" s="108">
        <v>57161.79</v>
      </c>
      <c r="AU316" s="109">
        <v>43601.18</v>
      </c>
      <c r="AV316" s="109">
        <v>65290.460000000006</v>
      </c>
      <c r="AW316" s="109">
        <v>42076.510000000009</v>
      </c>
      <c r="AX316" s="110">
        <v>103151.96999999999</v>
      </c>
      <c r="AY316" s="110">
        <v>46288.36</v>
      </c>
    </row>
    <row r="317" spans="1:51" x14ac:dyDescent="0.25">
      <c r="A317" s="8">
        <v>6015</v>
      </c>
      <c r="B317" s="5" t="s">
        <v>260</v>
      </c>
      <c r="C317" s="2">
        <v>1.3499999999999996</v>
      </c>
      <c r="D317" s="24">
        <v>16000</v>
      </c>
      <c r="E317" s="26">
        <f t="shared" si="112"/>
        <v>8000</v>
      </c>
      <c r="F317" s="26">
        <v>84219</v>
      </c>
      <c r="G317" s="30">
        <f t="shared" si="113"/>
        <v>9.4990441586815327E-2</v>
      </c>
      <c r="H317" s="11"/>
      <c r="I317" s="9">
        <v>16239</v>
      </c>
      <c r="J317" s="3">
        <v>9460</v>
      </c>
      <c r="K317" s="3">
        <v>7293</v>
      </c>
      <c r="L317" s="3">
        <v>20031</v>
      </c>
      <c r="M317" s="6">
        <v>12922</v>
      </c>
      <c r="N317" s="6">
        <v>18817</v>
      </c>
      <c r="O317" s="13"/>
      <c r="P317" s="60">
        <f>+I317*C317</f>
        <v>21922.649999999994</v>
      </c>
      <c r="Q317" s="61">
        <f>+J317*C317</f>
        <v>12770.999999999996</v>
      </c>
      <c r="R317" s="61">
        <f>+K317*C317</f>
        <v>9845.5499999999975</v>
      </c>
      <c r="S317" s="62">
        <f>+L317*C317</f>
        <v>27041.849999999991</v>
      </c>
      <c r="T317" s="63">
        <f>+M317*C317</f>
        <v>17444.699999999997</v>
      </c>
      <c r="U317" s="63">
        <f t="shared" si="114"/>
        <v>25402.949999999993</v>
      </c>
      <c r="V317" s="64"/>
      <c r="W317" s="60">
        <v>10310</v>
      </c>
      <c r="X317" s="61">
        <v>14502</v>
      </c>
      <c r="Y317" s="61">
        <v>19894</v>
      </c>
      <c r="Z317" s="61">
        <v>10861</v>
      </c>
      <c r="AA317" s="65">
        <v>14135</v>
      </c>
      <c r="AB317" s="65">
        <v>21472</v>
      </c>
      <c r="AC317" s="66"/>
      <c r="AD317" s="67">
        <f t="shared" si="115"/>
        <v>0.12241893159500825</v>
      </c>
      <c r="AE317" s="67">
        <f t="shared" si="116"/>
        <v>0.17219392298649949</v>
      </c>
      <c r="AF317" s="67">
        <f t="shared" si="117"/>
        <v>0.23621748061601303</v>
      </c>
      <c r="AG317" s="67">
        <f t="shared" si="118"/>
        <v>0.12896139825930017</v>
      </c>
      <c r="AH317" s="67">
        <f t="shared" si="119"/>
        <v>0.16783623647870433</v>
      </c>
      <c r="AI317" s="67">
        <f t="shared" si="120"/>
        <v>0.25495434521901233</v>
      </c>
      <c r="AJ317" s="66"/>
      <c r="AK317" s="68">
        <v>6452.4399999999914</v>
      </c>
      <c r="AL317" s="69">
        <v>9314.1599999999835</v>
      </c>
      <c r="AM317" s="69">
        <v>9314.1599999999835</v>
      </c>
      <c r="AN317" s="69">
        <v>13075.63000000003</v>
      </c>
      <c r="AO317" s="70">
        <v>7308.2100000000601</v>
      </c>
      <c r="AP317" s="70">
        <v>26526.230000001899</v>
      </c>
      <c r="AQ317" s="66"/>
      <c r="AR317" s="70" t="s">
        <v>779</v>
      </c>
      <c r="AS317" s="66"/>
      <c r="AT317" s="108">
        <v>85552.650000000009</v>
      </c>
      <c r="AU317" s="109">
        <v>48786.840000000004</v>
      </c>
      <c r="AV317" s="109">
        <v>36815.99</v>
      </c>
      <c r="AW317" s="109">
        <v>88563.02</v>
      </c>
      <c r="AX317" s="110">
        <v>56829.760000000009</v>
      </c>
      <c r="AY317" s="110">
        <v>81948.150000000009</v>
      </c>
    </row>
    <row r="318" spans="1:51" x14ac:dyDescent="0.25">
      <c r="A318" s="8" t="s">
        <v>591</v>
      </c>
      <c r="B318" s="5" t="s">
        <v>592</v>
      </c>
      <c r="C318" s="2">
        <v>1.3399999999999999</v>
      </c>
      <c r="D318" s="24">
        <v>6000</v>
      </c>
      <c r="E318" s="26">
        <f t="shared" si="112"/>
        <v>3000</v>
      </c>
      <c r="F318" s="26">
        <v>67343</v>
      </c>
      <c r="G318" s="30">
        <f t="shared" si="113"/>
        <v>4.4548059931989958E-2</v>
      </c>
      <c r="H318" s="11"/>
      <c r="I318" s="9">
        <v>315</v>
      </c>
      <c r="J318" s="3">
        <v>131</v>
      </c>
      <c r="K318" s="3">
        <v>2449</v>
      </c>
      <c r="L318" s="3">
        <v>2139</v>
      </c>
      <c r="M318" s="6">
        <v>99</v>
      </c>
      <c r="N318" s="6">
        <v>149</v>
      </c>
      <c r="O318" s="13"/>
      <c r="P318" s="60">
        <f>+I318*C318</f>
        <v>422.09999999999997</v>
      </c>
      <c r="Q318" s="61">
        <f>+J318*C318</f>
        <v>175.54</v>
      </c>
      <c r="R318" s="61">
        <f>+K318*C318</f>
        <v>3281.66</v>
      </c>
      <c r="S318" s="62">
        <f>+L318*C318</f>
        <v>2866.2599999999998</v>
      </c>
      <c r="T318" s="63">
        <f>+M318*C318</f>
        <v>132.66</v>
      </c>
      <c r="U318" s="63">
        <f t="shared" si="114"/>
        <v>199.65999999999997</v>
      </c>
      <c r="V318" s="64"/>
      <c r="W318" s="60">
        <v>241</v>
      </c>
      <c r="X318" s="61">
        <v>310</v>
      </c>
      <c r="Y318" s="61">
        <v>883</v>
      </c>
      <c r="Z318" s="61">
        <v>1293</v>
      </c>
      <c r="AA318" s="65">
        <v>2248</v>
      </c>
      <c r="AB318" s="65">
        <v>466</v>
      </c>
      <c r="AC318" s="66"/>
      <c r="AD318" s="67">
        <f t="shared" si="115"/>
        <v>3.5786941478698603E-3</v>
      </c>
      <c r="AE318" s="67">
        <f t="shared" si="116"/>
        <v>4.6032995263056292E-3</v>
      </c>
      <c r="AF318" s="67">
        <f t="shared" si="117"/>
        <v>1.3111978973315713E-2</v>
      </c>
      <c r="AG318" s="67">
        <f t="shared" si="118"/>
        <v>1.9200213830687672E-2</v>
      </c>
      <c r="AH318" s="67">
        <f t="shared" si="119"/>
        <v>3.3381346242371143E-2</v>
      </c>
      <c r="AI318" s="67">
        <f t="shared" si="120"/>
        <v>6.9197986427691075E-3</v>
      </c>
      <c r="AJ318" s="66"/>
      <c r="AK318" s="68">
        <v>279.87</v>
      </c>
      <c r="AL318" s="69">
        <v>348.16999999999905</v>
      </c>
      <c r="AM318" s="69">
        <v>348.16999999999905</v>
      </c>
      <c r="AN318" s="69">
        <v>1249.0299999999979</v>
      </c>
      <c r="AO318" s="70">
        <v>1551.53</v>
      </c>
      <c r="AP318" s="70">
        <v>572.32000000000005</v>
      </c>
      <c r="AQ318" s="66"/>
      <c r="AR318" s="70" t="s">
        <v>780</v>
      </c>
      <c r="AS318" s="66"/>
      <c r="AT318" s="108">
        <v>7816.7</v>
      </c>
      <c r="AU318" s="109">
        <v>3268.3</v>
      </c>
      <c r="AV318" s="109">
        <v>60949.58</v>
      </c>
      <c r="AW318" s="109">
        <v>53489.920000000006</v>
      </c>
      <c r="AX318" s="110">
        <v>2460.15</v>
      </c>
      <c r="AY318" s="110">
        <v>3680.8700000000003</v>
      </c>
    </row>
    <row r="319" spans="1:51" x14ac:dyDescent="0.25">
      <c r="A319" s="8" t="s">
        <v>828</v>
      </c>
      <c r="B319" s="5" t="s">
        <v>871</v>
      </c>
      <c r="C319" s="2">
        <v>1.3393141945773515</v>
      </c>
      <c r="D319" s="24">
        <v>25000</v>
      </c>
      <c r="E319" s="26">
        <f t="shared" si="112"/>
        <v>12500</v>
      </c>
      <c r="F319" s="26">
        <v>74244</v>
      </c>
      <c r="G319" s="30">
        <f t="shared" si="113"/>
        <v>0.16836377350358278</v>
      </c>
      <c r="H319" s="11"/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6">
        <v>250</v>
      </c>
      <c r="O319" s="13"/>
      <c r="P319" s="60"/>
      <c r="Q319" s="61"/>
      <c r="R319" s="61"/>
      <c r="S319" s="62"/>
      <c r="T319" s="63"/>
      <c r="U319" s="63">
        <f t="shared" si="114"/>
        <v>334.82854864433784</v>
      </c>
      <c r="V319" s="64"/>
      <c r="W319" s="60"/>
      <c r="X319" s="61"/>
      <c r="Y319" s="61"/>
      <c r="Z319" s="61"/>
      <c r="AA319" s="65"/>
      <c r="AB319" s="65"/>
      <c r="AC319" s="66"/>
      <c r="AD319" s="67">
        <f t="shared" si="115"/>
        <v>0</v>
      </c>
      <c r="AE319" s="67">
        <f t="shared" si="116"/>
        <v>0</v>
      </c>
      <c r="AF319" s="67">
        <f t="shared" si="117"/>
        <v>0</v>
      </c>
      <c r="AG319" s="67">
        <f t="shared" si="118"/>
        <v>0</v>
      </c>
      <c r="AH319" s="67">
        <f t="shared" si="119"/>
        <v>0</v>
      </c>
      <c r="AI319" s="67">
        <f t="shared" si="120"/>
        <v>0</v>
      </c>
      <c r="AJ319" s="66"/>
      <c r="AK319" s="68"/>
      <c r="AL319" s="69"/>
      <c r="AM319" s="69"/>
      <c r="AN319" s="69"/>
      <c r="AO319" s="70"/>
      <c r="AP319" s="70"/>
      <c r="AQ319" s="66"/>
      <c r="AR319" s="70" t="s">
        <v>780</v>
      </c>
      <c r="AS319" s="66"/>
      <c r="AT319" s="108">
        <v>10948</v>
      </c>
      <c r="AU319" s="109">
        <v>4844</v>
      </c>
      <c r="AV319" s="109">
        <v>2762</v>
      </c>
      <c r="AW319" s="109">
        <v>13608.5</v>
      </c>
      <c r="AX319" s="110">
        <v>4162.5</v>
      </c>
      <c r="AY319" s="110">
        <v>6937.5</v>
      </c>
    </row>
    <row r="320" spans="1:51" x14ac:dyDescent="0.25">
      <c r="A320" s="8" t="s">
        <v>607</v>
      </c>
      <c r="B320" s="5" t="s">
        <v>608</v>
      </c>
      <c r="C320" s="2">
        <v>1.3300000000000018</v>
      </c>
      <c r="D320" s="24">
        <v>6000</v>
      </c>
      <c r="E320" s="26">
        <f t="shared" si="112"/>
        <v>3000</v>
      </c>
      <c r="F320" s="26">
        <v>59528</v>
      </c>
      <c r="G320" s="30">
        <f t="shared" si="113"/>
        <v>5.0396452089772878E-2</v>
      </c>
      <c r="H320" s="11"/>
      <c r="I320" s="9">
        <v>230</v>
      </c>
      <c r="J320" s="3">
        <v>237</v>
      </c>
      <c r="K320" s="3">
        <v>164</v>
      </c>
      <c r="L320" s="3">
        <v>615</v>
      </c>
      <c r="M320" s="6">
        <v>300</v>
      </c>
      <c r="N320" s="6">
        <v>427</v>
      </c>
      <c r="O320" s="13"/>
      <c r="P320" s="60">
        <f>+I320*C320</f>
        <v>305.90000000000043</v>
      </c>
      <c r="Q320" s="61">
        <f>+J320*C320</f>
        <v>315.21000000000043</v>
      </c>
      <c r="R320" s="61">
        <f>+K320*C320</f>
        <v>218.12000000000029</v>
      </c>
      <c r="S320" s="62">
        <f>+L320*C320</f>
        <v>817.95000000000118</v>
      </c>
      <c r="T320" s="63">
        <f>+M320*C320</f>
        <v>399.00000000000057</v>
      </c>
      <c r="U320" s="63">
        <f t="shared" si="114"/>
        <v>567.91000000000076</v>
      </c>
      <c r="V320" s="64"/>
      <c r="W320" s="60">
        <v>240</v>
      </c>
      <c r="X320" s="61">
        <v>228</v>
      </c>
      <c r="Y320" s="61">
        <v>349</v>
      </c>
      <c r="Z320" s="61">
        <v>46</v>
      </c>
      <c r="AA320" s="65">
        <v>610</v>
      </c>
      <c r="AB320" s="65">
        <v>299</v>
      </c>
      <c r="AC320" s="66"/>
      <c r="AD320" s="67">
        <f t="shared" si="115"/>
        <v>4.0317161671818303E-3</v>
      </c>
      <c r="AE320" s="67">
        <f t="shared" si="116"/>
        <v>3.830130358822739E-3</v>
      </c>
      <c r="AF320" s="67">
        <f t="shared" si="117"/>
        <v>5.8627872597769113E-3</v>
      </c>
      <c r="AG320" s="67">
        <f t="shared" si="118"/>
        <v>7.7274559870985082E-4</v>
      </c>
      <c r="AH320" s="67">
        <f t="shared" si="119"/>
        <v>1.0247278591587153E-2</v>
      </c>
      <c r="AI320" s="67">
        <f t="shared" si="120"/>
        <v>5.0228463916140303E-3</v>
      </c>
      <c r="AJ320" s="66"/>
      <c r="AK320" s="68">
        <v>204.86</v>
      </c>
      <c r="AL320" s="69">
        <v>183.2999999999999</v>
      </c>
      <c r="AM320" s="69">
        <v>183.2999999999999</v>
      </c>
      <c r="AN320" s="69">
        <v>335.70999999999879</v>
      </c>
      <c r="AO320" s="70">
        <v>52.5</v>
      </c>
      <c r="AP320" s="70">
        <v>370.59</v>
      </c>
      <c r="AQ320" s="66"/>
      <c r="AR320" s="70" t="s">
        <v>780</v>
      </c>
      <c r="AS320" s="66"/>
      <c r="AT320" s="108">
        <v>6371</v>
      </c>
      <c r="AU320" s="109">
        <v>6636.15</v>
      </c>
      <c r="AV320" s="109">
        <v>4542.8</v>
      </c>
      <c r="AW320" s="109">
        <v>16764.900000000001</v>
      </c>
      <c r="AX320" s="110">
        <v>8218.68</v>
      </c>
      <c r="AY320" s="110">
        <v>11704.029999999999</v>
      </c>
    </row>
    <row r="321" spans="1:51" x14ac:dyDescent="0.25">
      <c r="A321" s="8" t="s">
        <v>457</v>
      </c>
      <c r="B321" s="5" t="s">
        <v>458</v>
      </c>
      <c r="C321" s="2">
        <v>1.33</v>
      </c>
      <c r="D321" s="24">
        <v>5000</v>
      </c>
      <c r="E321" s="26">
        <f t="shared" si="112"/>
        <v>2500</v>
      </c>
      <c r="F321" s="26">
        <v>4999</v>
      </c>
      <c r="G321" s="30">
        <f t="shared" si="113"/>
        <v>0.50010002000400078</v>
      </c>
      <c r="H321" s="11"/>
      <c r="I321" s="9">
        <v>1845</v>
      </c>
      <c r="J321" s="3">
        <v>2042</v>
      </c>
      <c r="K321" s="3">
        <v>771</v>
      </c>
      <c r="L321" s="3">
        <v>1080</v>
      </c>
      <c r="M321" s="6">
        <v>992</v>
      </c>
      <c r="N321" s="6">
        <v>1242</v>
      </c>
      <c r="O321" s="13"/>
      <c r="P321" s="60">
        <f>+I321*C321</f>
        <v>2453.85</v>
      </c>
      <c r="Q321" s="61">
        <f>+J321*C321</f>
        <v>2715.86</v>
      </c>
      <c r="R321" s="61">
        <f>+K321*C321</f>
        <v>1025.43</v>
      </c>
      <c r="S321" s="62">
        <f>+L321*C321</f>
        <v>1436.4</v>
      </c>
      <c r="T321" s="63">
        <f>+M321*C321</f>
        <v>1319.3600000000001</v>
      </c>
      <c r="U321" s="63">
        <f t="shared" si="114"/>
        <v>1651.8600000000001</v>
      </c>
      <c r="V321" s="64"/>
      <c r="W321" s="60">
        <v>1480</v>
      </c>
      <c r="X321" s="61">
        <v>1829</v>
      </c>
      <c r="Y321" s="61">
        <v>2833</v>
      </c>
      <c r="Z321" s="61">
        <v>604</v>
      </c>
      <c r="AA321" s="65">
        <v>1441</v>
      </c>
      <c r="AB321" s="65">
        <v>568</v>
      </c>
      <c r="AC321" s="66"/>
      <c r="AD321" s="67">
        <f t="shared" si="115"/>
        <v>0.2960592118423685</v>
      </c>
      <c r="AE321" s="67">
        <f t="shared" si="116"/>
        <v>0.36587317463492697</v>
      </c>
      <c r="AF321" s="67">
        <f t="shared" si="117"/>
        <v>0.56671334266853368</v>
      </c>
      <c r="AG321" s="67">
        <f t="shared" si="118"/>
        <v>0.1208241648329666</v>
      </c>
      <c r="AH321" s="67">
        <f t="shared" si="119"/>
        <v>0.28825765153030608</v>
      </c>
      <c r="AI321" s="67">
        <f t="shared" si="120"/>
        <v>0.11362272454490899</v>
      </c>
      <c r="AJ321" s="66"/>
      <c r="AK321" s="68">
        <v>1561.899999999999</v>
      </c>
      <c r="AL321" s="69">
        <v>2864.5299999999966</v>
      </c>
      <c r="AM321" s="69">
        <v>2864.529999999997</v>
      </c>
      <c r="AN321" s="69">
        <v>4466.6999999999944</v>
      </c>
      <c r="AO321" s="70">
        <v>955.699999999998</v>
      </c>
      <c r="AP321" s="70">
        <v>1026.8900000000001</v>
      </c>
      <c r="AQ321" s="66"/>
      <c r="AR321" s="70" t="s">
        <v>780</v>
      </c>
      <c r="AS321" s="66"/>
      <c r="AT321" s="108">
        <v>22181.329999999994</v>
      </c>
      <c r="AU321" s="109">
        <v>25163.430000000004</v>
      </c>
      <c r="AV321" s="109">
        <v>9254.16</v>
      </c>
      <c r="AW321" s="109">
        <v>12980.12</v>
      </c>
      <c r="AX321" s="110">
        <v>12280.820000000002</v>
      </c>
      <c r="AY321" s="110">
        <v>15040.630000000003</v>
      </c>
    </row>
    <row r="322" spans="1:51" x14ac:dyDescent="0.25">
      <c r="A322" s="8" t="s">
        <v>816</v>
      </c>
      <c r="B322" s="5" t="s">
        <v>859</v>
      </c>
      <c r="C322" s="2">
        <v>1.3081669691470061</v>
      </c>
      <c r="D322" s="24">
        <v>4000</v>
      </c>
      <c r="E322" s="26">
        <f t="shared" si="112"/>
        <v>2000</v>
      </c>
      <c r="F322" s="26">
        <v>7392</v>
      </c>
      <c r="G322" s="30">
        <f t="shared" si="113"/>
        <v>0.27056277056277056</v>
      </c>
      <c r="H322" s="11"/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6">
        <v>1681</v>
      </c>
      <c r="O322" s="13"/>
      <c r="P322" s="60"/>
      <c r="Q322" s="61"/>
      <c r="R322" s="61"/>
      <c r="S322" s="62"/>
      <c r="T322" s="63"/>
      <c r="U322" s="63">
        <f t="shared" si="114"/>
        <v>2199.0286751361173</v>
      </c>
      <c r="V322" s="64"/>
      <c r="W322" s="60"/>
      <c r="X322" s="61"/>
      <c r="Y322" s="61"/>
      <c r="Z322" s="61"/>
      <c r="AA322" s="65"/>
      <c r="AB322" s="65"/>
      <c r="AC322" s="66"/>
      <c r="AD322" s="67">
        <f t="shared" si="115"/>
        <v>0</v>
      </c>
      <c r="AE322" s="67">
        <f t="shared" si="116"/>
        <v>0</v>
      </c>
      <c r="AF322" s="67">
        <f t="shared" si="117"/>
        <v>0</v>
      </c>
      <c r="AG322" s="67">
        <f t="shared" si="118"/>
        <v>0</v>
      </c>
      <c r="AH322" s="67">
        <f t="shared" si="119"/>
        <v>0</v>
      </c>
      <c r="AI322" s="67">
        <f t="shared" si="120"/>
        <v>0</v>
      </c>
      <c r="AJ322" s="66"/>
      <c r="AK322" s="68"/>
      <c r="AL322" s="69"/>
      <c r="AM322" s="69"/>
      <c r="AN322" s="69"/>
      <c r="AO322" s="70"/>
      <c r="AP322" s="70"/>
      <c r="AQ322" s="66"/>
      <c r="AR322" s="70" t="s">
        <v>780</v>
      </c>
      <c r="AS322" s="66"/>
      <c r="AT322" s="108">
        <v>79536.819999999992</v>
      </c>
      <c r="AU322" s="109">
        <v>93643.940000000017</v>
      </c>
      <c r="AV322" s="109">
        <v>65115.17</v>
      </c>
      <c r="AW322" s="109">
        <v>40080.199999999997</v>
      </c>
      <c r="AX322" s="110">
        <v>40575.14</v>
      </c>
      <c r="AY322" s="110">
        <v>47947.35</v>
      </c>
    </row>
    <row r="323" spans="1:51" x14ac:dyDescent="0.25">
      <c r="A323" s="8" t="s">
        <v>737</v>
      </c>
      <c r="B323" s="5" t="s">
        <v>738</v>
      </c>
      <c r="C323" s="2">
        <v>1.3</v>
      </c>
      <c r="D323" s="24">
        <v>1585.8000000000002</v>
      </c>
      <c r="E323" s="26">
        <f t="shared" ref="E323:E386" si="141">D323/2</f>
        <v>792.90000000000009</v>
      </c>
      <c r="F323" s="26">
        <v>7929</v>
      </c>
      <c r="G323" s="30">
        <f t="shared" ref="G323:G386" si="142">+E323/F323</f>
        <v>0.1</v>
      </c>
      <c r="H323" s="11"/>
      <c r="I323" s="9">
        <v>506</v>
      </c>
      <c r="J323" s="3">
        <v>285</v>
      </c>
      <c r="K323" s="3">
        <v>0</v>
      </c>
      <c r="L323" s="3">
        <v>0</v>
      </c>
      <c r="M323" s="6">
        <v>0</v>
      </c>
      <c r="N323" s="6">
        <v>0</v>
      </c>
      <c r="O323" s="13"/>
      <c r="P323" s="60">
        <f t="shared" ref="P323:P356" si="143">+I323*C323</f>
        <v>657.80000000000007</v>
      </c>
      <c r="Q323" s="61">
        <f t="shared" ref="Q323:Q356" si="144">+J323*C323</f>
        <v>370.5</v>
      </c>
      <c r="R323" s="61">
        <f t="shared" ref="R323:R356" si="145">+K323*C323</f>
        <v>0</v>
      </c>
      <c r="S323" s="62">
        <f t="shared" ref="S323:S356" si="146">+L323*C323</f>
        <v>0</v>
      </c>
      <c r="T323" s="63">
        <f t="shared" ref="T323:T356" si="147">+M323*C323</f>
        <v>0</v>
      </c>
      <c r="U323" s="63">
        <f t="shared" si="114"/>
        <v>0</v>
      </c>
      <c r="V323" s="64"/>
      <c r="W323" s="60">
        <v>130</v>
      </c>
      <c r="X323" s="61">
        <v>107</v>
      </c>
      <c r="Y323" s="61">
        <v>182</v>
      </c>
      <c r="Z323" s="61">
        <v>89</v>
      </c>
      <c r="AA323" s="65">
        <v>260</v>
      </c>
      <c r="AB323" s="65">
        <v>842</v>
      </c>
      <c r="AC323" s="66"/>
      <c r="AD323" s="67">
        <f t="shared" si="115"/>
        <v>1.6395510152604365E-2</v>
      </c>
      <c r="AE323" s="67">
        <f t="shared" si="116"/>
        <v>1.3494766048682053E-2</v>
      </c>
      <c r="AF323" s="67">
        <f t="shared" si="117"/>
        <v>2.2953714213646108E-2</v>
      </c>
      <c r="AG323" s="67">
        <f t="shared" si="118"/>
        <v>1.122461848909068E-2</v>
      </c>
      <c r="AH323" s="67">
        <f t="shared" si="119"/>
        <v>3.279102030520873E-2</v>
      </c>
      <c r="AI323" s="67">
        <f t="shared" si="120"/>
        <v>0.1061924580653298</v>
      </c>
      <c r="AJ323" s="66"/>
      <c r="AK323" s="68">
        <v>169.68</v>
      </c>
      <c r="AL323" s="69">
        <v>96.819999999999879</v>
      </c>
      <c r="AM323" s="69">
        <v>96.819999999999879</v>
      </c>
      <c r="AN323" s="69">
        <v>22.009999999999994</v>
      </c>
      <c r="AO323" s="70">
        <v>4.1299999999999901</v>
      </c>
      <c r="AP323" s="70">
        <v>-1256.6099999999899</v>
      </c>
      <c r="AQ323" s="66"/>
      <c r="AR323" s="70" t="s">
        <v>780</v>
      </c>
      <c r="AS323" s="66"/>
      <c r="AT323" s="108">
        <v>6776.2000000000007</v>
      </c>
      <c r="AU323" s="109">
        <v>3830.1899999999996</v>
      </c>
      <c r="AV323" s="109">
        <v>0</v>
      </c>
      <c r="AW323" s="109">
        <v>0</v>
      </c>
      <c r="AX323" s="110">
        <v>0</v>
      </c>
      <c r="AY323" s="110">
        <v>0</v>
      </c>
    </row>
    <row r="324" spans="1:51" x14ac:dyDescent="0.25">
      <c r="A324" s="8">
        <v>5935</v>
      </c>
      <c r="B324" s="5" t="s">
        <v>402</v>
      </c>
      <c r="C324" s="2">
        <v>1.2799999999999994</v>
      </c>
      <c r="D324" s="24">
        <v>1200</v>
      </c>
      <c r="E324" s="26">
        <f t="shared" si="141"/>
        <v>600</v>
      </c>
      <c r="F324" s="26">
        <v>609</v>
      </c>
      <c r="G324" s="30">
        <f t="shared" si="142"/>
        <v>0.98522167487684731</v>
      </c>
      <c r="H324" s="11"/>
      <c r="I324" s="9">
        <v>28</v>
      </c>
      <c r="J324" s="3">
        <v>453</v>
      </c>
      <c r="K324" s="3">
        <v>755</v>
      </c>
      <c r="L324" s="3">
        <v>150</v>
      </c>
      <c r="M324" s="6">
        <v>147</v>
      </c>
      <c r="N324" s="6">
        <v>40</v>
      </c>
      <c r="O324" s="13"/>
      <c r="P324" s="60">
        <f t="shared" si="143"/>
        <v>35.839999999999982</v>
      </c>
      <c r="Q324" s="61">
        <f t="shared" si="144"/>
        <v>579.83999999999969</v>
      </c>
      <c r="R324" s="61">
        <f t="shared" si="145"/>
        <v>966.39999999999952</v>
      </c>
      <c r="S324" s="62">
        <f t="shared" si="146"/>
        <v>191.99999999999991</v>
      </c>
      <c r="T324" s="63">
        <f t="shared" si="147"/>
        <v>188.15999999999991</v>
      </c>
      <c r="U324" s="63">
        <f t="shared" ref="U324:U387" si="148">+N324*C324</f>
        <v>51.199999999999974</v>
      </c>
      <c r="V324" s="64"/>
      <c r="W324" s="60">
        <v>388</v>
      </c>
      <c r="X324" s="61">
        <v>425</v>
      </c>
      <c r="Y324" s="61">
        <v>301</v>
      </c>
      <c r="Z324" s="61">
        <v>438</v>
      </c>
      <c r="AA324" s="65">
        <v>952</v>
      </c>
      <c r="AB324" s="65">
        <v>194</v>
      </c>
      <c r="AC324" s="66"/>
      <c r="AD324" s="67">
        <f t="shared" ref="AD324:AD387" si="149">+IFERROR(W324/F324,"")</f>
        <v>0.63711001642036125</v>
      </c>
      <c r="AE324" s="67">
        <f t="shared" ref="AE324:AE387" si="150">+IFERROR(X324/F324,"")</f>
        <v>0.69786535303776687</v>
      </c>
      <c r="AF324" s="67">
        <f t="shared" ref="AF324:AF387" si="151">+IFERROR(Y324/F324,"")</f>
        <v>0.4942528735632184</v>
      </c>
      <c r="AG324" s="67">
        <f t="shared" ref="AG324:AG387" si="152">+IFERROR(Z324/F324,"")</f>
        <v>0.71921182266009853</v>
      </c>
      <c r="AH324" s="67">
        <f t="shared" ref="AH324:AH387" si="153">+IFERROR(AA324/F324,"")</f>
        <v>1.5632183908045978</v>
      </c>
      <c r="AI324" s="67">
        <f t="shared" ref="AI324:AI387" si="154">+IFERROR(AB324/F324,"")</f>
        <v>0.31855500821018062</v>
      </c>
      <c r="AJ324" s="66"/>
      <c r="AK324" s="68">
        <v>847.37000000000012</v>
      </c>
      <c r="AL324" s="69">
        <v>871.9199999999995</v>
      </c>
      <c r="AM324" s="69">
        <v>871.91999999999939</v>
      </c>
      <c r="AN324" s="69">
        <v>638.15999999999963</v>
      </c>
      <c r="AO324" s="70">
        <v>1246.24999999999</v>
      </c>
      <c r="AP324" s="70">
        <v>224.289999999999</v>
      </c>
      <c r="AQ324" s="66"/>
      <c r="AR324" s="70" t="s">
        <v>779</v>
      </c>
      <c r="AS324" s="66"/>
      <c r="AT324" s="108">
        <v>262.36</v>
      </c>
      <c r="AU324" s="109">
        <v>4115.9400000000005</v>
      </c>
      <c r="AV324" s="109">
        <v>6920.0299999999988</v>
      </c>
      <c r="AW324" s="109">
        <v>1405.5</v>
      </c>
      <c r="AX324" s="110">
        <v>1302.49</v>
      </c>
      <c r="AY324" s="110">
        <v>363.6</v>
      </c>
    </row>
    <row r="325" spans="1:51" x14ac:dyDescent="0.25">
      <c r="A325" s="8" t="s">
        <v>216</v>
      </c>
      <c r="B325" s="5" t="s">
        <v>217</v>
      </c>
      <c r="C325" s="2">
        <v>1.2699999999999996</v>
      </c>
      <c r="D325" s="24">
        <v>4000</v>
      </c>
      <c r="E325" s="26">
        <f t="shared" si="141"/>
        <v>2000</v>
      </c>
      <c r="F325" s="26">
        <v>2890</v>
      </c>
      <c r="G325" s="30">
        <f t="shared" si="142"/>
        <v>0.69204152249134943</v>
      </c>
      <c r="H325" s="11"/>
      <c r="I325" s="9">
        <v>742</v>
      </c>
      <c r="J325" s="3">
        <v>1075</v>
      </c>
      <c r="K325" s="3">
        <v>641</v>
      </c>
      <c r="L325" s="3">
        <v>400</v>
      </c>
      <c r="M325" s="6">
        <v>480</v>
      </c>
      <c r="N325" s="6">
        <v>310</v>
      </c>
      <c r="O325" s="13"/>
      <c r="P325" s="60">
        <f t="shared" si="143"/>
        <v>942.33999999999969</v>
      </c>
      <c r="Q325" s="61">
        <f t="shared" si="144"/>
        <v>1365.2499999999995</v>
      </c>
      <c r="R325" s="61">
        <f t="shared" si="145"/>
        <v>814.06999999999971</v>
      </c>
      <c r="S325" s="62">
        <f t="shared" si="146"/>
        <v>507.99999999999983</v>
      </c>
      <c r="T325" s="63">
        <f t="shared" si="147"/>
        <v>609.5999999999998</v>
      </c>
      <c r="U325" s="63">
        <f t="shared" si="148"/>
        <v>393.69999999999987</v>
      </c>
      <c r="V325" s="64"/>
      <c r="W325" s="60">
        <v>669</v>
      </c>
      <c r="X325" s="61">
        <v>1242</v>
      </c>
      <c r="Y325" s="61">
        <v>489</v>
      </c>
      <c r="Z325" s="61">
        <v>977</v>
      </c>
      <c r="AA325" s="65">
        <v>816</v>
      </c>
      <c r="AB325" s="65">
        <v>479</v>
      </c>
      <c r="AC325" s="66"/>
      <c r="AD325" s="67">
        <f t="shared" si="149"/>
        <v>0.2314878892733564</v>
      </c>
      <c r="AE325" s="67">
        <f t="shared" si="150"/>
        <v>0.42975778546712801</v>
      </c>
      <c r="AF325" s="67">
        <f t="shared" si="151"/>
        <v>0.16920415224913496</v>
      </c>
      <c r="AG325" s="67">
        <f t="shared" si="152"/>
        <v>0.33806228373702424</v>
      </c>
      <c r="AH325" s="67">
        <f t="shared" si="153"/>
        <v>0.28235294117647058</v>
      </c>
      <c r="AI325" s="67">
        <f t="shared" si="154"/>
        <v>0.16574394463667821</v>
      </c>
      <c r="AJ325" s="66"/>
      <c r="AK325" s="68">
        <v>267.21999999999991</v>
      </c>
      <c r="AL325" s="69">
        <v>595.99999999999955</v>
      </c>
      <c r="AM325" s="69">
        <v>595.99999999999966</v>
      </c>
      <c r="AN325" s="69">
        <v>453.26999999999936</v>
      </c>
      <c r="AO325" s="70">
        <v>844.78999999999905</v>
      </c>
      <c r="AP325" s="70">
        <v>423.95</v>
      </c>
      <c r="AQ325" s="66"/>
      <c r="AR325" s="70" t="s">
        <v>779</v>
      </c>
      <c r="AS325" s="66"/>
      <c r="AT325" s="108">
        <v>2641.84</v>
      </c>
      <c r="AU325" s="109">
        <v>3820.5</v>
      </c>
      <c r="AV325" s="109">
        <v>2117.86</v>
      </c>
      <c r="AW325" s="109">
        <v>1301</v>
      </c>
      <c r="AX325" s="110">
        <v>1608</v>
      </c>
      <c r="AY325" s="110">
        <v>991.6</v>
      </c>
    </row>
    <row r="326" spans="1:51" x14ac:dyDescent="0.25">
      <c r="A326" s="8" t="s">
        <v>609</v>
      </c>
      <c r="B326" s="5" t="s">
        <v>610</v>
      </c>
      <c r="C326" s="2">
        <v>1.2699999999999996</v>
      </c>
      <c r="D326" s="24">
        <v>10000</v>
      </c>
      <c r="E326" s="26">
        <f t="shared" si="141"/>
        <v>5000</v>
      </c>
      <c r="F326" s="26">
        <v>61454</v>
      </c>
      <c r="G326" s="30">
        <f t="shared" si="142"/>
        <v>8.1361668890552283E-2</v>
      </c>
      <c r="H326" s="11"/>
      <c r="I326" s="9">
        <v>182</v>
      </c>
      <c r="J326" s="3">
        <v>175</v>
      </c>
      <c r="K326" s="3">
        <v>309</v>
      </c>
      <c r="L326" s="3">
        <v>0</v>
      </c>
      <c r="M326" s="6"/>
      <c r="N326" s="6">
        <v>0</v>
      </c>
      <c r="O326" s="13"/>
      <c r="P326" s="60">
        <f t="shared" si="143"/>
        <v>231.13999999999993</v>
      </c>
      <c r="Q326" s="61">
        <f t="shared" si="144"/>
        <v>222.24999999999991</v>
      </c>
      <c r="R326" s="61">
        <f t="shared" si="145"/>
        <v>392.42999999999989</v>
      </c>
      <c r="S326" s="62">
        <f t="shared" si="146"/>
        <v>0</v>
      </c>
      <c r="T326" s="63">
        <f t="shared" si="147"/>
        <v>0</v>
      </c>
      <c r="U326" s="63">
        <f t="shared" si="148"/>
        <v>0</v>
      </c>
      <c r="V326" s="64"/>
      <c r="W326" s="60">
        <v>0</v>
      </c>
      <c r="X326" s="61">
        <v>178</v>
      </c>
      <c r="Y326" s="61">
        <v>173</v>
      </c>
      <c r="Z326" s="61">
        <v>307</v>
      </c>
      <c r="AA326" s="65">
        <v>0</v>
      </c>
      <c r="AB326" s="65">
        <v>97</v>
      </c>
      <c r="AC326" s="66"/>
      <c r="AD326" s="67">
        <f t="shared" si="149"/>
        <v>0</v>
      </c>
      <c r="AE326" s="67">
        <f t="shared" si="150"/>
        <v>2.8964754125036614E-3</v>
      </c>
      <c r="AF326" s="67">
        <f t="shared" si="151"/>
        <v>2.8151137436131092E-3</v>
      </c>
      <c r="AG326" s="67">
        <f t="shared" si="152"/>
        <v>4.9956064698799098E-3</v>
      </c>
      <c r="AH326" s="67">
        <f t="shared" si="153"/>
        <v>0</v>
      </c>
      <c r="AI326" s="67">
        <f t="shared" si="154"/>
        <v>1.5784163764767142E-3</v>
      </c>
      <c r="AJ326" s="66"/>
      <c r="AK326" s="68">
        <v>0</v>
      </c>
      <c r="AL326" s="69">
        <v>215.53999999999971</v>
      </c>
      <c r="AM326" s="69">
        <v>215.53999999999971</v>
      </c>
      <c r="AN326" s="69">
        <v>285.84999999999991</v>
      </c>
      <c r="AO326" s="70">
        <v>528.35</v>
      </c>
      <c r="AP326" s="70">
        <v>90.65</v>
      </c>
      <c r="AQ326" s="66"/>
      <c r="AR326" s="70" t="s">
        <v>780</v>
      </c>
      <c r="AS326" s="66"/>
      <c r="AT326" s="108">
        <v>4748.7999999999993</v>
      </c>
      <c r="AU326" s="109">
        <v>4567.5</v>
      </c>
      <c r="AV326" s="109">
        <v>7910.4</v>
      </c>
      <c r="AW326" s="109">
        <v>0</v>
      </c>
      <c r="AX326" s="110">
        <v>0</v>
      </c>
      <c r="AY326" s="110">
        <v>0</v>
      </c>
    </row>
    <row r="327" spans="1:51" x14ac:dyDescent="0.25">
      <c r="A327" s="8">
        <v>5089</v>
      </c>
      <c r="B327" s="5" t="s">
        <v>633</v>
      </c>
      <c r="C327" s="2">
        <v>1.2600000000000016</v>
      </c>
      <c r="D327" s="24">
        <v>15000</v>
      </c>
      <c r="E327" s="26">
        <f t="shared" si="141"/>
        <v>7500</v>
      </c>
      <c r="F327" s="26">
        <v>116948</v>
      </c>
      <c r="G327" s="30">
        <f t="shared" si="142"/>
        <v>6.4131066798919181E-2</v>
      </c>
      <c r="H327" s="11"/>
      <c r="I327" s="9">
        <v>355</v>
      </c>
      <c r="J327" s="3">
        <v>1054</v>
      </c>
      <c r="K327" s="3">
        <v>970</v>
      </c>
      <c r="L327" s="3">
        <v>998</v>
      </c>
      <c r="M327" s="6">
        <v>1379</v>
      </c>
      <c r="N327" s="6">
        <v>1342</v>
      </c>
      <c r="O327" s="13"/>
      <c r="P327" s="60">
        <f t="shared" si="143"/>
        <v>447.30000000000058</v>
      </c>
      <c r="Q327" s="61">
        <f t="shared" si="144"/>
        <v>1328.0400000000016</v>
      </c>
      <c r="R327" s="61">
        <f t="shared" si="145"/>
        <v>1222.2000000000014</v>
      </c>
      <c r="S327" s="62">
        <f t="shared" si="146"/>
        <v>1257.4800000000016</v>
      </c>
      <c r="T327" s="63">
        <f t="shared" si="147"/>
        <v>1737.5400000000022</v>
      </c>
      <c r="U327" s="63">
        <f t="shared" si="148"/>
        <v>1690.9200000000021</v>
      </c>
      <c r="V327" s="64"/>
      <c r="W327" s="60">
        <v>681</v>
      </c>
      <c r="X327" s="61">
        <v>1323</v>
      </c>
      <c r="Y327" s="61">
        <v>233</v>
      </c>
      <c r="Z327" s="61">
        <v>0</v>
      </c>
      <c r="AA327" s="65">
        <v>1831</v>
      </c>
      <c r="AB327" s="65">
        <v>1746</v>
      </c>
      <c r="AC327" s="66"/>
      <c r="AD327" s="67">
        <f t="shared" si="149"/>
        <v>5.823100865341861E-3</v>
      </c>
      <c r="AE327" s="67">
        <f t="shared" si="150"/>
        <v>1.1312720183329343E-2</v>
      </c>
      <c r="AF327" s="67">
        <f t="shared" si="151"/>
        <v>1.9923384752197557E-3</v>
      </c>
      <c r="AG327" s="67">
        <f t="shared" si="152"/>
        <v>0</v>
      </c>
      <c r="AH327" s="67">
        <f t="shared" si="153"/>
        <v>1.5656531107842802E-2</v>
      </c>
      <c r="AI327" s="67">
        <f t="shared" si="154"/>
        <v>1.4929712350788384E-2</v>
      </c>
      <c r="AJ327" s="66"/>
      <c r="AK327" s="68">
        <v>577.67999999999984</v>
      </c>
      <c r="AL327" s="69">
        <v>739.34999999999991</v>
      </c>
      <c r="AM327" s="69">
        <v>739.34999999999991</v>
      </c>
      <c r="AN327" s="69">
        <v>142.61000000000001</v>
      </c>
      <c r="AO327" s="70">
        <v>2307.0600000000027</v>
      </c>
      <c r="AP327" s="70">
        <v>1268.3599999999999</v>
      </c>
      <c r="AQ327" s="66"/>
      <c r="AR327" s="70" t="s">
        <v>780</v>
      </c>
      <c r="AS327" s="66"/>
      <c r="AT327" s="108">
        <v>11062.27</v>
      </c>
      <c r="AU327" s="109">
        <v>33267.61</v>
      </c>
      <c r="AV327" s="109">
        <v>30188.050000000003</v>
      </c>
      <c r="AW327" s="109">
        <v>31300.920000000002</v>
      </c>
      <c r="AX327" s="110">
        <v>43880.97</v>
      </c>
      <c r="AY327" s="110">
        <v>42052.579999999994</v>
      </c>
    </row>
    <row r="328" spans="1:51" x14ac:dyDescent="0.25">
      <c r="A328" s="8">
        <v>5724</v>
      </c>
      <c r="B328" s="5" t="s">
        <v>582</v>
      </c>
      <c r="C328" s="2">
        <v>1.2600000000000016</v>
      </c>
      <c r="D328" s="24">
        <v>3000</v>
      </c>
      <c r="E328" s="26">
        <f t="shared" si="141"/>
        <v>1500</v>
      </c>
      <c r="F328" s="26">
        <v>5540</v>
      </c>
      <c r="G328" s="30">
        <f t="shared" si="142"/>
        <v>0.27075812274368233</v>
      </c>
      <c r="H328" s="11"/>
      <c r="I328" s="9">
        <v>0</v>
      </c>
      <c r="J328" s="3">
        <v>0</v>
      </c>
      <c r="K328" s="3">
        <v>1600</v>
      </c>
      <c r="L328" s="3">
        <v>1300</v>
      </c>
      <c r="M328" s="6">
        <v>1541</v>
      </c>
      <c r="N328" s="6">
        <v>1000</v>
      </c>
      <c r="O328" s="13"/>
      <c r="P328" s="60">
        <f t="shared" si="143"/>
        <v>0</v>
      </c>
      <c r="Q328" s="61">
        <f t="shared" si="144"/>
        <v>0</v>
      </c>
      <c r="R328" s="61">
        <f t="shared" si="145"/>
        <v>2016.0000000000025</v>
      </c>
      <c r="S328" s="62">
        <f t="shared" si="146"/>
        <v>1638.000000000002</v>
      </c>
      <c r="T328" s="63">
        <f t="shared" si="147"/>
        <v>1941.6600000000024</v>
      </c>
      <c r="U328" s="63">
        <f t="shared" si="148"/>
        <v>1260.0000000000016</v>
      </c>
      <c r="V328" s="64"/>
      <c r="W328" s="60">
        <v>2374</v>
      </c>
      <c r="X328" s="61">
        <v>2076</v>
      </c>
      <c r="Y328" s="61">
        <v>1038</v>
      </c>
      <c r="Z328" s="61">
        <v>1341</v>
      </c>
      <c r="AA328" s="65">
        <v>1089</v>
      </c>
      <c r="AB328" s="65">
        <v>1791</v>
      </c>
      <c r="AC328" s="66"/>
      <c r="AD328" s="67">
        <f t="shared" si="149"/>
        <v>0.42851985559566785</v>
      </c>
      <c r="AE328" s="67">
        <f t="shared" si="150"/>
        <v>0.37472924187725631</v>
      </c>
      <c r="AF328" s="67">
        <f t="shared" si="151"/>
        <v>0.18736462093862816</v>
      </c>
      <c r="AG328" s="67">
        <f t="shared" si="152"/>
        <v>0.24205776173285198</v>
      </c>
      <c r="AH328" s="67">
        <f t="shared" si="153"/>
        <v>0.19657039711191335</v>
      </c>
      <c r="AI328" s="67">
        <f t="shared" si="154"/>
        <v>0.32328519855595667</v>
      </c>
      <c r="AJ328" s="66"/>
      <c r="AK328" s="68">
        <v>6545.8700000000081</v>
      </c>
      <c r="AL328" s="69">
        <v>5284.2399999999943</v>
      </c>
      <c r="AM328" s="69">
        <v>5284.2399999999943</v>
      </c>
      <c r="AN328" s="69">
        <v>2948.0599999999959</v>
      </c>
      <c r="AO328" s="70">
        <v>2728.95999999999</v>
      </c>
      <c r="AP328" s="70">
        <v>2621.4100000000199</v>
      </c>
      <c r="AQ328" s="66"/>
      <c r="AR328" s="70" t="s">
        <v>780</v>
      </c>
      <c r="AS328" s="66"/>
      <c r="AT328" s="108">
        <v>0</v>
      </c>
      <c r="AU328" s="109">
        <v>0</v>
      </c>
      <c r="AV328" s="109">
        <v>35380</v>
      </c>
      <c r="AW328" s="109">
        <v>28642</v>
      </c>
      <c r="AX328" s="110">
        <v>33389.840000000004</v>
      </c>
      <c r="AY328" s="110">
        <v>21740</v>
      </c>
    </row>
    <row r="329" spans="1:51" x14ac:dyDescent="0.25">
      <c r="A329" s="8" t="s">
        <v>552</v>
      </c>
      <c r="B329" s="5" t="s">
        <v>553</v>
      </c>
      <c r="C329" s="2">
        <v>1.25</v>
      </c>
      <c r="D329" s="24">
        <v>2000</v>
      </c>
      <c r="E329" s="26">
        <f t="shared" si="141"/>
        <v>1000</v>
      </c>
      <c r="F329" s="26">
        <v>14596</v>
      </c>
      <c r="G329" s="30">
        <f t="shared" si="142"/>
        <v>6.8511921074266929E-2</v>
      </c>
      <c r="H329" s="11"/>
      <c r="I329" s="9">
        <v>349</v>
      </c>
      <c r="J329" s="3">
        <v>134</v>
      </c>
      <c r="K329" s="3">
        <v>256</v>
      </c>
      <c r="L329" s="3">
        <v>0</v>
      </c>
      <c r="M329" s="6">
        <v>50</v>
      </c>
      <c r="N329" s="6">
        <v>0</v>
      </c>
      <c r="O329" s="13"/>
      <c r="P329" s="60">
        <f t="shared" si="143"/>
        <v>436.25</v>
      </c>
      <c r="Q329" s="61">
        <f t="shared" si="144"/>
        <v>167.5</v>
      </c>
      <c r="R329" s="61">
        <f t="shared" si="145"/>
        <v>320</v>
      </c>
      <c r="S329" s="62">
        <f t="shared" si="146"/>
        <v>0</v>
      </c>
      <c r="T329" s="63">
        <f t="shared" si="147"/>
        <v>62.5</v>
      </c>
      <c r="U329" s="63">
        <f t="shared" si="148"/>
        <v>0</v>
      </c>
      <c r="V329" s="64"/>
      <c r="W329" s="60">
        <v>176</v>
      </c>
      <c r="X329" s="61">
        <v>125</v>
      </c>
      <c r="Y329" s="61">
        <v>73</v>
      </c>
      <c r="Z329" s="61">
        <v>566</v>
      </c>
      <c r="AA329" s="65">
        <v>267</v>
      </c>
      <c r="AB329" s="65">
        <v>12</v>
      </c>
      <c r="AC329" s="66"/>
      <c r="AD329" s="67">
        <f t="shared" si="149"/>
        <v>1.2058098109070978E-2</v>
      </c>
      <c r="AE329" s="67">
        <f t="shared" si="150"/>
        <v>8.5639901342833662E-3</v>
      </c>
      <c r="AF329" s="67">
        <f t="shared" si="151"/>
        <v>5.0013702384214855E-3</v>
      </c>
      <c r="AG329" s="67">
        <f t="shared" si="152"/>
        <v>3.877774732803508E-2</v>
      </c>
      <c r="AH329" s="67">
        <f t="shared" si="153"/>
        <v>1.8292682926829267E-2</v>
      </c>
      <c r="AI329" s="67">
        <f t="shared" si="154"/>
        <v>8.2214305289120303E-4</v>
      </c>
      <c r="AJ329" s="66"/>
      <c r="AK329" s="68">
        <v>147.36000000000001</v>
      </c>
      <c r="AL329" s="69">
        <v>166.74999999999974</v>
      </c>
      <c r="AM329" s="69">
        <v>166.74999999999977</v>
      </c>
      <c r="AN329" s="69">
        <v>120.31999999999977</v>
      </c>
      <c r="AO329" s="70">
        <v>481.63</v>
      </c>
      <c r="AP329" s="70">
        <v>15</v>
      </c>
      <c r="AQ329" s="66"/>
      <c r="AR329" s="70" t="s">
        <v>780</v>
      </c>
      <c r="AS329" s="66"/>
      <c r="AT329" s="108">
        <v>6377.1</v>
      </c>
      <c r="AU329" s="109">
        <v>2452.1999999999998</v>
      </c>
      <c r="AV329" s="109">
        <v>4684.8</v>
      </c>
      <c r="AW329" s="109">
        <v>0</v>
      </c>
      <c r="AX329" s="110">
        <v>925</v>
      </c>
      <c r="AY329" s="110">
        <v>0</v>
      </c>
    </row>
    <row r="330" spans="1:51" x14ac:dyDescent="0.25">
      <c r="A330" s="8">
        <v>2102</v>
      </c>
      <c r="B330" s="5" t="s">
        <v>475</v>
      </c>
      <c r="C330" s="2">
        <v>1.25</v>
      </c>
      <c r="D330" s="24">
        <v>7000</v>
      </c>
      <c r="E330" s="26">
        <f t="shared" si="141"/>
        <v>3500</v>
      </c>
      <c r="F330" s="26">
        <v>6564</v>
      </c>
      <c r="G330" s="30">
        <f t="shared" si="142"/>
        <v>0.53321145642900669</v>
      </c>
      <c r="H330" s="11"/>
      <c r="I330" s="9">
        <v>2515</v>
      </c>
      <c r="J330" s="3">
        <v>2544</v>
      </c>
      <c r="K330" s="3">
        <v>0</v>
      </c>
      <c r="L330" s="3">
        <v>0</v>
      </c>
      <c r="M330" s="6"/>
      <c r="N330" s="6">
        <v>0</v>
      </c>
      <c r="O330" s="13"/>
      <c r="P330" s="60">
        <f t="shared" si="143"/>
        <v>3143.75</v>
      </c>
      <c r="Q330" s="61">
        <f t="shared" si="144"/>
        <v>3180</v>
      </c>
      <c r="R330" s="61">
        <f t="shared" si="145"/>
        <v>0</v>
      </c>
      <c r="S330" s="62">
        <f t="shared" si="146"/>
        <v>0</v>
      </c>
      <c r="T330" s="63">
        <f t="shared" si="147"/>
        <v>0</v>
      </c>
      <c r="U330" s="63">
        <f t="shared" si="148"/>
        <v>0</v>
      </c>
      <c r="V330" s="64"/>
      <c r="W330" s="60">
        <v>2</v>
      </c>
      <c r="X330" s="61">
        <v>0</v>
      </c>
      <c r="Y330" s="61">
        <v>-2</v>
      </c>
      <c r="Z330" s="61">
        <v>1930</v>
      </c>
      <c r="AA330" s="65">
        <v>1918</v>
      </c>
      <c r="AB330" s="65">
        <v>2803</v>
      </c>
      <c r="AC330" s="66"/>
      <c r="AD330" s="67">
        <f t="shared" si="149"/>
        <v>3.0469226081657528E-4</v>
      </c>
      <c r="AE330" s="67">
        <f t="shared" si="150"/>
        <v>0</v>
      </c>
      <c r="AF330" s="67">
        <f t="shared" si="151"/>
        <v>-3.0469226081657528E-4</v>
      </c>
      <c r="AG330" s="67">
        <f t="shared" si="152"/>
        <v>0.29402803168799513</v>
      </c>
      <c r="AH330" s="67">
        <f t="shared" si="153"/>
        <v>0.29219987812309567</v>
      </c>
      <c r="AI330" s="67">
        <f t="shared" si="154"/>
        <v>0.42702620353443022</v>
      </c>
      <c r="AJ330" s="66"/>
      <c r="AK330" s="68">
        <v>2.04</v>
      </c>
      <c r="AL330" s="69">
        <v>0</v>
      </c>
      <c r="AM330" s="69">
        <v>0</v>
      </c>
      <c r="AN330" s="69">
        <v>2412.5</v>
      </c>
      <c r="AO330" s="70">
        <v>3232.1999999999898</v>
      </c>
      <c r="AP330" s="70">
        <v>3771.6299999999301</v>
      </c>
      <c r="AQ330" s="66"/>
      <c r="AR330" s="70" t="s">
        <v>780</v>
      </c>
      <c r="AS330" s="66"/>
      <c r="AT330" s="108">
        <v>32307.14</v>
      </c>
      <c r="AU330" s="109">
        <v>33049.449999999997</v>
      </c>
      <c r="AV330" s="109">
        <v>0</v>
      </c>
      <c r="AW330" s="109">
        <v>0</v>
      </c>
      <c r="AX330" s="110">
        <v>0</v>
      </c>
      <c r="AY330" s="110">
        <v>0</v>
      </c>
    </row>
    <row r="331" spans="1:51" x14ac:dyDescent="0.25">
      <c r="A331" s="8" t="s">
        <v>355</v>
      </c>
      <c r="B331" s="5" t="s">
        <v>356</v>
      </c>
      <c r="C331" s="2">
        <v>1.2499999999999991</v>
      </c>
      <c r="D331" s="24">
        <v>2000</v>
      </c>
      <c r="E331" s="26">
        <f t="shared" si="141"/>
        <v>1000</v>
      </c>
      <c r="F331" s="26">
        <v>3841</v>
      </c>
      <c r="G331" s="30">
        <f t="shared" si="142"/>
        <v>0.26034886748242647</v>
      </c>
      <c r="H331" s="11"/>
      <c r="I331" s="9">
        <v>500</v>
      </c>
      <c r="J331" s="3">
        <v>0</v>
      </c>
      <c r="K331" s="3">
        <v>200</v>
      </c>
      <c r="L331" s="3">
        <v>100</v>
      </c>
      <c r="M331" s="6">
        <v>440</v>
      </c>
      <c r="N331" s="6">
        <v>690</v>
      </c>
      <c r="O331" s="13"/>
      <c r="P331" s="60">
        <f t="shared" si="143"/>
        <v>624.99999999999955</v>
      </c>
      <c r="Q331" s="61">
        <f t="shared" si="144"/>
        <v>0</v>
      </c>
      <c r="R331" s="61">
        <f t="shared" si="145"/>
        <v>249.99999999999983</v>
      </c>
      <c r="S331" s="62">
        <f t="shared" si="146"/>
        <v>124.99999999999991</v>
      </c>
      <c r="T331" s="63">
        <f t="shared" si="147"/>
        <v>549.99999999999966</v>
      </c>
      <c r="U331" s="63">
        <f t="shared" si="148"/>
        <v>862.49999999999943</v>
      </c>
      <c r="V331" s="64"/>
      <c r="W331" s="60">
        <v>1735</v>
      </c>
      <c r="X331" s="61">
        <v>1257</v>
      </c>
      <c r="Y331" s="61">
        <v>1867</v>
      </c>
      <c r="Z331" s="61">
        <v>2121</v>
      </c>
      <c r="AA331" s="65">
        <v>1624</v>
      </c>
      <c r="AB331" s="65">
        <v>1475</v>
      </c>
      <c r="AC331" s="66"/>
      <c r="AD331" s="67">
        <f t="shared" si="149"/>
        <v>0.45170528508200991</v>
      </c>
      <c r="AE331" s="67">
        <f t="shared" si="150"/>
        <v>0.32725852642541003</v>
      </c>
      <c r="AF331" s="67">
        <f t="shared" si="151"/>
        <v>0.48607133558969018</v>
      </c>
      <c r="AG331" s="67">
        <f t="shared" si="152"/>
        <v>0.55219994793022653</v>
      </c>
      <c r="AH331" s="67">
        <f t="shared" si="153"/>
        <v>0.42280656079146056</v>
      </c>
      <c r="AI331" s="67">
        <f t="shared" si="154"/>
        <v>0.38401457953657903</v>
      </c>
      <c r="AJ331" s="66"/>
      <c r="AK331" s="68">
        <v>637.50999999999988</v>
      </c>
      <c r="AL331" s="69">
        <v>477.04999999999939</v>
      </c>
      <c r="AM331" s="69">
        <v>477.04999999999927</v>
      </c>
      <c r="AN331" s="69">
        <v>365.2999999999987</v>
      </c>
      <c r="AO331" s="70">
        <v>324.759999999998</v>
      </c>
      <c r="AP331" s="70">
        <v>574.83000000000004</v>
      </c>
      <c r="AQ331" s="66"/>
      <c r="AR331" s="70" t="s">
        <v>779</v>
      </c>
      <c r="AS331" s="66"/>
      <c r="AT331" s="108">
        <v>3365</v>
      </c>
      <c r="AU331" s="109">
        <v>0</v>
      </c>
      <c r="AV331" s="109">
        <v>1243</v>
      </c>
      <c r="AW331" s="109">
        <v>619</v>
      </c>
      <c r="AX331" s="110">
        <v>2718.6</v>
      </c>
      <c r="AY331" s="110">
        <v>4252.3500000000004</v>
      </c>
    </row>
    <row r="332" spans="1:51" x14ac:dyDescent="0.25">
      <c r="A332" s="8">
        <v>5490</v>
      </c>
      <c r="B332" s="5" t="s">
        <v>588</v>
      </c>
      <c r="C332" s="2">
        <v>1.240000000000002</v>
      </c>
      <c r="D332" s="24">
        <v>3000</v>
      </c>
      <c r="E332" s="26">
        <f t="shared" si="141"/>
        <v>1500</v>
      </c>
      <c r="F332" s="26">
        <v>7585</v>
      </c>
      <c r="G332" s="30">
        <f t="shared" si="142"/>
        <v>0.19775873434410018</v>
      </c>
      <c r="H332" s="11"/>
      <c r="I332" s="9">
        <v>911</v>
      </c>
      <c r="J332" s="3">
        <v>1007</v>
      </c>
      <c r="K332" s="3">
        <v>1110</v>
      </c>
      <c r="L332" s="3">
        <v>2093</v>
      </c>
      <c r="M332" s="6">
        <v>1766</v>
      </c>
      <c r="N332" s="6">
        <v>3374</v>
      </c>
      <c r="O332" s="13"/>
      <c r="P332" s="60">
        <f t="shared" si="143"/>
        <v>1129.6400000000019</v>
      </c>
      <c r="Q332" s="61">
        <f t="shared" si="144"/>
        <v>1248.6800000000021</v>
      </c>
      <c r="R332" s="61">
        <f t="shared" si="145"/>
        <v>1376.4000000000021</v>
      </c>
      <c r="S332" s="62">
        <f t="shared" si="146"/>
        <v>2595.3200000000043</v>
      </c>
      <c r="T332" s="63">
        <f t="shared" si="147"/>
        <v>2189.8400000000033</v>
      </c>
      <c r="U332" s="63">
        <f t="shared" si="148"/>
        <v>4183.7600000000066</v>
      </c>
      <c r="V332" s="64"/>
      <c r="W332" s="60">
        <v>511</v>
      </c>
      <c r="X332" s="61">
        <v>701</v>
      </c>
      <c r="Y332" s="61">
        <v>743</v>
      </c>
      <c r="Z332" s="61">
        <v>491</v>
      </c>
      <c r="AA332" s="65">
        <v>863</v>
      </c>
      <c r="AB332" s="65">
        <v>814</v>
      </c>
      <c r="AC332" s="66"/>
      <c r="AD332" s="67">
        <f t="shared" si="149"/>
        <v>6.7369808833223466E-2</v>
      </c>
      <c r="AE332" s="67">
        <f t="shared" si="150"/>
        <v>9.2419248516809493E-2</v>
      </c>
      <c r="AF332" s="67">
        <f t="shared" si="151"/>
        <v>9.7956493078444298E-2</v>
      </c>
      <c r="AG332" s="67">
        <f t="shared" si="152"/>
        <v>6.4733025708635469E-2</v>
      </c>
      <c r="AH332" s="67">
        <f t="shared" si="153"/>
        <v>0.11377719182597232</v>
      </c>
      <c r="AI332" s="67">
        <f t="shared" si="154"/>
        <v>0.10731707317073171</v>
      </c>
      <c r="AJ332" s="66"/>
      <c r="AK332" s="68">
        <v>830.64000000000033</v>
      </c>
      <c r="AL332" s="69">
        <v>1196.3499999999972</v>
      </c>
      <c r="AM332" s="69">
        <v>1196.349999999997</v>
      </c>
      <c r="AN332" s="69">
        <v>1521.0899999999956</v>
      </c>
      <c r="AO332" s="70">
        <v>1032.28999999999</v>
      </c>
      <c r="AP332" s="70">
        <v>263.11</v>
      </c>
      <c r="AQ332" s="66"/>
      <c r="AR332" s="70" t="s">
        <v>780</v>
      </c>
      <c r="AS332" s="66"/>
      <c r="AT332" s="108">
        <v>20103.77</v>
      </c>
      <c r="AU332" s="109">
        <v>21719.649999999998</v>
      </c>
      <c r="AV332" s="109">
        <v>25247.249999999996</v>
      </c>
      <c r="AW332" s="109">
        <v>48153.31</v>
      </c>
      <c r="AX332" s="110">
        <v>38682.44</v>
      </c>
      <c r="AY332" s="110">
        <v>51873.169999999991</v>
      </c>
    </row>
    <row r="333" spans="1:51" x14ac:dyDescent="0.25">
      <c r="A333" s="8" t="s">
        <v>466</v>
      </c>
      <c r="B333" s="5" t="s">
        <v>467</v>
      </c>
      <c r="C333" s="2">
        <v>1.2400000000000002</v>
      </c>
      <c r="D333" s="24">
        <v>6000</v>
      </c>
      <c r="E333" s="26">
        <f t="shared" si="141"/>
        <v>3000</v>
      </c>
      <c r="F333" s="26">
        <v>14976</v>
      </c>
      <c r="G333" s="30">
        <f t="shared" si="142"/>
        <v>0.20032051282051283</v>
      </c>
      <c r="H333" s="11"/>
      <c r="I333" s="9">
        <v>1360</v>
      </c>
      <c r="J333" s="3">
        <v>1406</v>
      </c>
      <c r="K333" s="3">
        <v>400</v>
      </c>
      <c r="L333" s="3">
        <v>338</v>
      </c>
      <c r="M333" s="6"/>
      <c r="N333" s="6">
        <v>0</v>
      </c>
      <c r="O333" s="13"/>
      <c r="P333" s="60">
        <f t="shared" si="143"/>
        <v>1686.4000000000003</v>
      </c>
      <c r="Q333" s="61">
        <f t="shared" si="144"/>
        <v>1743.4400000000003</v>
      </c>
      <c r="R333" s="61">
        <f t="shared" si="145"/>
        <v>496.00000000000011</v>
      </c>
      <c r="S333" s="62">
        <f t="shared" si="146"/>
        <v>419.12000000000006</v>
      </c>
      <c r="T333" s="63">
        <f t="shared" si="147"/>
        <v>0</v>
      </c>
      <c r="U333" s="63">
        <f t="shared" si="148"/>
        <v>0</v>
      </c>
      <c r="V333" s="64"/>
      <c r="W333" s="60">
        <v>1589</v>
      </c>
      <c r="X333" s="61">
        <v>631</v>
      </c>
      <c r="Y333" s="61">
        <v>876</v>
      </c>
      <c r="Z333" s="61">
        <v>2218</v>
      </c>
      <c r="AA333" s="65">
        <v>360</v>
      </c>
      <c r="AB333" s="65">
        <v>38</v>
      </c>
      <c r="AC333" s="66"/>
      <c r="AD333" s="67">
        <f t="shared" si="149"/>
        <v>0.10610309829059829</v>
      </c>
      <c r="AE333" s="67">
        <f t="shared" si="150"/>
        <v>4.21340811965812E-2</v>
      </c>
      <c r="AF333" s="67">
        <f t="shared" si="151"/>
        <v>5.8493589743589744E-2</v>
      </c>
      <c r="AG333" s="67">
        <f t="shared" si="152"/>
        <v>0.14810363247863248</v>
      </c>
      <c r="AH333" s="67">
        <f t="shared" si="153"/>
        <v>2.403846153846154E-2</v>
      </c>
      <c r="AI333" s="67">
        <f t="shared" si="154"/>
        <v>2.5373931623931625E-3</v>
      </c>
      <c r="AJ333" s="66"/>
      <c r="AK333" s="68">
        <v>473.67000000000007</v>
      </c>
      <c r="AL333" s="69">
        <v>709.66</v>
      </c>
      <c r="AM333" s="69">
        <v>709.65999999999985</v>
      </c>
      <c r="AN333" s="69">
        <v>1101.9499999999955</v>
      </c>
      <c r="AO333" s="70">
        <v>952.75000000001103</v>
      </c>
      <c r="AP333" s="70">
        <v>26.58</v>
      </c>
      <c r="AQ333" s="66"/>
      <c r="AR333" s="70" t="s">
        <v>780</v>
      </c>
      <c r="AS333" s="66"/>
      <c r="AT333" s="108">
        <v>17124</v>
      </c>
      <c r="AU333" s="109">
        <v>18363.769999999997</v>
      </c>
      <c r="AV333" s="109">
        <v>5074</v>
      </c>
      <c r="AW333" s="109">
        <v>4166.6899999999996</v>
      </c>
      <c r="AX333" s="110">
        <v>0</v>
      </c>
      <c r="AY333" s="110">
        <v>0</v>
      </c>
    </row>
    <row r="334" spans="1:51" x14ac:dyDescent="0.25">
      <c r="A334" s="8" t="s">
        <v>112</v>
      </c>
      <c r="B334" s="5" t="s">
        <v>113</v>
      </c>
      <c r="C334" s="2">
        <v>1.2400000000000002</v>
      </c>
      <c r="D334" s="24">
        <v>200</v>
      </c>
      <c r="E334" s="26">
        <f t="shared" si="141"/>
        <v>100</v>
      </c>
      <c r="F334" s="26">
        <v>396</v>
      </c>
      <c r="G334" s="30">
        <f t="shared" si="142"/>
        <v>0.25252525252525254</v>
      </c>
      <c r="H334" s="11"/>
      <c r="I334" s="9">
        <v>0</v>
      </c>
      <c r="J334" s="3">
        <v>0</v>
      </c>
      <c r="K334" s="3">
        <v>0</v>
      </c>
      <c r="L334" s="3">
        <v>0</v>
      </c>
      <c r="M334" s="6">
        <v>200</v>
      </c>
      <c r="N334" s="6">
        <v>200</v>
      </c>
      <c r="O334" s="13"/>
      <c r="P334" s="60">
        <f t="shared" si="143"/>
        <v>0</v>
      </c>
      <c r="Q334" s="61">
        <f t="shared" si="144"/>
        <v>0</v>
      </c>
      <c r="R334" s="61">
        <f t="shared" si="145"/>
        <v>0</v>
      </c>
      <c r="S334" s="62">
        <f t="shared" si="146"/>
        <v>0</v>
      </c>
      <c r="T334" s="63">
        <f t="shared" si="147"/>
        <v>248.00000000000006</v>
      </c>
      <c r="U334" s="63">
        <f t="shared" si="148"/>
        <v>248.00000000000006</v>
      </c>
      <c r="V334" s="64"/>
      <c r="W334" s="60">
        <v>0</v>
      </c>
      <c r="X334" s="61">
        <v>0</v>
      </c>
      <c r="Y334" s="61">
        <v>0</v>
      </c>
      <c r="Z334" s="61">
        <v>0</v>
      </c>
      <c r="AA334" s="65">
        <v>0</v>
      </c>
      <c r="AB334" s="65">
        <v>1</v>
      </c>
      <c r="AC334" s="66"/>
      <c r="AD334" s="67">
        <f t="shared" si="149"/>
        <v>0</v>
      </c>
      <c r="AE334" s="67">
        <f t="shared" si="150"/>
        <v>0</v>
      </c>
      <c r="AF334" s="67">
        <f t="shared" si="151"/>
        <v>0</v>
      </c>
      <c r="AG334" s="67">
        <f t="shared" si="152"/>
        <v>0</v>
      </c>
      <c r="AH334" s="67">
        <f t="shared" si="153"/>
        <v>0</v>
      </c>
      <c r="AI334" s="67">
        <f t="shared" si="154"/>
        <v>2.5252525252525255E-3</v>
      </c>
      <c r="AJ334" s="66"/>
      <c r="AK334" s="68">
        <v>0</v>
      </c>
      <c r="AL334" s="69">
        <v>0</v>
      </c>
      <c r="AM334" s="69">
        <v>0</v>
      </c>
      <c r="AN334" s="69">
        <v>0</v>
      </c>
      <c r="AO334" s="70">
        <v>0</v>
      </c>
      <c r="AP334" s="70">
        <v>1.24</v>
      </c>
      <c r="AQ334" s="66"/>
      <c r="AR334" s="70" t="s">
        <v>779</v>
      </c>
      <c r="AS334" s="66"/>
      <c r="AT334" s="108">
        <v>0</v>
      </c>
      <c r="AU334" s="109">
        <v>0</v>
      </c>
      <c r="AV334" s="109">
        <v>0</v>
      </c>
      <c r="AW334" s="109">
        <v>0</v>
      </c>
      <c r="AX334" s="110">
        <v>354</v>
      </c>
      <c r="AY334" s="110">
        <v>348</v>
      </c>
    </row>
    <row r="335" spans="1:51" x14ac:dyDescent="0.25">
      <c r="A335" s="8" t="s">
        <v>654</v>
      </c>
      <c r="B335" s="5" t="s">
        <v>655</v>
      </c>
      <c r="C335" s="2">
        <v>1.2399999999999949</v>
      </c>
      <c r="D335" s="24">
        <v>800</v>
      </c>
      <c r="E335" s="26">
        <f t="shared" si="141"/>
        <v>400</v>
      </c>
      <c r="F335" s="26">
        <v>15151</v>
      </c>
      <c r="G335" s="30">
        <f t="shared" si="142"/>
        <v>2.6400897630519438E-2</v>
      </c>
      <c r="H335" s="11"/>
      <c r="I335" s="9">
        <v>150</v>
      </c>
      <c r="J335" s="3">
        <v>100</v>
      </c>
      <c r="K335" s="3">
        <v>50</v>
      </c>
      <c r="L335" s="3">
        <v>0</v>
      </c>
      <c r="M335" s="6"/>
      <c r="N335" s="6">
        <v>0</v>
      </c>
      <c r="O335" s="13"/>
      <c r="P335" s="60">
        <f t="shared" si="143"/>
        <v>185.99999999999923</v>
      </c>
      <c r="Q335" s="61">
        <f t="shared" si="144"/>
        <v>123.99999999999949</v>
      </c>
      <c r="R335" s="61">
        <f t="shared" si="145"/>
        <v>61.999999999999744</v>
      </c>
      <c r="S335" s="62">
        <f t="shared" si="146"/>
        <v>0</v>
      </c>
      <c r="T335" s="63">
        <f t="shared" si="147"/>
        <v>0</v>
      </c>
      <c r="U335" s="63">
        <f t="shared" si="148"/>
        <v>0</v>
      </c>
      <c r="V335" s="64"/>
      <c r="W335" s="60">
        <v>120</v>
      </c>
      <c r="X335" s="61">
        <v>93</v>
      </c>
      <c r="Y335" s="61">
        <v>107</v>
      </c>
      <c r="Z335" s="61">
        <v>81</v>
      </c>
      <c r="AA335" s="65">
        <v>62</v>
      </c>
      <c r="AB335" s="65">
        <v>63</v>
      </c>
      <c r="AC335" s="66"/>
      <c r="AD335" s="67">
        <f t="shared" si="149"/>
        <v>7.9202692891558318E-3</v>
      </c>
      <c r="AE335" s="67">
        <f t="shared" si="150"/>
        <v>6.1382086990957692E-3</v>
      </c>
      <c r="AF335" s="67">
        <f t="shared" si="151"/>
        <v>7.06224011616395E-3</v>
      </c>
      <c r="AG335" s="67">
        <f t="shared" si="152"/>
        <v>5.3461817701801863E-3</v>
      </c>
      <c r="AH335" s="67">
        <f t="shared" si="153"/>
        <v>4.0921391327305131E-3</v>
      </c>
      <c r="AI335" s="67">
        <f t="shared" si="154"/>
        <v>4.1581413768068112E-3</v>
      </c>
      <c r="AJ335" s="66"/>
      <c r="AK335" s="68">
        <v>147.83000000000001</v>
      </c>
      <c r="AL335" s="69">
        <v>107.61999999999989</v>
      </c>
      <c r="AM335" s="69">
        <v>107.61999999999991</v>
      </c>
      <c r="AN335" s="69">
        <v>104.16999999999989</v>
      </c>
      <c r="AO335" s="70">
        <v>69.55</v>
      </c>
      <c r="AP335" s="70">
        <v>77.75</v>
      </c>
      <c r="AQ335" s="66"/>
      <c r="AR335" s="70" t="s">
        <v>780</v>
      </c>
      <c r="AS335" s="66"/>
      <c r="AT335" s="108">
        <v>5575.5</v>
      </c>
      <c r="AU335" s="109">
        <v>3750</v>
      </c>
      <c r="AV335" s="109">
        <v>1804</v>
      </c>
      <c r="AW335" s="109">
        <v>0</v>
      </c>
      <c r="AX335" s="110">
        <v>0</v>
      </c>
      <c r="AY335" s="110">
        <v>0</v>
      </c>
    </row>
    <row r="336" spans="1:51" x14ac:dyDescent="0.25">
      <c r="A336" s="8" t="s">
        <v>648</v>
      </c>
      <c r="B336" s="5" t="s">
        <v>649</v>
      </c>
      <c r="C336" s="2">
        <v>1.2299999999999969</v>
      </c>
      <c r="D336" s="24">
        <v>10000</v>
      </c>
      <c r="E336" s="26">
        <f t="shared" si="141"/>
        <v>5000</v>
      </c>
      <c r="F336" s="26">
        <v>180908</v>
      </c>
      <c r="G336" s="30">
        <f t="shared" si="142"/>
        <v>2.7638357618236895E-2</v>
      </c>
      <c r="H336" s="11"/>
      <c r="I336" s="9">
        <v>2000</v>
      </c>
      <c r="J336" s="3">
        <v>2200</v>
      </c>
      <c r="K336" s="3">
        <v>6428</v>
      </c>
      <c r="L336" s="3">
        <v>1079</v>
      </c>
      <c r="M336" s="6">
        <v>3990</v>
      </c>
      <c r="N336" s="6">
        <v>2342</v>
      </c>
      <c r="O336" s="13"/>
      <c r="P336" s="60">
        <f t="shared" si="143"/>
        <v>2459.9999999999936</v>
      </c>
      <c r="Q336" s="61">
        <f t="shared" si="144"/>
        <v>2705.9999999999932</v>
      </c>
      <c r="R336" s="61">
        <f t="shared" si="145"/>
        <v>7906.4399999999796</v>
      </c>
      <c r="S336" s="62">
        <f t="shared" si="146"/>
        <v>1327.1699999999967</v>
      </c>
      <c r="T336" s="63">
        <f t="shared" si="147"/>
        <v>4907.6999999999871</v>
      </c>
      <c r="U336" s="63">
        <f t="shared" si="148"/>
        <v>2880.6599999999926</v>
      </c>
      <c r="V336" s="64"/>
      <c r="W336" s="60">
        <v>3370</v>
      </c>
      <c r="X336" s="61">
        <v>4244</v>
      </c>
      <c r="Y336" s="61">
        <v>2904</v>
      </c>
      <c r="Z336" s="61">
        <v>4200</v>
      </c>
      <c r="AA336" s="65">
        <v>3403</v>
      </c>
      <c r="AB336" s="65">
        <v>3987</v>
      </c>
      <c r="AC336" s="66"/>
      <c r="AD336" s="67">
        <f t="shared" si="149"/>
        <v>1.8628253034691667E-2</v>
      </c>
      <c r="AE336" s="67">
        <f t="shared" si="150"/>
        <v>2.3459437946359477E-2</v>
      </c>
      <c r="AF336" s="67">
        <f t="shared" si="151"/>
        <v>1.6052358104671989E-2</v>
      </c>
      <c r="AG336" s="67">
        <f t="shared" si="152"/>
        <v>2.321622039931899E-2</v>
      </c>
      <c r="AH336" s="67">
        <f t="shared" si="153"/>
        <v>1.8810666194972028E-2</v>
      </c>
      <c r="AI336" s="67">
        <f t="shared" si="154"/>
        <v>2.2038826364782098E-2</v>
      </c>
      <c r="AJ336" s="66"/>
      <c r="AK336" s="68">
        <v>4220.0599999999959</v>
      </c>
      <c r="AL336" s="69">
        <v>4965.6299999999901</v>
      </c>
      <c r="AM336" s="69">
        <v>4965.6299999999901</v>
      </c>
      <c r="AN336" s="69">
        <v>2806.2399999999975</v>
      </c>
      <c r="AO336" s="70">
        <v>4629.87</v>
      </c>
      <c r="AP336" s="70">
        <v>3692.0600000000099</v>
      </c>
      <c r="AQ336" s="66"/>
      <c r="AR336" s="70" t="s">
        <v>780</v>
      </c>
      <c r="AS336" s="66"/>
      <c r="AT336" s="108">
        <v>71600</v>
      </c>
      <c r="AU336" s="109">
        <v>78822</v>
      </c>
      <c r="AV336" s="109">
        <v>229479.6</v>
      </c>
      <c r="AW336" s="109">
        <v>38628.199999999997</v>
      </c>
      <c r="AX336" s="110">
        <v>142642.5</v>
      </c>
      <c r="AY336" s="110">
        <v>83726.5</v>
      </c>
    </row>
    <row r="337" spans="1:51" x14ac:dyDescent="0.25">
      <c r="A337" s="8" t="s">
        <v>352</v>
      </c>
      <c r="B337" s="5" t="s">
        <v>353</v>
      </c>
      <c r="C337" s="2">
        <v>1.2199999999999998</v>
      </c>
      <c r="D337" s="24">
        <v>2000</v>
      </c>
      <c r="E337" s="26">
        <f t="shared" si="141"/>
        <v>1000</v>
      </c>
      <c r="F337" s="26">
        <v>7178</v>
      </c>
      <c r="G337" s="30">
        <f t="shared" si="142"/>
        <v>0.13931457230426303</v>
      </c>
      <c r="H337" s="11"/>
      <c r="I337" s="9">
        <v>0</v>
      </c>
      <c r="J337" s="3">
        <v>3500</v>
      </c>
      <c r="K337" s="3">
        <v>0</v>
      </c>
      <c r="L337" s="3">
        <v>2000</v>
      </c>
      <c r="M337" s="6">
        <v>12000</v>
      </c>
      <c r="N337" s="6">
        <v>0</v>
      </c>
      <c r="O337" s="13"/>
      <c r="P337" s="60">
        <f t="shared" si="143"/>
        <v>0</v>
      </c>
      <c r="Q337" s="61">
        <f t="shared" si="144"/>
        <v>4269.9999999999991</v>
      </c>
      <c r="R337" s="61">
        <f t="shared" si="145"/>
        <v>0</v>
      </c>
      <c r="S337" s="62">
        <f t="shared" si="146"/>
        <v>2439.9999999999995</v>
      </c>
      <c r="T337" s="63">
        <f t="shared" si="147"/>
        <v>14639.999999999996</v>
      </c>
      <c r="U337" s="63">
        <f t="shared" si="148"/>
        <v>0</v>
      </c>
      <c r="V337" s="64"/>
      <c r="W337" s="60">
        <v>84</v>
      </c>
      <c r="X337" s="61">
        <v>706</v>
      </c>
      <c r="Y337" s="61">
        <v>653</v>
      </c>
      <c r="Z337" s="61">
        <v>3528</v>
      </c>
      <c r="AA337" s="65">
        <v>3406</v>
      </c>
      <c r="AB337" s="65">
        <v>3645</v>
      </c>
      <c r="AC337" s="66"/>
      <c r="AD337" s="67">
        <f t="shared" si="149"/>
        <v>1.1702424073558095E-2</v>
      </c>
      <c r="AE337" s="67">
        <f t="shared" si="150"/>
        <v>9.8356088046809703E-2</v>
      </c>
      <c r="AF337" s="67">
        <f t="shared" si="151"/>
        <v>9.0972415714683758E-2</v>
      </c>
      <c r="AG337" s="67">
        <f t="shared" si="152"/>
        <v>0.49150181108943997</v>
      </c>
      <c r="AH337" s="67">
        <f t="shared" si="153"/>
        <v>0.47450543326831984</v>
      </c>
      <c r="AI337" s="67">
        <f t="shared" si="154"/>
        <v>0.50780161604903873</v>
      </c>
      <c r="AJ337" s="66"/>
      <c r="AK337" s="68">
        <v>12.93</v>
      </c>
      <c r="AL337" s="69">
        <v>124.14999999999939</v>
      </c>
      <c r="AM337" s="69">
        <v>124.14999999999938</v>
      </c>
      <c r="AN337" s="69">
        <v>520.79999999999882</v>
      </c>
      <c r="AO337" s="70">
        <v>3389.1400000000099</v>
      </c>
      <c r="AP337" s="70">
        <v>8371.95999999997</v>
      </c>
      <c r="AQ337" s="66"/>
      <c r="AR337" s="70" t="s">
        <v>779</v>
      </c>
      <c r="AS337" s="66"/>
      <c r="AT337" s="108">
        <v>0</v>
      </c>
      <c r="AU337" s="109">
        <v>33320</v>
      </c>
      <c r="AV337" s="109">
        <v>0</v>
      </c>
      <c r="AW337" s="109">
        <v>18180</v>
      </c>
      <c r="AX337" s="110">
        <v>72960</v>
      </c>
      <c r="AY337" s="110">
        <v>0</v>
      </c>
    </row>
    <row r="338" spans="1:51" x14ac:dyDescent="0.25">
      <c r="A338" s="8" t="s">
        <v>468</v>
      </c>
      <c r="B338" s="5" t="s">
        <v>469</v>
      </c>
      <c r="C338" s="2">
        <v>1.2199999999999989</v>
      </c>
      <c r="D338" s="24">
        <v>165.2</v>
      </c>
      <c r="E338" s="26">
        <f t="shared" si="141"/>
        <v>82.6</v>
      </c>
      <c r="F338" s="26">
        <v>100</v>
      </c>
      <c r="G338" s="30">
        <f t="shared" si="142"/>
        <v>0.82599999999999996</v>
      </c>
      <c r="H338" s="11"/>
      <c r="I338" s="9">
        <v>0</v>
      </c>
      <c r="J338" s="3">
        <v>0</v>
      </c>
      <c r="K338" s="3">
        <v>0</v>
      </c>
      <c r="L338" s="3">
        <v>0</v>
      </c>
      <c r="M338" s="6"/>
      <c r="N338" s="6">
        <v>200</v>
      </c>
      <c r="O338" s="13"/>
      <c r="P338" s="60">
        <f t="shared" si="143"/>
        <v>0</v>
      </c>
      <c r="Q338" s="61">
        <f t="shared" si="144"/>
        <v>0</v>
      </c>
      <c r="R338" s="61">
        <f t="shared" si="145"/>
        <v>0</v>
      </c>
      <c r="S338" s="62">
        <f t="shared" si="146"/>
        <v>0</v>
      </c>
      <c r="T338" s="63">
        <f t="shared" si="147"/>
        <v>0</v>
      </c>
      <c r="U338" s="63">
        <f t="shared" si="148"/>
        <v>243.99999999999977</v>
      </c>
      <c r="V338" s="64"/>
      <c r="W338" s="60">
        <v>91</v>
      </c>
      <c r="X338" s="61">
        <v>28</v>
      </c>
      <c r="Y338" s="61">
        <v>85</v>
      </c>
      <c r="Z338" s="61">
        <v>99</v>
      </c>
      <c r="AA338" s="65">
        <v>110</v>
      </c>
      <c r="AB338" s="65">
        <v>142</v>
      </c>
      <c r="AC338" s="66"/>
      <c r="AD338" s="67">
        <f t="shared" si="149"/>
        <v>0.91</v>
      </c>
      <c r="AE338" s="67">
        <f t="shared" si="150"/>
        <v>0.28000000000000003</v>
      </c>
      <c r="AF338" s="67">
        <f t="shared" si="151"/>
        <v>0.85</v>
      </c>
      <c r="AG338" s="67">
        <f t="shared" si="152"/>
        <v>0.99</v>
      </c>
      <c r="AH338" s="67">
        <f t="shared" si="153"/>
        <v>1.1000000000000001</v>
      </c>
      <c r="AI338" s="67">
        <f t="shared" si="154"/>
        <v>1.42</v>
      </c>
      <c r="AJ338" s="66"/>
      <c r="AK338" s="68">
        <v>175.73</v>
      </c>
      <c r="AL338" s="69">
        <v>27.039999999999985</v>
      </c>
      <c r="AM338" s="69">
        <v>27.039999999999992</v>
      </c>
      <c r="AN338" s="69">
        <v>21.699999999999992</v>
      </c>
      <c r="AO338" s="70">
        <v>26.05</v>
      </c>
      <c r="AP338" s="70">
        <v>8.6199999999999903</v>
      </c>
      <c r="AQ338" s="66"/>
      <c r="AR338" s="70" t="s">
        <v>780</v>
      </c>
      <c r="AS338" s="66"/>
      <c r="AT338" s="108">
        <v>0</v>
      </c>
      <c r="AU338" s="109">
        <v>0</v>
      </c>
      <c r="AV338" s="109">
        <v>0</v>
      </c>
      <c r="AW338" s="109">
        <v>0</v>
      </c>
      <c r="AX338" s="110">
        <v>0</v>
      </c>
      <c r="AY338" s="110">
        <v>2614</v>
      </c>
    </row>
    <row r="339" spans="1:51" x14ac:dyDescent="0.25">
      <c r="A339" s="8" t="s">
        <v>574</v>
      </c>
      <c r="B339" s="5" t="s">
        <v>575</v>
      </c>
      <c r="C339" s="2">
        <v>1.2199999999999989</v>
      </c>
      <c r="D339" s="24">
        <v>3000</v>
      </c>
      <c r="E339" s="26">
        <f t="shared" si="141"/>
        <v>1500</v>
      </c>
      <c r="F339" s="26">
        <v>3174</v>
      </c>
      <c r="G339" s="30">
        <f t="shared" si="142"/>
        <v>0.47258979206049151</v>
      </c>
      <c r="H339" s="11"/>
      <c r="I339" s="9">
        <v>0</v>
      </c>
      <c r="J339" s="3">
        <v>231</v>
      </c>
      <c r="K339" s="3">
        <v>0</v>
      </c>
      <c r="L339" s="3">
        <v>0</v>
      </c>
      <c r="M339" s="6"/>
      <c r="N339" s="6">
        <v>390</v>
      </c>
      <c r="O339" s="13"/>
      <c r="P339" s="60">
        <f t="shared" si="143"/>
        <v>0</v>
      </c>
      <c r="Q339" s="61">
        <f t="shared" si="144"/>
        <v>281.81999999999971</v>
      </c>
      <c r="R339" s="61">
        <f t="shared" si="145"/>
        <v>0</v>
      </c>
      <c r="S339" s="62">
        <f t="shared" si="146"/>
        <v>0</v>
      </c>
      <c r="T339" s="63">
        <f t="shared" si="147"/>
        <v>0</v>
      </c>
      <c r="U339" s="63">
        <f t="shared" si="148"/>
        <v>475.79999999999956</v>
      </c>
      <c r="V339" s="64"/>
      <c r="W339" s="60">
        <v>2101</v>
      </c>
      <c r="X339" s="61">
        <v>1871</v>
      </c>
      <c r="Y339" s="61">
        <v>2321</v>
      </c>
      <c r="Z339" s="61">
        <v>2290</v>
      </c>
      <c r="AA339" s="65">
        <v>2355</v>
      </c>
      <c r="AB339" s="65">
        <v>1663</v>
      </c>
      <c r="AC339" s="66"/>
      <c r="AD339" s="67">
        <f t="shared" si="149"/>
        <v>0.66194076874606178</v>
      </c>
      <c r="AE339" s="67">
        <f t="shared" si="150"/>
        <v>0.58947700063011976</v>
      </c>
      <c r="AF339" s="67">
        <f t="shared" si="151"/>
        <v>0.73125393824826712</v>
      </c>
      <c r="AG339" s="67">
        <f t="shared" si="152"/>
        <v>0.72148708254568372</v>
      </c>
      <c r="AH339" s="67">
        <f t="shared" si="153"/>
        <v>0.74196597353497162</v>
      </c>
      <c r="AI339" s="67">
        <f t="shared" si="154"/>
        <v>0.52394454946439828</v>
      </c>
      <c r="AJ339" s="66"/>
      <c r="AK339" s="68">
        <v>3478.9199999999978</v>
      </c>
      <c r="AL339" s="69">
        <v>4123.8699999999963</v>
      </c>
      <c r="AM339" s="69">
        <v>4123.8699999999953</v>
      </c>
      <c r="AN339" s="69">
        <v>2203.0799999999972</v>
      </c>
      <c r="AO339" s="70">
        <v>1170.3899999999901</v>
      </c>
      <c r="AP339" s="70">
        <v>1902.41</v>
      </c>
      <c r="AQ339" s="66"/>
      <c r="AR339" s="70" t="s">
        <v>780</v>
      </c>
      <c r="AS339" s="66"/>
      <c r="AT339" s="108">
        <v>0</v>
      </c>
      <c r="AU339" s="109">
        <v>4497.57</v>
      </c>
      <c r="AV339" s="109">
        <v>0</v>
      </c>
      <c r="AW339" s="109">
        <v>0</v>
      </c>
      <c r="AX339" s="110">
        <v>0</v>
      </c>
      <c r="AY339" s="110">
        <v>6712.7999999999993</v>
      </c>
    </row>
    <row r="340" spans="1:51" x14ac:dyDescent="0.25">
      <c r="A340" s="8" t="s">
        <v>666</v>
      </c>
      <c r="B340" s="5" t="s">
        <v>667</v>
      </c>
      <c r="C340" s="2">
        <v>1.2100000000000009</v>
      </c>
      <c r="D340" s="24">
        <v>15000</v>
      </c>
      <c r="E340" s="26">
        <f t="shared" si="141"/>
        <v>7500</v>
      </c>
      <c r="F340" s="26">
        <v>178832</v>
      </c>
      <c r="G340" s="30">
        <f t="shared" si="142"/>
        <v>4.1938802898810058E-2</v>
      </c>
      <c r="H340" s="11"/>
      <c r="I340" s="9">
        <v>2320</v>
      </c>
      <c r="J340" s="3">
        <v>1600</v>
      </c>
      <c r="K340" s="3">
        <v>1690</v>
      </c>
      <c r="L340" s="3">
        <v>360</v>
      </c>
      <c r="M340" s="6">
        <v>1500</v>
      </c>
      <c r="N340" s="6">
        <v>0</v>
      </c>
      <c r="O340" s="13"/>
      <c r="P340" s="60">
        <f t="shared" si="143"/>
        <v>2807.2000000000021</v>
      </c>
      <c r="Q340" s="61">
        <f t="shared" si="144"/>
        <v>1936.0000000000014</v>
      </c>
      <c r="R340" s="61">
        <f t="shared" si="145"/>
        <v>2044.9000000000015</v>
      </c>
      <c r="S340" s="62">
        <f t="shared" si="146"/>
        <v>435.60000000000031</v>
      </c>
      <c r="T340" s="63">
        <f t="shared" si="147"/>
        <v>1815.0000000000014</v>
      </c>
      <c r="U340" s="63">
        <f t="shared" si="148"/>
        <v>0</v>
      </c>
      <c r="V340" s="64"/>
      <c r="W340" s="60">
        <v>2206</v>
      </c>
      <c r="X340" s="61">
        <v>3569</v>
      </c>
      <c r="Y340" s="61">
        <v>1577</v>
      </c>
      <c r="Z340" s="61">
        <v>1581</v>
      </c>
      <c r="AA340" s="65">
        <v>649</v>
      </c>
      <c r="AB340" s="65">
        <v>1699</v>
      </c>
      <c r="AC340" s="66"/>
      <c r="AD340" s="67">
        <f t="shared" si="149"/>
        <v>1.2335599892636665E-2</v>
      </c>
      <c r="AE340" s="67">
        <f t="shared" si="150"/>
        <v>1.995727833944708E-2</v>
      </c>
      <c r="AF340" s="67">
        <f t="shared" si="151"/>
        <v>8.8183322895231276E-3</v>
      </c>
      <c r="AG340" s="67">
        <f t="shared" si="152"/>
        <v>8.8406996510691591E-3</v>
      </c>
      <c r="AH340" s="67">
        <f t="shared" si="153"/>
        <v>3.6291044108436969E-3</v>
      </c>
      <c r="AI340" s="67">
        <f t="shared" si="154"/>
        <v>9.5005368166771048E-3</v>
      </c>
      <c r="AJ340" s="66"/>
      <c r="AK340" s="68">
        <v>1859.9900000000021</v>
      </c>
      <c r="AL340" s="69">
        <v>3145.5099999999939</v>
      </c>
      <c r="AM340" s="69">
        <v>3145.5099999999943</v>
      </c>
      <c r="AN340" s="69">
        <v>1133.6399999999978</v>
      </c>
      <c r="AO340" s="70">
        <v>732.54</v>
      </c>
      <c r="AP340" s="70">
        <v>1186.3699999999899</v>
      </c>
      <c r="AQ340" s="66"/>
      <c r="AR340" s="70" t="s">
        <v>780</v>
      </c>
      <c r="AS340" s="66"/>
      <c r="AT340" s="108">
        <v>107262.59999999999</v>
      </c>
      <c r="AU340" s="109">
        <v>73579</v>
      </c>
      <c r="AV340" s="109">
        <v>77113.8</v>
      </c>
      <c r="AW340" s="109">
        <v>16344</v>
      </c>
      <c r="AX340" s="110">
        <v>68460</v>
      </c>
      <c r="AY340" s="110">
        <v>0</v>
      </c>
    </row>
    <row r="341" spans="1:51" x14ac:dyDescent="0.25">
      <c r="A341" s="8" t="s">
        <v>643</v>
      </c>
      <c r="B341" s="5" t="s">
        <v>644</v>
      </c>
      <c r="C341" s="2">
        <v>1.2000000000000028</v>
      </c>
      <c r="D341" s="24">
        <v>214.8</v>
      </c>
      <c r="E341" s="26">
        <f t="shared" si="141"/>
        <v>107.4</v>
      </c>
      <c r="F341" s="26">
        <v>100</v>
      </c>
      <c r="G341" s="30">
        <f t="shared" si="142"/>
        <v>1.0740000000000001</v>
      </c>
      <c r="H341" s="11"/>
      <c r="I341" s="9">
        <v>0</v>
      </c>
      <c r="J341" s="3">
        <v>0</v>
      </c>
      <c r="K341" s="3">
        <v>0</v>
      </c>
      <c r="L341" s="3">
        <v>0</v>
      </c>
      <c r="M341" s="6"/>
      <c r="N341" s="6">
        <v>0</v>
      </c>
      <c r="O341" s="13"/>
      <c r="P341" s="60">
        <f t="shared" si="143"/>
        <v>0</v>
      </c>
      <c r="Q341" s="61">
        <f t="shared" si="144"/>
        <v>0</v>
      </c>
      <c r="R341" s="61">
        <f t="shared" si="145"/>
        <v>0</v>
      </c>
      <c r="S341" s="62">
        <f t="shared" si="146"/>
        <v>0</v>
      </c>
      <c r="T341" s="63">
        <f t="shared" si="147"/>
        <v>0</v>
      </c>
      <c r="U341" s="63">
        <f t="shared" si="148"/>
        <v>0</v>
      </c>
      <c r="V341" s="64"/>
      <c r="W341" s="60">
        <v>168</v>
      </c>
      <c r="X341" s="61">
        <v>40</v>
      </c>
      <c r="Y341" s="61">
        <v>106</v>
      </c>
      <c r="Z341" s="61">
        <v>139</v>
      </c>
      <c r="AA341" s="65">
        <v>84</v>
      </c>
      <c r="AB341" s="65">
        <v>18</v>
      </c>
      <c r="AC341" s="66"/>
      <c r="AD341" s="67">
        <f t="shared" si="149"/>
        <v>1.68</v>
      </c>
      <c r="AE341" s="67">
        <f t="shared" si="150"/>
        <v>0.4</v>
      </c>
      <c r="AF341" s="67">
        <f t="shared" si="151"/>
        <v>1.06</v>
      </c>
      <c r="AG341" s="67">
        <f t="shared" si="152"/>
        <v>1.39</v>
      </c>
      <c r="AH341" s="67">
        <f t="shared" si="153"/>
        <v>0.84</v>
      </c>
      <c r="AI341" s="67">
        <f t="shared" si="154"/>
        <v>0.18</v>
      </c>
      <c r="AJ341" s="66"/>
      <c r="AK341" s="68">
        <v>410.95</v>
      </c>
      <c r="AL341" s="69">
        <v>170.90999999999997</v>
      </c>
      <c r="AM341" s="69">
        <v>170.90999999999997</v>
      </c>
      <c r="AN341" s="69">
        <v>112.62999999999988</v>
      </c>
      <c r="AO341" s="70">
        <v>72.34</v>
      </c>
      <c r="AP341" s="70">
        <v>1.20999999999999</v>
      </c>
      <c r="AQ341" s="66"/>
      <c r="AR341" s="70" t="s">
        <v>780</v>
      </c>
      <c r="AS341" s="66"/>
      <c r="AT341" s="108">
        <v>0</v>
      </c>
      <c r="AU341" s="109">
        <v>0</v>
      </c>
      <c r="AV341" s="109">
        <v>0</v>
      </c>
      <c r="AW341" s="109">
        <v>0</v>
      </c>
      <c r="AX341" s="110">
        <v>0</v>
      </c>
      <c r="AY341" s="110">
        <v>0</v>
      </c>
    </row>
    <row r="342" spans="1:51" x14ac:dyDescent="0.25">
      <c r="A342" s="8">
        <v>5515</v>
      </c>
      <c r="B342" s="5" t="s">
        <v>569</v>
      </c>
      <c r="C342" s="2">
        <v>1.1999999999999993</v>
      </c>
      <c r="D342" s="24">
        <v>7000</v>
      </c>
      <c r="E342" s="26">
        <f t="shared" si="141"/>
        <v>3500</v>
      </c>
      <c r="F342" s="26">
        <v>23445</v>
      </c>
      <c r="G342" s="30">
        <f t="shared" si="142"/>
        <v>0.1492855619535082</v>
      </c>
      <c r="H342" s="11"/>
      <c r="I342" s="9">
        <v>1422</v>
      </c>
      <c r="J342" s="3">
        <v>920</v>
      </c>
      <c r="K342" s="3">
        <v>6930</v>
      </c>
      <c r="L342" s="3">
        <v>3244</v>
      </c>
      <c r="M342" s="6">
        <v>2668</v>
      </c>
      <c r="N342" s="6">
        <v>4614</v>
      </c>
      <c r="O342" s="13"/>
      <c r="P342" s="60">
        <f t="shared" si="143"/>
        <v>1706.399999999999</v>
      </c>
      <c r="Q342" s="61">
        <f t="shared" si="144"/>
        <v>1103.9999999999993</v>
      </c>
      <c r="R342" s="61">
        <f t="shared" si="145"/>
        <v>8315.9999999999945</v>
      </c>
      <c r="S342" s="62">
        <f t="shared" si="146"/>
        <v>3892.7999999999979</v>
      </c>
      <c r="T342" s="63">
        <f t="shared" si="147"/>
        <v>3201.5999999999981</v>
      </c>
      <c r="U342" s="63">
        <f t="shared" si="148"/>
        <v>5536.7999999999965</v>
      </c>
      <c r="V342" s="64"/>
      <c r="W342" s="60">
        <v>2436</v>
      </c>
      <c r="X342" s="61">
        <v>3836</v>
      </c>
      <c r="Y342" s="61">
        <v>4325</v>
      </c>
      <c r="Z342" s="61">
        <v>5476</v>
      </c>
      <c r="AA342" s="65">
        <v>4540</v>
      </c>
      <c r="AB342" s="65">
        <v>6063</v>
      </c>
      <c r="AC342" s="66"/>
      <c r="AD342" s="67">
        <f t="shared" si="149"/>
        <v>0.10390275111964171</v>
      </c>
      <c r="AE342" s="67">
        <f t="shared" si="150"/>
        <v>0.16361697590104499</v>
      </c>
      <c r="AF342" s="67">
        <f t="shared" si="151"/>
        <v>0.18447430155683514</v>
      </c>
      <c r="AG342" s="67">
        <f t="shared" si="152"/>
        <v>0.23356792493068884</v>
      </c>
      <c r="AH342" s="67">
        <f t="shared" si="153"/>
        <v>0.19364470036255066</v>
      </c>
      <c r="AI342" s="67">
        <f t="shared" si="154"/>
        <v>0.25860524632117721</v>
      </c>
      <c r="AJ342" s="66"/>
      <c r="AK342" s="68">
        <v>2835.2099999999969</v>
      </c>
      <c r="AL342" s="69">
        <v>2240.1099999999901</v>
      </c>
      <c r="AM342" s="69">
        <v>2240.1099999999906</v>
      </c>
      <c r="AN342" s="69">
        <v>1838.7899999999938</v>
      </c>
      <c r="AO342" s="70">
        <v>4739.6099999999797</v>
      </c>
      <c r="AP342" s="70">
        <v>6628.6799999997702</v>
      </c>
      <c r="AQ342" s="66"/>
      <c r="AR342" s="70" t="s">
        <v>780</v>
      </c>
      <c r="AS342" s="66"/>
      <c r="AT342" s="108">
        <v>27234.98</v>
      </c>
      <c r="AU342" s="109">
        <v>17679.989999999998</v>
      </c>
      <c r="AV342" s="109">
        <v>135087.87</v>
      </c>
      <c r="AW342" s="109">
        <v>61229.8</v>
      </c>
      <c r="AX342" s="110">
        <v>49698.030000000006</v>
      </c>
      <c r="AY342" s="110">
        <v>86629.080000000016</v>
      </c>
    </row>
    <row r="343" spans="1:51" x14ac:dyDescent="0.25">
      <c r="A343" s="8" t="s">
        <v>321</v>
      </c>
      <c r="B343" s="5" t="s">
        <v>322</v>
      </c>
      <c r="C343" s="2">
        <v>1.1900000000000004</v>
      </c>
      <c r="D343" s="24">
        <v>6000</v>
      </c>
      <c r="E343" s="26">
        <f t="shared" si="141"/>
        <v>3000</v>
      </c>
      <c r="F343" s="26">
        <v>13819</v>
      </c>
      <c r="G343" s="30">
        <f t="shared" si="142"/>
        <v>0.21709240900209856</v>
      </c>
      <c r="H343" s="11"/>
      <c r="I343" s="9">
        <v>889</v>
      </c>
      <c r="J343" s="3">
        <v>827</v>
      </c>
      <c r="K343" s="3">
        <v>271</v>
      </c>
      <c r="L343" s="3">
        <v>4160</v>
      </c>
      <c r="M343" s="6">
        <v>1113</v>
      </c>
      <c r="N343" s="6">
        <v>4670</v>
      </c>
      <c r="O343" s="13"/>
      <c r="P343" s="60">
        <f t="shared" si="143"/>
        <v>1057.9100000000003</v>
      </c>
      <c r="Q343" s="61">
        <f t="shared" si="144"/>
        <v>984.13000000000034</v>
      </c>
      <c r="R343" s="61">
        <f t="shared" si="145"/>
        <v>322.49000000000012</v>
      </c>
      <c r="S343" s="62">
        <f t="shared" si="146"/>
        <v>4950.4000000000015</v>
      </c>
      <c r="T343" s="63">
        <f t="shared" si="147"/>
        <v>1324.4700000000005</v>
      </c>
      <c r="U343" s="63">
        <f t="shared" si="148"/>
        <v>5557.300000000002</v>
      </c>
      <c r="V343" s="64"/>
      <c r="W343" s="60">
        <v>40</v>
      </c>
      <c r="X343" s="61">
        <v>533</v>
      </c>
      <c r="Y343" s="61">
        <v>1048</v>
      </c>
      <c r="Z343" s="61">
        <v>245</v>
      </c>
      <c r="AA343" s="65">
        <v>2643</v>
      </c>
      <c r="AB343" s="65">
        <v>1933</v>
      </c>
      <c r="AC343" s="66"/>
      <c r="AD343" s="67">
        <f t="shared" si="149"/>
        <v>2.8945654533613142E-3</v>
      </c>
      <c r="AE343" s="67">
        <f t="shared" si="150"/>
        <v>3.8570084666039513E-2</v>
      </c>
      <c r="AF343" s="67">
        <f t="shared" si="151"/>
        <v>7.5837614878066437E-2</v>
      </c>
      <c r="AG343" s="67">
        <f t="shared" si="152"/>
        <v>1.772921340183805E-2</v>
      </c>
      <c r="AH343" s="67">
        <f t="shared" si="153"/>
        <v>0.19125841233084884</v>
      </c>
      <c r="AI343" s="67">
        <f t="shared" si="154"/>
        <v>0.1398798755336855</v>
      </c>
      <c r="AJ343" s="66"/>
      <c r="AK343" s="68">
        <v>74.55</v>
      </c>
      <c r="AL343" s="69">
        <v>1080.9099999999996</v>
      </c>
      <c r="AM343" s="69">
        <v>1080.9099999999999</v>
      </c>
      <c r="AN343" s="69">
        <v>1485.4199999999992</v>
      </c>
      <c r="AO343" s="70">
        <v>530.29999999999995</v>
      </c>
      <c r="AP343" s="70">
        <v>2341.4899999999898</v>
      </c>
      <c r="AQ343" s="66"/>
      <c r="AR343" s="70" t="s">
        <v>779</v>
      </c>
      <c r="AS343" s="66"/>
      <c r="AT343" s="108">
        <v>3943.3900000000003</v>
      </c>
      <c r="AU343" s="109">
        <v>4221.0300000000007</v>
      </c>
      <c r="AV343" s="109">
        <v>1254.83</v>
      </c>
      <c r="AW343" s="109">
        <v>21982.649999999994</v>
      </c>
      <c r="AX343" s="110">
        <v>5671.76</v>
      </c>
      <c r="AY343" s="110">
        <v>24657.68</v>
      </c>
    </row>
    <row r="344" spans="1:51" x14ac:dyDescent="0.25">
      <c r="A344" s="8" t="s">
        <v>420</v>
      </c>
      <c r="B344" s="5" t="s">
        <v>421</v>
      </c>
      <c r="C344" s="2">
        <v>1.1899999999999995</v>
      </c>
      <c r="D344" s="24">
        <v>7000</v>
      </c>
      <c r="E344" s="26">
        <f t="shared" si="141"/>
        <v>3500</v>
      </c>
      <c r="F344" s="26">
        <v>11702</v>
      </c>
      <c r="G344" s="30">
        <f t="shared" si="142"/>
        <v>0.29909417193642113</v>
      </c>
      <c r="H344" s="11"/>
      <c r="I344" s="9">
        <v>1306.0606060606062</v>
      </c>
      <c r="J344" s="3">
        <v>969.69696969696963</v>
      </c>
      <c r="K344" s="3">
        <v>3051.515151515151</v>
      </c>
      <c r="L344" s="3">
        <v>5175.7575757575769</v>
      </c>
      <c r="M344" s="6">
        <v>4551.515151515151</v>
      </c>
      <c r="N344" s="6">
        <v>7380</v>
      </c>
      <c r="O344" s="13"/>
      <c r="P344" s="60">
        <f t="shared" si="143"/>
        <v>1554.2121212121208</v>
      </c>
      <c r="Q344" s="61">
        <f t="shared" si="144"/>
        <v>1153.9393939393933</v>
      </c>
      <c r="R344" s="61">
        <f t="shared" si="145"/>
        <v>3631.3030303030282</v>
      </c>
      <c r="S344" s="62">
        <f t="shared" si="146"/>
        <v>6159.1515151515141</v>
      </c>
      <c r="T344" s="63">
        <f t="shared" si="147"/>
        <v>5416.3030303030273</v>
      </c>
      <c r="U344" s="63">
        <f t="shared" si="148"/>
        <v>8782.1999999999971</v>
      </c>
      <c r="V344" s="64"/>
      <c r="W344" s="60">
        <v>1985</v>
      </c>
      <c r="X344" s="61">
        <v>3208</v>
      </c>
      <c r="Y344" s="61">
        <v>1401</v>
      </c>
      <c r="Z344" s="61">
        <v>2157</v>
      </c>
      <c r="AA344" s="65">
        <v>3043</v>
      </c>
      <c r="AB344" s="65">
        <v>2229</v>
      </c>
      <c r="AC344" s="66"/>
      <c r="AD344" s="67">
        <f t="shared" si="149"/>
        <v>0.16962912322679885</v>
      </c>
      <c r="AE344" s="67">
        <f t="shared" si="150"/>
        <v>0.27414117244915398</v>
      </c>
      <c r="AF344" s="67">
        <f t="shared" si="151"/>
        <v>0.11972312425226457</v>
      </c>
      <c r="AG344" s="67">
        <f t="shared" si="152"/>
        <v>0.18432746539053152</v>
      </c>
      <c r="AH344" s="67">
        <f t="shared" si="153"/>
        <v>0.26004101862929413</v>
      </c>
      <c r="AI344" s="67">
        <f t="shared" si="154"/>
        <v>0.19048025978465219</v>
      </c>
      <c r="AJ344" s="66"/>
      <c r="AK344" s="68">
        <v>1785.5700000000011</v>
      </c>
      <c r="AL344" s="69">
        <v>2692.6499999999896</v>
      </c>
      <c r="AM344" s="69">
        <v>2692.6499999999901</v>
      </c>
      <c r="AN344" s="69">
        <v>1488.9199999999939</v>
      </c>
      <c r="AO344" s="70">
        <v>2428.9899999999898</v>
      </c>
      <c r="AP344" s="70">
        <v>2231.15</v>
      </c>
      <c r="AQ344" s="66"/>
      <c r="AR344" s="70" t="s">
        <v>779</v>
      </c>
      <c r="AS344" s="66"/>
      <c r="AT344" s="108">
        <v>12301.77</v>
      </c>
      <c r="AU344" s="109">
        <v>9004.25</v>
      </c>
      <c r="AV344" s="109">
        <v>28339.820000000003</v>
      </c>
      <c r="AW344" s="109">
        <v>47750.039999999994</v>
      </c>
      <c r="AX344" s="110">
        <v>41939.680000000008</v>
      </c>
      <c r="AY344" s="110">
        <v>68052.200000000012</v>
      </c>
    </row>
    <row r="345" spans="1:51" x14ac:dyDescent="0.25">
      <c r="A345" s="8" t="s">
        <v>673</v>
      </c>
      <c r="B345" s="5" t="s">
        <v>674</v>
      </c>
      <c r="C345" s="2">
        <v>1.1600000000000037</v>
      </c>
      <c r="D345" s="24">
        <v>3000</v>
      </c>
      <c r="E345" s="26">
        <f t="shared" si="141"/>
        <v>1500</v>
      </c>
      <c r="F345" s="26">
        <v>128574</v>
      </c>
      <c r="G345" s="30">
        <f t="shared" si="142"/>
        <v>1.1666433337999906E-2</v>
      </c>
      <c r="H345" s="11"/>
      <c r="I345" s="9">
        <v>1679</v>
      </c>
      <c r="J345" s="3">
        <v>1258</v>
      </c>
      <c r="K345" s="3">
        <v>510</v>
      </c>
      <c r="L345" s="3">
        <v>0</v>
      </c>
      <c r="M345" s="6"/>
      <c r="N345" s="6">
        <v>0</v>
      </c>
      <c r="O345" s="13"/>
      <c r="P345" s="60">
        <f t="shared" si="143"/>
        <v>1947.6400000000062</v>
      </c>
      <c r="Q345" s="61">
        <f t="shared" si="144"/>
        <v>1459.2800000000047</v>
      </c>
      <c r="R345" s="61">
        <f t="shared" si="145"/>
        <v>591.60000000000184</v>
      </c>
      <c r="S345" s="62">
        <f t="shared" si="146"/>
        <v>0</v>
      </c>
      <c r="T345" s="63">
        <f t="shared" si="147"/>
        <v>0</v>
      </c>
      <c r="U345" s="63">
        <f t="shared" si="148"/>
        <v>0</v>
      </c>
      <c r="V345" s="64"/>
      <c r="W345" s="60">
        <v>466</v>
      </c>
      <c r="X345" s="61">
        <v>1051</v>
      </c>
      <c r="Y345" s="61">
        <v>864</v>
      </c>
      <c r="Z345" s="61">
        <v>835</v>
      </c>
      <c r="AA345" s="65">
        <v>1621</v>
      </c>
      <c r="AB345" s="65">
        <v>831</v>
      </c>
      <c r="AC345" s="66"/>
      <c r="AD345" s="67">
        <f t="shared" si="149"/>
        <v>3.6243719570053044E-3</v>
      </c>
      <c r="AE345" s="67">
        <f t="shared" si="150"/>
        <v>8.1742809588252682E-3</v>
      </c>
      <c r="AF345" s="67">
        <f t="shared" si="151"/>
        <v>6.7198656026879466E-3</v>
      </c>
      <c r="AG345" s="67">
        <f t="shared" si="152"/>
        <v>6.4943145581532816E-3</v>
      </c>
      <c r="AH345" s="67">
        <f t="shared" si="153"/>
        <v>1.2607525627265232E-2</v>
      </c>
      <c r="AI345" s="67">
        <f t="shared" si="154"/>
        <v>6.4632040692519481E-3</v>
      </c>
      <c r="AJ345" s="66"/>
      <c r="AK345" s="68">
        <v>542.05999999999995</v>
      </c>
      <c r="AL345" s="69">
        <v>897.45999999999879</v>
      </c>
      <c r="AM345" s="69">
        <v>897.4599999999989</v>
      </c>
      <c r="AN345" s="69">
        <v>756.47999999999865</v>
      </c>
      <c r="AO345" s="70">
        <v>836.49999999999898</v>
      </c>
      <c r="AP345" s="70">
        <v>641.82999999999902</v>
      </c>
      <c r="AQ345" s="66"/>
      <c r="AR345" s="70" t="s">
        <v>780</v>
      </c>
      <c r="AS345" s="66"/>
      <c r="AT345" s="108">
        <v>81420.100000000006</v>
      </c>
      <c r="AU345" s="109">
        <v>60972.649999999994</v>
      </c>
      <c r="AV345" s="109">
        <v>24618.9</v>
      </c>
      <c r="AW345" s="109">
        <v>0</v>
      </c>
      <c r="AX345" s="110">
        <v>0</v>
      </c>
      <c r="AY345" s="110">
        <v>0</v>
      </c>
    </row>
    <row r="346" spans="1:51" x14ac:dyDescent="0.25">
      <c r="A346" s="8" t="s">
        <v>631</v>
      </c>
      <c r="B346" s="5" t="s">
        <v>632</v>
      </c>
      <c r="C346" s="2">
        <v>1.1600000000000001</v>
      </c>
      <c r="D346" s="24">
        <v>5000</v>
      </c>
      <c r="E346" s="26">
        <f t="shared" si="141"/>
        <v>2500</v>
      </c>
      <c r="F346" s="26">
        <v>10986</v>
      </c>
      <c r="G346" s="30">
        <f t="shared" si="142"/>
        <v>0.22756235208447115</v>
      </c>
      <c r="H346" s="11"/>
      <c r="I346" s="9">
        <v>501</v>
      </c>
      <c r="J346" s="3">
        <v>163</v>
      </c>
      <c r="K346" s="3">
        <v>297</v>
      </c>
      <c r="L346" s="3">
        <v>98</v>
      </c>
      <c r="M346" s="6">
        <v>209</v>
      </c>
      <c r="N346" s="6">
        <v>529</v>
      </c>
      <c r="O346" s="13"/>
      <c r="P346" s="60">
        <f t="shared" si="143"/>
        <v>581.16000000000008</v>
      </c>
      <c r="Q346" s="61">
        <f t="shared" si="144"/>
        <v>189.08</v>
      </c>
      <c r="R346" s="61">
        <f t="shared" si="145"/>
        <v>344.52000000000004</v>
      </c>
      <c r="S346" s="62">
        <f t="shared" si="146"/>
        <v>113.68</v>
      </c>
      <c r="T346" s="63">
        <f t="shared" si="147"/>
        <v>242.44000000000003</v>
      </c>
      <c r="U346" s="63">
        <f t="shared" si="148"/>
        <v>613.6400000000001</v>
      </c>
      <c r="V346" s="64"/>
      <c r="W346" s="60">
        <v>73</v>
      </c>
      <c r="X346" s="61">
        <v>237</v>
      </c>
      <c r="Y346" s="61">
        <v>581</v>
      </c>
      <c r="Z346" s="61">
        <v>305</v>
      </c>
      <c r="AA346" s="65">
        <v>275</v>
      </c>
      <c r="AB346" s="65">
        <v>281</v>
      </c>
      <c r="AC346" s="66"/>
      <c r="AD346" s="67">
        <f t="shared" si="149"/>
        <v>6.6448206808665576E-3</v>
      </c>
      <c r="AE346" s="67">
        <f t="shared" si="150"/>
        <v>2.1572910977607863E-2</v>
      </c>
      <c r="AF346" s="67">
        <f t="shared" si="151"/>
        <v>5.2885490624431097E-2</v>
      </c>
      <c r="AG346" s="67">
        <f t="shared" si="152"/>
        <v>2.7762606954305481E-2</v>
      </c>
      <c r="AH346" s="67">
        <f t="shared" si="153"/>
        <v>2.5031858729291825E-2</v>
      </c>
      <c r="AI346" s="67">
        <f t="shared" si="154"/>
        <v>2.5578008374294556E-2</v>
      </c>
      <c r="AJ346" s="66"/>
      <c r="AK346" s="68">
        <v>104</v>
      </c>
      <c r="AL346" s="69">
        <v>307.47000000000003</v>
      </c>
      <c r="AM346" s="69">
        <v>307.47000000000003</v>
      </c>
      <c r="AN346" s="69">
        <v>303.89999999999884</v>
      </c>
      <c r="AO346" s="70">
        <v>144.84</v>
      </c>
      <c r="AP346" s="70">
        <v>320.17999999999898</v>
      </c>
      <c r="AQ346" s="66"/>
      <c r="AR346" s="70" t="s">
        <v>780</v>
      </c>
      <c r="AS346" s="66"/>
      <c r="AT346" s="108">
        <v>8393.4</v>
      </c>
      <c r="AU346" s="109">
        <v>4730.26</v>
      </c>
      <c r="AV346" s="109">
        <v>9342.08</v>
      </c>
      <c r="AW346" s="109">
        <v>2819.53</v>
      </c>
      <c r="AX346" s="110">
        <v>5941.52</v>
      </c>
      <c r="AY346" s="110">
        <v>12591.23</v>
      </c>
    </row>
    <row r="347" spans="1:51" x14ac:dyDescent="0.25">
      <c r="A347" s="8">
        <v>5313</v>
      </c>
      <c r="B347" s="5" t="s">
        <v>601</v>
      </c>
      <c r="C347" s="2">
        <v>1.1500000000000021</v>
      </c>
      <c r="D347" s="24">
        <v>9000</v>
      </c>
      <c r="E347" s="26">
        <f t="shared" si="141"/>
        <v>4500</v>
      </c>
      <c r="F347" s="26">
        <v>25068</v>
      </c>
      <c r="G347" s="30">
        <f t="shared" si="142"/>
        <v>0.17951172809956917</v>
      </c>
      <c r="H347" s="11"/>
      <c r="I347" s="9">
        <v>1452</v>
      </c>
      <c r="J347" s="3">
        <v>2811</v>
      </c>
      <c r="K347" s="3">
        <v>4346</v>
      </c>
      <c r="L347" s="3">
        <v>1774</v>
      </c>
      <c r="M347" s="6">
        <v>3274</v>
      </c>
      <c r="N347" s="6">
        <v>3126</v>
      </c>
      <c r="O347" s="13"/>
      <c r="P347" s="60">
        <f t="shared" si="143"/>
        <v>1669.8000000000031</v>
      </c>
      <c r="Q347" s="61">
        <f t="shared" si="144"/>
        <v>3232.650000000006</v>
      </c>
      <c r="R347" s="61">
        <f t="shared" si="145"/>
        <v>4997.9000000000096</v>
      </c>
      <c r="S347" s="62">
        <f t="shared" si="146"/>
        <v>2040.1000000000038</v>
      </c>
      <c r="T347" s="63">
        <f t="shared" si="147"/>
        <v>3765.1000000000072</v>
      </c>
      <c r="U347" s="63">
        <f t="shared" si="148"/>
        <v>3594.9000000000065</v>
      </c>
      <c r="V347" s="64"/>
      <c r="W347" s="60">
        <v>603</v>
      </c>
      <c r="X347" s="61">
        <v>2187</v>
      </c>
      <c r="Y347" s="61">
        <v>3564</v>
      </c>
      <c r="Z347" s="61">
        <v>3850</v>
      </c>
      <c r="AA347" s="65">
        <v>2837</v>
      </c>
      <c r="AB347" s="65">
        <v>3461</v>
      </c>
      <c r="AC347" s="66"/>
      <c r="AD347" s="67">
        <f t="shared" si="149"/>
        <v>2.405457156534227E-2</v>
      </c>
      <c r="AE347" s="67">
        <f t="shared" si="150"/>
        <v>8.7242699856390618E-2</v>
      </c>
      <c r="AF347" s="67">
        <f t="shared" si="151"/>
        <v>0.14217328865485879</v>
      </c>
      <c r="AG347" s="67">
        <f t="shared" si="152"/>
        <v>0.15358225626296473</v>
      </c>
      <c r="AH347" s="67">
        <f t="shared" si="153"/>
        <v>0.11317217169299505</v>
      </c>
      <c r="AI347" s="67">
        <f t="shared" si="154"/>
        <v>0.13806446465613531</v>
      </c>
      <c r="AJ347" s="66"/>
      <c r="AK347" s="68">
        <v>369.00000000000028</v>
      </c>
      <c r="AL347" s="69">
        <v>2336.5699999999929</v>
      </c>
      <c r="AM347" s="69">
        <v>2336.5699999999924</v>
      </c>
      <c r="AN347" s="69">
        <v>5482.53999999999</v>
      </c>
      <c r="AO347" s="70">
        <v>4262.2400000000098</v>
      </c>
      <c r="AP347" s="70">
        <v>2200.7799999999802</v>
      </c>
      <c r="AQ347" s="66"/>
      <c r="AR347" s="70" t="s">
        <v>780</v>
      </c>
      <c r="AS347" s="66"/>
      <c r="AT347" s="108">
        <v>33426.92</v>
      </c>
      <c r="AU347" s="109">
        <v>64495.210000000006</v>
      </c>
      <c r="AV347" s="109">
        <v>99523.349999999991</v>
      </c>
      <c r="AW347" s="109">
        <v>40630.479999999996</v>
      </c>
      <c r="AX347" s="110">
        <v>75804.820000000007</v>
      </c>
      <c r="AY347" s="110">
        <v>72086.859999999986</v>
      </c>
    </row>
    <row r="348" spans="1:51" x14ac:dyDescent="0.25">
      <c r="A348" s="8">
        <v>487</v>
      </c>
      <c r="B348" s="5" t="s">
        <v>642</v>
      </c>
      <c r="C348" s="2">
        <v>1.1500000000000021</v>
      </c>
      <c r="D348" s="24">
        <v>647.6</v>
      </c>
      <c r="E348" s="26">
        <f t="shared" si="141"/>
        <v>323.8</v>
      </c>
      <c r="F348" s="26">
        <v>3238</v>
      </c>
      <c r="G348" s="30">
        <f t="shared" si="142"/>
        <v>0.1</v>
      </c>
      <c r="H348" s="11"/>
      <c r="I348" s="9">
        <v>0</v>
      </c>
      <c r="J348" s="3">
        <v>0</v>
      </c>
      <c r="K348" s="3">
        <v>0</v>
      </c>
      <c r="L348" s="3">
        <v>0</v>
      </c>
      <c r="M348" s="6">
        <v>215</v>
      </c>
      <c r="N348" s="6">
        <v>1127</v>
      </c>
      <c r="O348" s="13"/>
      <c r="P348" s="60">
        <f t="shared" si="143"/>
        <v>0</v>
      </c>
      <c r="Q348" s="61">
        <f t="shared" si="144"/>
        <v>0</v>
      </c>
      <c r="R348" s="61">
        <f t="shared" si="145"/>
        <v>0</v>
      </c>
      <c r="S348" s="62">
        <f t="shared" si="146"/>
        <v>0</v>
      </c>
      <c r="T348" s="63">
        <f t="shared" si="147"/>
        <v>247.25000000000045</v>
      </c>
      <c r="U348" s="63">
        <f t="shared" si="148"/>
        <v>1296.0500000000025</v>
      </c>
      <c r="V348" s="64"/>
      <c r="W348" s="60">
        <v>151</v>
      </c>
      <c r="X348" s="61">
        <v>222</v>
      </c>
      <c r="Y348" s="61">
        <v>216</v>
      </c>
      <c r="Z348" s="61">
        <v>226</v>
      </c>
      <c r="AA348" s="65">
        <v>188</v>
      </c>
      <c r="AB348" s="65">
        <v>170</v>
      </c>
      <c r="AC348" s="66"/>
      <c r="AD348" s="67">
        <f t="shared" si="149"/>
        <v>4.6633724521309448E-2</v>
      </c>
      <c r="AE348" s="67">
        <f t="shared" si="150"/>
        <v>6.856084002470661E-2</v>
      </c>
      <c r="AF348" s="67">
        <f t="shared" si="151"/>
        <v>6.6707844348363188E-2</v>
      </c>
      <c r="AG348" s="67">
        <f t="shared" si="152"/>
        <v>6.9796170475602229E-2</v>
      </c>
      <c r="AH348" s="67">
        <f t="shared" si="153"/>
        <v>5.8060531192093888E-2</v>
      </c>
      <c r="AI348" s="67">
        <f t="shared" si="154"/>
        <v>5.2501544163063622E-2</v>
      </c>
      <c r="AJ348" s="66"/>
      <c r="AK348" s="68">
        <v>140.33000000000001</v>
      </c>
      <c r="AL348" s="69">
        <v>247.43999999999971</v>
      </c>
      <c r="AM348" s="69">
        <v>247.43999999999969</v>
      </c>
      <c r="AN348" s="69">
        <v>317.60999999999922</v>
      </c>
      <c r="AO348" s="70">
        <v>176.23</v>
      </c>
      <c r="AP348" s="70">
        <v>104.58999999999899</v>
      </c>
      <c r="AQ348" s="66"/>
      <c r="AR348" s="70" t="s">
        <v>780</v>
      </c>
      <c r="AS348" s="66"/>
      <c r="AT348" s="108">
        <v>0</v>
      </c>
      <c r="AU348" s="109">
        <v>0</v>
      </c>
      <c r="AV348" s="109">
        <v>0</v>
      </c>
      <c r="AW348" s="109">
        <v>0</v>
      </c>
      <c r="AX348" s="110">
        <v>6505.9</v>
      </c>
      <c r="AY348" s="110">
        <v>33979.58</v>
      </c>
    </row>
    <row r="349" spans="1:51" x14ac:dyDescent="0.25">
      <c r="A349" s="8" t="s">
        <v>611</v>
      </c>
      <c r="B349" s="5" t="s">
        <v>612</v>
      </c>
      <c r="C349" s="2">
        <v>1.1500000000000021</v>
      </c>
      <c r="D349" s="24">
        <v>1000</v>
      </c>
      <c r="E349" s="26">
        <f t="shared" si="141"/>
        <v>500</v>
      </c>
      <c r="F349" s="26">
        <v>2472</v>
      </c>
      <c r="G349" s="30">
        <f t="shared" si="142"/>
        <v>0.2022653721682848</v>
      </c>
      <c r="H349" s="11"/>
      <c r="I349" s="9">
        <v>203</v>
      </c>
      <c r="J349" s="3">
        <v>100</v>
      </c>
      <c r="K349" s="3">
        <v>201</v>
      </c>
      <c r="L349" s="3">
        <v>254</v>
      </c>
      <c r="M349" s="6">
        <v>252</v>
      </c>
      <c r="N349" s="6">
        <v>246</v>
      </c>
      <c r="O349" s="13"/>
      <c r="P349" s="60">
        <f t="shared" si="143"/>
        <v>233.45000000000044</v>
      </c>
      <c r="Q349" s="61">
        <f t="shared" si="144"/>
        <v>115.00000000000021</v>
      </c>
      <c r="R349" s="61">
        <f t="shared" si="145"/>
        <v>231.15000000000043</v>
      </c>
      <c r="S349" s="62">
        <f t="shared" si="146"/>
        <v>292.10000000000053</v>
      </c>
      <c r="T349" s="63">
        <f t="shared" si="147"/>
        <v>289.80000000000052</v>
      </c>
      <c r="U349" s="63">
        <f t="shared" si="148"/>
        <v>282.90000000000055</v>
      </c>
      <c r="V349" s="64"/>
      <c r="W349" s="60">
        <v>63</v>
      </c>
      <c r="X349" s="61">
        <v>169</v>
      </c>
      <c r="Y349" s="61">
        <v>107</v>
      </c>
      <c r="Z349" s="61">
        <v>226</v>
      </c>
      <c r="AA349" s="65">
        <v>241</v>
      </c>
      <c r="AB349" s="65">
        <v>313</v>
      </c>
      <c r="AC349" s="66"/>
      <c r="AD349" s="67">
        <f t="shared" si="149"/>
        <v>2.5485436893203883E-2</v>
      </c>
      <c r="AE349" s="67">
        <f t="shared" si="150"/>
        <v>6.8365695792880266E-2</v>
      </c>
      <c r="AF349" s="67">
        <f t="shared" si="151"/>
        <v>4.3284789644012944E-2</v>
      </c>
      <c r="AG349" s="67">
        <f t="shared" si="152"/>
        <v>9.1423948220064721E-2</v>
      </c>
      <c r="AH349" s="67">
        <f t="shared" si="153"/>
        <v>9.7491909385113262E-2</v>
      </c>
      <c r="AI349" s="67">
        <f t="shared" si="154"/>
        <v>0.12661812297734629</v>
      </c>
      <c r="AJ349" s="66"/>
      <c r="AK349" s="68">
        <v>126.39</v>
      </c>
      <c r="AL349" s="69">
        <v>340.53000000000003</v>
      </c>
      <c r="AM349" s="69">
        <v>340.53</v>
      </c>
      <c r="AN349" s="69">
        <v>200.61999999999978</v>
      </c>
      <c r="AO349" s="70">
        <v>308.76</v>
      </c>
      <c r="AP349" s="70">
        <v>407.77999999999901</v>
      </c>
      <c r="AQ349" s="66"/>
      <c r="AR349" s="70" t="s">
        <v>780</v>
      </c>
      <c r="AS349" s="66"/>
      <c r="AT349" s="108">
        <v>4837</v>
      </c>
      <c r="AU349" s="109">
        <v>2377.7200000000003</v>
      </c>
      <c r="AV349" s="109">
        <v>4784.3900000000003</v>
      </c>
      <c r="AW349" s="109">
        <v>6039.8799999999992</v>
      </c>
      <c r="AX349" s="110">
        <v>5995.16</v>
      </c>
      <c r="AY349" s="110">
        <v>5933.63</v>
      </c>
    </row>
    <row r="350" spans="1:51" x14ac:dyDescent="0.25">
      <c r="A350" s="8" t="s">
        <v>348</v>
      </c>
      <c r="B350" s="5" t="s">
        <v>349</v>
      </c>
      <c r="C350" s="2">
        <v>1.1499999999999995</v>
      </c>
      <c r="D350" s="24">
        <v>1260.8000000000002</v>
      </c>
      <c r="E350" s="26">
        <f t="shared" si="141"/>
        <v>630.40000000000009</v>
      </c>
      <c r="F350" s="26">
        <v>6304</v>
      </c>
      <c r="G350" s="30">
        <f t="shared" si="142"/>
        <v>0.10000000000000002</v>
      </c>
      <c r="H350" s="11"/>
      <c r="I350" s="9">
        <v>739</v>
      </c>
      <c r="J350" s="3">
        <v>428</v>
      </c>
      <c r="K350" s="3">
        <v>409</v>
      </c>
      <c r="L350" s="3">
        <v>994</v>
      </c>
      <c r="M350" s="6">
        <v>1100</v>
      </c>
      <c r="N350" s="6">
        <v>2203</v>
      </c>
      <c r="O350" s="13"/>
      <c r="P350" s="60">
        <f t="shared" si="143"/>
        <v>849.84999999999957</v>
      </c>
      <c r="Q350" s="61">
        <f t="shared" si="144"/>
        <v>492.19999999999976</v>
      </c>
      <c r="R350" s="61">
        <f t="shared" si="145"/>
        <v>470.3499999999998</v>
      </c>
      <c r="S350" s="62">
        <f t="shared" si="146"/>
        <v>1143.0999999999995</v>
      </c>
      <c r="T350" s="63">
        <f t="shared" si="147"/>
        <v>1264.9999999999993</v>
      </c>
      <c r="U350" s="63">
        <f t="shared" si="148"/>
        <v>2533.4499999999989</v>
      </c>
      <c r="V350" s="64"/>
      <c r="W350" s="60">
        <v>525</v>
      </c>
      <c r="X350" s="61">
        <v>980</v>
      </c>
      <c r="Y350" s="61">
        <v>435</v>
      </c>
      <c r="Z350" s="61">
        <v>239</v>
      </c>
      <c r="AA350" s="65">
        <v>881</v>
      </c>
      <c r="AB350" s="65">
        <v>1260</v>
      </c>
      <c r="AC350" s="66"/>
      <c r="AD350" s="67">
        <f t="shared" si="149"/>
        <v>8.3280456852791881E-2</v>
      </c>
      <c r="AE350" s="67">
        <f t="shared" si="150"/>
        <v>0.15545685279187818</v>
      </c>
      <c r="AF350" s="67">
        <f t="shared" si="151"/>
        <v>6.900380710659898E-2</v>
      </c>
      <c r="AG350" s="67">
        <f t="shared" si="152"/>
        <v>3.7912436548223349E-2</v>
      </c>
      <c r="AH350" s="67">
        <f t="shared" si="153"/>
        <v>0.139752538071066</v>
      </c>
      <c r="AI350" s="67">
        <f t="shared" si="154"/>
        <v>0.19987309644670051</v>
      </c>
      <c r="AJ350" s="66"/>
      <c r="AK350" s="68">
        <v>2742.4899999999989</v>
      </c>
      <c r="AL350" s="69">
        <v>5342.909999999998</v>
      </c>
      <c r="AM350" s="69">
        <v>5342.9099999999971</v>
      </c>
      <c r="AN350" s="69">
        <v>1819.5399999999977</v>
      </c>
      <c r="AO350" s="70">
        <v>750.43</v>
      </c>
      <c r="AP350" s="70">
        <v>1912.4200000000101</v>
      </c>
      <c r="AQ350" s="66"/>
      <c r="AR350" s="70" t="s">
        <v>779</v>
      </c>
      <c r="AS350" s="66"/>
      <c r="AT350" s="108">
        <v>4292.68</v>
      </c>
      <c r="AU350" s="109">
        <v>2494.9499999999998</v>
      </c>
      <c r="AV350" s="109">
        <v>2375.75</v>
      </c>
      <c r="AW350" s="109">
        <v>5936.24</v>
      </c>
      <c r="AX350" s="110">
        <v>6597.2400000000007</v>
      </c>
      <c r="AY350" s="110">
        <v>13194.43</v>
      </c>
    </row>
    <row r="351" spans="1:51" x14ac:dyDescent="0.25">
      <c r="A351" s="8">
        <v>5588</v>
      </c>
      <c r="B351" s="5" t="s">
        <v>220</v>
      </c>
      <c r="C351" s="2">
        <v>1.1400000000000001</v>
      </c>
      <c r="D351" s="24">
        <v>2000</v>
      </c>
      <c r="E351" s="26">
        <f t="shared" si="141"/>
        <v>1000</v>
      </c>
      <c r="F351" s="26">
        <v>12101</v>
      </c>
      <c r="G351" s="30">
        <f t="shared" si="142"/>
        <v>8.2637798529047179E-2</v>
      </c>
      <c r="H351" s="11"/>
      <c r="I351" s="9">
        <v>2260</v>
      </c>
      <c r="J351" s="3">
        <v>2760</v>
      </c>
      <c r="K351" s="3">
        <v>350</v>
      </c>
      <c r="L351" s="3">
        <v>0</v>
      </c>
      <c r="M351" s="6"/>
      <c r="N351" s="6">
        <v>100</v>
      </c>
      <c r="O351" s="13"/>
      <c r="P351" s="60">
        <f t="shared" si="143"/>
        <v>2576.4</v>
      </c>
      <c r="Q351" s="61">
        <f t="shared" si="144"/>
        <v>3146.4000000000005</v>
      </c>
      <c r="R351" s="61">
        <f t="shared" si="145"/>
        <v>399.00000000000006</v>
      </c>
      <c r="S351" s="62">
        <f t="shared" si="146"/>
        <v>0</v>
      </c>
      <c r="T351" s="63">
        <f t="shared" si="147"/>
        <v>0</v>
      </c>
      <c r="U351" s="63">
        <f t="shared" si="148"/>
        <v>114.00000000000001</v>
      </c>
      <c r="V351" s="64"/>
      <c r="W351" s="60">
        <v>232</v>
      </c>
      <c r="X351" s="61">
        <v>864</v>
      </c>
      <c r="Y351" s="61">
        <v>581</v>
      </c>
      <c r="Z351" s="61">
        <v>1156</v>
      </c>
      <c r="AA351" s="65">
        <v>884</v>
      </c>
      <c r="AB351" s="65">
        <v>1011</v>
      </c>
      <c r="AC351" s="66"/>
      <c r="AD351" s="67">
        <f t="shared" si="149"/>
        <v>1.9171969258738947E-2</v>
      </c>
      <c r="AE351" s="67">
        <f t="shared" si="150"/>
        <v>7.1399057929096774E-2</v>
      </c>
      <c r="AF351" s="67">
        <f t="shared" si="151"/>
        <v>4.8012560945376412E-2</v>
      </c>
      <c r="AG351" s="67">
        <f t="shared" si="152"/>
        <v>9.5529295099578554E-2</v>
      </c>
      <c r="AH351" s="67">
        <f t="shared" si="153"/>
        <v>7.3051813899677714E-2</v>
      </c>
      <c r="AI351" s="67">
        <f t="shared" si="154"/>
        <v>8.3546814312866702E-2</v>
      </c>
      <c r="AJ351" s="66"/>
      <c r="AK351" s="68">
        <v>159.24</v>
      </c>
      <c r="AL351" s="69">
        <v>1437.579999999999</v>
      </c>
      <c r="AM351" s="69">
        <v>1437.5799999999986</v>
      </c>
      <c r="AN351" s="69">
        <v>826.51999999999964</v>
      </c>
      <c r="AO351" s="70">
        <v>664.42999999999904</v>
      </c>
      <c r="AP351" s="70">
        <v>946.169999999997</v>
      </c>
      <c r="AQ351" s="66"/>
      <c r="AR351" s="70" t="s">
        <v>779</v>
      </c>
      <c r="AS351" s="66"/>
      <c r="AT351" s="108">
        <v>6810</v>
      </c>
      <c r="AU351" s="109">
        <v>8362</v>
      </c>
      <c r="AV351" s="109">
        <v>1050</v>
      </c>
      <c r="AW351" s="109">
        <v>0</v>
      </c>
      <c r="AX351" s="110">
        <v>0</v>
      </c>
      <c r="AY351" s="110">
        <v>166</v>
      </c>
    </row>
    <row r="352" spans="1:51" x14ac:dyDescent="0.25">
      <c r="A352" s="8">
        <v>5508</v>
      </c>
      <c r="B352" s="5" t="s">
        <v>405</v>
      </c>
      <c r="C352" s="2">
        <v>1.1200000000000001</v>
      </c>
      <c r="D352" s="24">
        <v>500</v>
      </c>
      <c r="E352" s="26">
        <f t="shared" si="141"/>
        <v>250</v>
      </c>
      <c r="F352" s="26">
        <v>1405</v>
      </c>
      <c r="G352" s="30">
        <f t="shared" si="142"/>
        <v>0.17793594306049823</v>
      </c>
      <c r="H352" s="11"/>
      <c r="I352" s="9">
        <v>30</v>
      </c>
      <c r="J352" s="3">
        <v>0</v>
      </c>
      <c r="K352" s="3">
        <v>233</v>
      </c>
      <c r="L352" s="3">
        <v>1494</v>
      </c>
      <c r="M352" s="6">
        <v>59</v>
      </c>
      <c r="N352" s="6">
        <v>0</v>
      </c>
      <c r="O352" s="13"/>
      <c r="P352" s="60">
        <f t="shared" si="143"/>
        <v>33.6</v>
      </c>
      <c r="Q352" s="61">
        <f t="shared" si="144"/>
        <v>0</v>
      </c>
      <c r="R352" s="61">
        <f t="shared" si="145"/>
        <v>260.96000000000004</v>
      </c>
      <c r="S352" s="62">
        <f t="shared" si="146"/>
        <v>1673.2800000000002</v>
      </c>
      <c r="T352" s="63">
        <f t="shared" si="147"/>
        <v>66.080000000000013</v>
      </c>
      <c r="U352" s="63">
        <f t="shared" si="148"/>
        <v>0</v>
      </c>
      <c r="V352" s="64"/>
      <c r="W352" s="60">
        <v>349</v>
      </c>
      <c r="X352" s="61">
        <v>30</v>
      </c>
      <c r="Y352" s="61">
        <v>199</v>
      </c>
      <c r="Z352" s="61">
        <v>151</v>
      </c>
      <c r="AA352" s="65">
        <v>190</v>
      </c>
      <c r="AB352" s="65">
        <v>439</v>
      </c>
      <c r="AC352" s="66"/>
      <c r="AD352" s="67">
        <f t="shared" si="149"/>
        <v>0.2483985765124555</v>
      </c>
      <c r="AE352" s="67">
        <f t="shared" si="150"/>
        <v>2.1352313167259787E-2</v>
      </c>
      <c r="AF352" s="67">
        <f t="shared" si="151"/>
        <v>0.14163701067615658</v>
      </c>
      <c r="AG352" s="67">
        <f t="shared" si="152"/>
        <v>0.10747330960854093</v>
      </c>
      <c r="AH352" s="67">
        <f t="shared" si="153"/>
        <v>0.13523131672597866</v>
      </c>
      <c r="AI352" s="67">
        <f t="shared" si="154"/>
        <v>0.31245551601423488</v>
      </c>
      <c r="AJ352" s="66"/>
      <c r="AK352" s="68">
        <v>534.60000000000014</v>
      </c>
      <c r="AL352" s="69">
        <v>47.58</v>
      </c>
      <c r="AM352" s="69">
        <v>47.58</v>
      </c>
      <c r="AN352" s="69">
        <v>250.08999999999901</v>
      </c>
      <c r="AO352" s="70">
        <v>222.05999999999901</v>
      </c>
      <c r="AP352" s="70">
        <v>527.16999999999996</v>
      </c>
      <c r="AQ352" s="66"/>
      <c r="AR352" s="70" t="s">
        <v>779</v>
      </c>
      <c r="AS352" s="66"/>
      <c r="AT352" s="108">
        <v>234</v>
      </c>
      <c r="AU352" s="109">
        <v>0</v>
      </c>
      <c r="AV352" s="109">
        <v>1836.04</v>
      </c>
      <c r="AW352" s="109">
        <v>11549.659999999998</v>
      </c>
      <c r="AX352" s="110">
        <v>462.56</v>
      </c>
      <c r="AY352" s="110">
        <v>0</v>
      </c>
    </row>
    <row r="353" spans="1:51" x14ac:dyDescent="0.25">
      <c r="A353" s="8" t="s">
        <v>589</v>
      </c>
      <c r="B353" s="5" t="s">
        <v>590</v>
      </c>
      <c r="C353" s="2">
        <v>1.110000000000003</v>
      </c>
      <c r="D353" s="24">
        <v>900</v>
      </c>
      <c r="E353" s="26">
        <f t="shared" si="141"/>
        <v>450</v>
      </c>
      <c r="F353" s="26">
        <v>719</v>
      </c>
      <c r="G353" s="30">
        <f t="shared" si="142"/>
        <v>0.62586926286509037</v>
      </c>
      <c r="H353" s="11"/>
      <c r="I353" s="9">
        <v>242</v>
      </c>
      <c r="J353" s="3">
        <v>99</v>
      </c>
      <c r="K353" s="3">
        <v>330</v>
      </c>
      <c r="L353" s="3">
        <v>0</v>
      </c>
      <c r="M353" s="6"/>
      <c r="N353" s="6">
        <v>130</v>
      </c>
      <c r="O353" s="13"/>
      <c r="P353" s="60">
        <f t="shared" si="143"/>
        <v>268.62000000000074</v>
      </c>
      <c r="Q353" s="61">
        <f t="shared" si="144"/>
        <v>109.8900000000003</v>
      </c>
      <c r="R353" s="61">
        <f t="shared" si="145"/>
        <v>366.30000000000098</v>
      </c>
      <c r="S353" s="62">
        <f t="shared" si="146"/>
        <v>0</v>
      </c>
      <c r="T353" s="63">
        <f t="shared" si="147"/>
        <v>0</v>
      </c>
      <c r="U353" s="63">
        <f t="shared" si="148"/>
        <v>144.30000000000038</v>
      </c>
      <c r="V353" s="64"/>
      <c r="W353" s="60">
        <v>10</v>
      </c>
      <c r="X353" s="61">
        <v>249</v>
      </c>
      <c r="Y353" s="61">
        <v>213</v>
      </c>
      <c r="Z353" s="61">
        <v>167</v>
      </c>
      <c r="AA353" s="65">
        <v>235</v>
      </c>
      <c r="AB353" s="65">
        <v>1</v>
      </c>
      <c r="AC353" s="66"/>
      <c r="AD353" s="67">
        <f t="shared" si="149"/>
        <v>1.3908205841446454E-2</v>
      </c>
      <c r="AE353" s="67">
        <f t="shared" si="150"/>
        <v>0.34631432545201668</v>
      </c>
      <c r="AF353" s="67">
        <f t="shared" si="151"/>
        <v>0.29624478442280944</v>
      </c>
      <c r="AG353" s="67">
        <f t="shared" si="152"/>
        <v>0.23226703755215578</v>
      </c>
      <c r="AH353" s="67">
        <f t="shared" si="153"/>
        <v>0.32684283727399166</v>
      </c>
      <c r="AI353" s="67">
        <f t="shared" si="154"/>
        <v>1.3908205841446453E-3</v>
      </c>
      <c r="AJ353" s="66"/>
      <c r="AK353" s="68">
        <v>24.1</v>
      </c>
      <c r="AL353" s="69">
        <v>379.6</v>
      </c>
      <c r="AM353" s="69">
        <v>379.59999999999997</v>
      </c>
      <c r="AN353" s="69">
        <v>537.83999999999969</v>
      </c>
      <c r="AO353" s="70">
        <v>320.24999999999898</v>
      </c>
      <c r="AP353" s="70">
        <v>1.1100000000000001</v>
      </c>
      <c r="AQ353" s="66"/>
      <c r="AR353" s="70" t="s">
        <v>780</v>
      </c>
      <c r="AS353" s="66"/>
      <c r="AT353" s="108">
        <v>4338.24</v>
      </c>
      <c r="AU353" s="109">
        <v>2014.65</v>
      </c>
      <c r="AV353" s="109">
        <v>6753.2</v>
      </c>
      <c r="AW353" s="109">
        <v>0</v>
      </c>
      <c r="AX353" s="110">
        <v>0</v>
      </c>
      <c r="AY353" s="110">
        <v>2600</v>
      </c>
    </row>
    <row r="354" spans="1:51" x14ac:dyDescent="0.25">
      <c r="A354" s="8" t="s">
        <v>251</v>
      </c>
      <c r="B354" s="5" t="s">
        <v>252</v>
      </c>
      <c r="C354" s="2">
        <v>1.1099999999999999</v>
      </c>
      <c r="D354" s="24">
        <v>4000</v>
      </c>
      <c r="E354" s="26">
        <f t="shared" si="141"/>
        <v>2000</v>
      </c>
      <c r="F354" s="26">
        <v>6339</v>
      </c>
      <c r="G354" s="30">
        <f t="shared" si="142"/>
        <v>0.31550717778829468</v>
      </c>
      <c r="H354" s="11"/>
      <c r="I354" s="9">
        <v>0</v>
      </c>
      <c r="J354" s="3">
        <v>0</v>
      </c>
      <c r="K354" s="3">
        <v>0</v>
      </c>
      <c r="L354" s="3">
        <v>0</v>
      </c>
      <c r="M354" s="6">
        <v>195</v>
      </c>
      <c r="N354" s="6">
        <v>114</v>
      </c>
      <c r="O354" s="13"/>
      <c r="P354" s="60">
        <f t="shared" si="143"/>
        <v>0</v>
      </c>
      <c r="Q354" s="61">
        <f t="shared" si="144"/>
        <v>0</v>
      </c>
      <c r="R354" s="61">
        <f t="shared" si="145"/>
        <v>0</v>
      </c>
      <c r="S354" s="62">
        <f t="shared" si="146"/>
        <v>0</v>
      </c>
      <c r="T354" s="63">
        <f t="shared" si="147"/>
        <v>216.45</v>
      </c>
      <c r="U354" s="63">
        <f t="shared" si="148"/>
        <v>126.53999999999999</v>
      </c>
      <c r="V354" s="64"/>
      <c r="W354" s="60">
        <v>1791</v>
      </c>
      <c r="X354" s="61">
        <v>1812</v>
      </c>
      <c r="Y354" s="61">
        <v>3061</v>
      </c>
      <c r="Z354" s="61">
        <v>1830</v>
      </c>
      <c r="AA354" s="65">
        <v>1011</v>
      </c>
      <c r="AB354" s="65">
        <v>1196</v>
      </c>
      <c r="AC354" s="66"/>
      <c r="AD354" s="67">
        <f t="shared" si="149"/>
        <v>0.28253667770941787</v>
      </c>
      <c r="AE354" s="67">
        <f t="shared" si="150"/>
        <v>0.285849503076195</v>
      </c>
      <c r="AF354" s="67">
        <f t="shared" si="151"/>
        <v>0.48288373560498499</v>
      </c>
      <c r="AG354" s="67">
        <f t="shared" si="152"/>
        <v>0.28868906767628966</v>
      </c>
      <c r="AH354" s="67">
        <f t="shared" si="153"/>
        <v>0.15948887837198297</v>
      </c>
      <c r="AI354" s="67">
        <f t="shared" si="154"/>
        <v>0.18867329231740021</v>
      </c>
      <c r="AJ354" s="66"/>
      <c r="AK354" s="68">
        <v>435.82000000000022</v>
      </c>
      <c r="AL354" s="69">
        <v>193.07999999999981</v>
      </c>
      <c r="AM354" s="69">
        <v>193.07999999999979</v>
      </c>
      <c r="AN354" s="69">
        <v>135.00999999999968</v>
      </c>
      <c r="AO354" s="70">
        <v>410.30000000000098</v>
      </c>
      <c r="AP354" s="70">
        <v>403.03</v>
      </c>
      <c r="AQ354" s="66"/>
      <c r="AR354" s="70" t="s">
        <v>779</v>
      </c>
      <c r="AS354" s="66"/>
      <c r="AT354" s="108">
        <v>0</v>
      </c>
      <c r="AU354" s="109">
        <v>0</v>
      </c>
      <c r="AV354" s="109">
        <v>0</v>
      </c>
      <c r="AW354" s="109">
        <v>0</v>
      </c>
      <c r="AX354" s="110">
        <v>514.79999999999995</v>
      </c>
      <c r="AY354" s="110">
        <v>426.36</v>
      </c>
    </row>
    <row r="355" spans="1:51" x14ac:dyDescent="0.25">
      <c r="A355" s="8" t="s">
        <v>311</v>
      </c>
      <c r="B355" s="5" t="s">
        <v>312</v>
      </c>
      <c r="C355" s="2">
        <v>1.1099999999999994</v>
      </c>
      <c r="D355" s="24">
        <v>10000</v>
      </c>
      <c r="E355" s="26">
        <f t="shared" si="141"/>
        <v>5000</v>
      </c>
      <c r="F355" s="26">
        <v>49911</v>
      </c>
      <c r="G355" s="30">
        <f t="shared" si="142"/>
        <v>0.10017831740498087</v>
      </c>
      <c r="H355" s="11"/>
      <c r="I355" s="9">
        <v>0</v>
      </c>
      <c r="J355" s="3">
        <v>80</v>
      </c>
      <c r="K355" s="3">
        <v>0</v>
      </c>
      <c r="L355" s="3">
        <v>0</v>
      </c>
      <c r="M355" s="6">
        <v>25</v>
      </c>
      <c r="N355" s="6">
        <v>46</v>
      </c>
      <c r="O355" s="13"/>
      <c r="P355" s="60">
        <f t="shared" si="143"/>
        <v>0</v>
      </c>
      <c r="Q355" s="61">
        <f t="shared" si="144"/>
        <v>88.799999999999955</v>
      </c>
      <c r="R355" s="61">
        <f t="shared" si="145"/>
        <v>0</v>
      </c>
      <c r="S355" s="62">
        <f t="shared" si="146"/>
        <v>0</v>
      </c>
      <c r="T355" s="63">
        <f t="shared" si="147"/>
        <v>27.749999999999986</v>
      </c>
      <c r="U355" s="63">
        <f t="shared" si="148"/>
        <v>51.059999999999974</v>
      </c>
      <c r="V355" s="64"/>
      <c r="W355" s="60">
        <v>0</v>
      </c>
      <c r="X355" s="61">
        <v>0</v>
      </c>
      <c r="Y355" s="61">
        <v>0</v>
      </c>
      <c r="Z355" s="61">
        <v>0</v>
      </c>
      <c r="AA355" s="65">
        <v>0</v>
      </c>
      <c r="AB355" s="65">
        <v>121</v>
      </c>
      <c r="AC355" s="66"/>
      <c r="AD355" s="67">
        <f t="shared" si="149"/>
        <v>0</v>
      </c>
      <c r="AE355" s="67">
        <f t="shared" si="150"/>
        <v>0</v>
      </c>
      <c r="AF355" s="67">
        <f t="shared" si="151"/>
        <v>0</v>
      </c>
      <c r="AG355" s="67">
        <f t="shared" si="152"/>
        <v>0</v>
      </c>
      <c r="AH355" s="67">
        <f t="shared" si="153"/>
        <v>0</v>
      </c>
      <c r="AI355" s="67">
        <f t="shared" si="154"/>
        <v>2.4243152812005371E-3</v>
      </c>
      <c r="AJ355" s="66"/>
      <c r="AK355" s="68">
        <v>0</v>
      </c>
      <c r="AL355" s="69">
        <v>0</v>
      </c>
      <c r="AM355" s="69">
        <v>0</v>
      </c>
      <c r="AN355" s="69">
        <v>0</v>
      </c>
      <c r="AO355" s="70">
        <v>0</v>
      </c>
      <c r="AP355" s="70">
        <v>134.19999999999999</v>
      </c>
      <c r="AQ355" s="66"/>
      <c r="AR355" s="70" t="s">
        <v>779</v>
      </c>
      <c r="AS355" s="66"/>
      <c r="AT355" s="108">
        <v>0</v>
      </c>
      <c r="AU355" s="109">
        <v>389.6</v>
      </c>
      <c r="AV355" s="109">
        <v>0</v>
      </c>
      <c r="AW355" s="109">
        <v>0</v>
      </c>
      <c r="AX355" s="110">
        <v>121.25</v>
      </c>
      <c r="AY355" s="110">
        <v>221.72</v>
      </c>
    </row>
    <row r="356" spans="1:51" x14ac:dyDescent="0.25">
      <c r="A356" s="8" t="s">
        <v>629</v>
      </c>
      <c r="B356" s="5" t="s">
        <v>630</v>
      </c>
      <c r="C356" s="2">
        <v>1.1099999999999994</v>
      </c>
      <c r="D356" s="24">
        <v>15000</v>
      </c>
      <c r="E356" s="26">
        <f t="shared" si="141"/>
        <v>7500</v>
      </c>
      <c r="F356" s="26">
        <v>34314</v>
      </c>
      <c r="G356" s="30">
        <f t="shared" si="142"/>
        <v>0.21856968001398847</v>
      </c>
      <c r="H356" s="11"/>
      <c r="I356" s="9">
        <v>796</v>
      </c>
      <c r="J356" s="3">
        <v>688</v>
      </c>
      <c r="K356" s="3">
        <v>499</v>
      </c>
      <c r="L356" s="3">
        <v>48</v>
      </c>
      <c r="M356" s="6">
        <v>46</v>
      </c>
      <c r="N356" s="6">
        <v>113</v>
      </c>
      <c r="O356" s="13"/>
      <c r="P356" s="60">
        <f t="shared" si="143"/>
        <v>883.55999999999949</v>
      </c>
      <c r="Q356" s="61">
        <f t="shared" si="144"/>
        <v>763.67999999999961</v>
      </c>
      <c r="R356" s="61">
        <f t="shared" si="145"/>
        <v>553.88999999999976</v>
      </c>
      <c r="S356" s="62">
        <f t="shared" si="146"/>
        <v>53.279999999999973</v>
      </c>
      <c r="T356" s="63">
        <f t="shared" si="147"/>
        <v>51.059999999999974</v>
      </c>
      <c r="U356" s="63">
        <f t="shared" si="148"/>
        <v>125.42999999999994</v>
      </c>
      <c r="V356" s="64"/>
      <c r="W356" s="60">
        <v>100</v>
      </c>
      <c r="X356" s="61">
        <v>989</v>
      </c>
      <c r="Y356" s="61">
        <v>446</v>
      </c>
      <c r="Z356" s="61">
        <v>684</v>
      </c>
      <c r="AA356" s="65">
        <v>180</v>
      </c>
      <c r="AB356" s="65">
        <v>576</v>
      </c>
      <c r="AC356" s="66"/>
      <c r="AD356" s="67">
        <f t="shared" si="149"/>
        <v>2.9142624001865128E-3</v>
      </c>
      <c r="AE356" s="67">
        <f t="shared" si="150"/>
        <v>2.882205513784461E-2</v>
      </c>
      <c r="AF356" s="67">
        <f t="shared" si="151"/>
        <v>1.2997610304831847E-2</v>
      </c>
      <c r="AG356" s="67">
        <f t="shared" si="152"/>
        <v>1.9933554817275746E-2</v>
      </c>
      <c r="AH356" s="67">
        <f t="shared" si="153"/>
        <v>5.2456723203357231E-3</v>
      </c>
      <c r="AI356" s="67">
        <f t="shared" si="154"/>
        <v>1.6786151425074315E-2</v>
      </c>
      <c r="AJ356" s="66"/>
      <c r="AK356" s="68">
        <v>33.619999999999997</v>
      </c>
      <c r="AL356" s="69">
        <v>1087.1299999999972</v>
      </c>
      <c r="AM356" s="69">
        <v>1087.1299999999972</v>
      </c>
      <c r="AN356" s="69">
        <v>478.61999999999892</v>
      </c>
      <c r="AO356" s="70">
        <v>856.37</v>
      </c>
      <c r="AP356" s="70">
        <v>354.93</v>
      </c>
      <c r="AQ356" s="66"/>
      <c r="AR356" s="70" t="s">
        <v>780</v>
      </c>
      <c r="AS356" s="66"/>
      <c r="AT356" s="108">
        <v>21546.980000000003</v>
      </c>
      <c r="AU356" s="109">
        <v>18716.96</v>
      </c>
      <c r="AV356" s="109">
        <v>13502.57</v>
      </c>
      <c r="AW356" s="109">
        <v>1295.52</v>
      </c>
      <c r="AX356" s="110">
        <v>1268.68</v>
      </c>
      <c r="AY356" s="110">
        <v>3118.58</v>
      </c>
    </row>
    <row r="357" spans="1:51" x14ac:dyDescent="0.25">
      <c r="A357" s="8">
        <v>5264</v>
      </c>
      <c r="B357" s="5" t="s">
        <v>831</v>
      </c>
      <c r="C357" s="2">
        <v>1.1096175122490917</v>
      </c>
      <c r="D357" s="24">
        <v>500</v>
      </c>
      <c r="E357" s="26">
        <f t="shared" si="141"/>
        <v>250</v>
      </c>
      <c r="F357" s="26">
        <v>200</v>
      </c>
      <c r="G357" s="30">
        <f t="shared" si="142"/>
        <v>1.25</v>
      </c>
      <c r="H357" s="11"/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6">
        <v>412</v>
      </c>
      <c r="O357" s="13"/>
      <c r="P357" s="60"/>
      <c r="Q357" s="61"/>
      <c r="R357" s="61"/>
      <c r="S357" s="62"/>
      <c r="T357" s="63"/>
      <c r="U357" s="63">
        <f t="shared" si="148"/>
        <v>457.16241504662577</v>
      </c>
      <c r="V357" s="64"/>
      <c r="W357" s="60"/>
      <c r="X357" s="61"/>
      <c r="Y357" s="61"/>
      <c r="Z357" s="61"/>
      <c r="AA357" s="65"/>
      <c r="AB357" s="65"/>
      <c r="AC357" s="66"/>
      <c r="AD357" s="67">
        <f t="shared" si="149"/>
        <v>0</v>
      </c>
      <c r="AE357" s="67">
        <f t="shared" si="150"/>
        <v>0</v>
      </c>
      <c r="AF357" s="67">
        <f t="shared" si="151"/>
        <v>0</v>
      </c>
      <c r="AG357" s="67">
        <f t="shared" si="152"/>
        <v>0</v>
      </c>
      <c r="AH357" s="67">
        <f t="shared" si="153"/>
        <v>0</v>
      </c>
      <c r="AI357" s="67">
        <f t="shared" si="154"/>
        <v>0</v>
      </c>
      <c r="AJ357" s="66"/>
      <c r="AK357" s="68"/>
      <c r="AL357" s="69"/>
      <c r="AM357" s="69"/>
      <c r="AN357" s="69"/>
      <c r="AO357" s="70"/>
      <c r="AP357" s="70"/>
      <c r="AQ357" s="66"/>
      <c r="AR357" s="70" t="s">
        <v>779</v>
      </c>
      <c r="AS357" s="66"/>
      <c r="AT357" s="108">
        <v>0</v>
      </c>
      <c r="AU357" s="109">
        <v>0</v>
      </c>
      <c r="AV357" s="109">
        <v>0</v>
      </c>
      <c r="AW357" s="109">
        <v>0</v>
      </c>
      <c r="AX357" s="110">
        <v>0</v>
      </c>
      <c r="AY357" s="110">
        <v>1407.88</v>
      </c>
    </row>
    <row r="358" spans="1:51" x14ac:dyDescent="0.25">
      <c r="A358" s="8">
        <v>5222</v>
      </c>
      <c r="B358" s="5" t="s">
        <v>272</v>
      </c>
      <c r="C358" s="2">
        <v>1.0900000000000007</v>
      </c>
      <c r="D358" s="24">
        <v>2000</v>
      </c>
      <c r="E358" s="26">
        <f t="shared" si="141"/>
        <v>1000</v>
      </c>
      <c r="F358" s="26">
        <v>22148</v>
      </c>
      <c r="G358" s="30">
        <f t="shared" si="142"/>
        <v>4.5150803684305581E-2</v>
      </c>
      <c r="H358" s="11"/>
      <c r="I358" s="9">
        <v>0</v>
      </c>
      <c r="J358" s="3">
        <v>0</v>
      </c>
      <c r="K358" s="3">
        <v>0</v>
      </c>
      <c r="L358" s="3">
        <v>100</v>
      </c>
      <c r="M358" s="6">
        <v>265</v>
      </c>
      <c r="N358" s="6">
        <v>4081</v>
      </c>
      <c r="O358" s="13"/>
      <c r="P358" s="60">
        <f t="shared" ref="P358:P368" si="155">+I358*C358</f>
        <v>0</v>
      </c>
      <c r="Q358" s="61">
        <f t="shared" ref="Q358:Q368" si="156">+J358*C358</f>
        <v>0</v>
      </c>
      <c r="R358" s="61">
        <f t="shared" ref="R358:R368" si="157">+K358*C358</f>
        <v>0</v>
      </c>
      <c r="S358" s="62">
        <f t="shared" ref="S358:S368" si="158">+L358*C358</f>
        <v>109.00000000000007</v>
      </c>
      <c r="T358" s="63">
        <f t="shared" ref="T358:T368" si="159">+M358*C358</f>
        <v>288.85000000000019</v>
      </c>
      <c r="U358" s="63">
        <f t="shared" si="148"/>
        <v>4448.2900000000027</v>
      </c>
      <c r="V358" s="64"/>
      <c r="W358" s="60">
        <v>587</v>
      </c>
      <c r="X358" s="61">
        <v>1174</v>
      </c>
      <c r="Y358" s="61">
        <v>676</v>
      </c>
      <c r="Z358" s="61">
        <v>659</v>
      </c>
      <c r="AA358" s="65">
        <v>644</v>
      </c>
      <c r="AB358" s="65">
        <v>590</v>
      </c>
      <c r="AC358" s="66"/>
      <c r="AD358" s="67">
        <f t="shared" si="149"/>
        <v>2.6503521762687377E-2</v>
      </c>
      <c r="AE358" s="67">
        <f t="shared" si="150"/>
        <v>5.3007043525374754E-2</v>
      </c>
      <c r="AF358" s="67">
        <f t="shared" si="151"/>
        <v>3.0521943290590572E-2</v>
      </c>
      <c r="AG358" s="67">
        <f t="shared" si="152"/>
        <v>2.9754379627957378E-2</v>
      </c>
      <c r="AH358" s="67">
        <f t="shared" si="153"/>
        <v>2.9077117572692796E-2</v>
      </c>
      <c r="AI358" s="67">
        <f t="shared" si="154"/>
        <v>2.6638974173740292E-2</v>
      </c>
      <c r="AJ358" s="66"/>
      <c r="AK358" s="68">
        <v>73.64</v>
      </c>
      <c r="AL358" s="69">
        <v>117.80999999999895</v>
      </c>
      <c r="AM358" s="69">
        <v>117.80999999999896</v>
      </c>
      <c r="AN358" s="69">
        <v>53.709999999999987</v>
      </c>
      <c r="AO358" s="70">
        <v>930.83</v>
      </c>
      <c r="AP358" s="70">
        <v>662.85999999999797</v>
      </c>
      <c r="AQ358" s="66"/>
      <c r="AR358" s="70" t="s">
        <v>779</v>
      </c>
      <c r="AS358" s="66"/>
      <c r="AT358" s="108">
        <v>0</v>
      </c>
      <c r="AU358" s="109">
        <v>0</v>
      </c>
      <c r="AV358" s="109">
        <v>0</v>
      </c>
      <c r="AW358" s="109">
        <v>398</v>
      </c>
      <c r="AX358" s="110">
        <v>1049.4000000000001</v>
      </c>
      <c r="AY358" s="110">
        <v>16689.38</v>
      </c>
    </row>
    <row r="359" spans="1:51" x14ac:dyDescent="0.25">
      <c r="A359" s="8">
        <v>5335</v>
      </c>
      <c r="B359" s="5" t="s">
        <v>159</v>
      </c>
      <c r="C359" s="2">
        <v>1.08</v>
      </c>
      <c r="D359" s="24">
        <v>1000</v>
      </c>
      <c r="E359" s="26">
        <f t="shared" si="141"/>
        <v>500</v>
      </c>
      <c r="F359" s="26">
        <v>5587</v>
      </c>
      <c r="G359" s="30">
        <f t="shared" si="142"/>
        <v>8.9493466976910685E-2</v>
      </c>
      <c r="H359" s="11"/>
      <c r="I359" s="9">
        <v>0</v>
      </c>
      <c r="J359" s="3">
        <v>0</v>
      </c>
      <c r="K359" s="3">
        <v>0</v>
      </c>
      <c r="L359" s="3">
        <v>0</v>
      </c>
      <c r="M359" s="6">
        <v>1000</v>
      </c>
      <c r="N359" s="6">
        <v>3084</v>
      </c>
      <c r="O359" s="13"/>
      <c r="P359" s="60">
        <f t="shared" si="155"/>
        <v>0</v>
      </c>
      <c r="Q359" s="61">
        <f t="shared" si="156"/>
        <v>0</v>
      </c>
      <c r="R359" s="61">
        <f t="shared" si="157"/>
        <v>0</v>
      </c>
      <c r="S359" s="62">
        <f t="shared" si="158"/>
        <v>0</v>
      </c>
      <c r="T359" s="63">
        <f t="shared" si="159"/>
        <v>1080</v>
      </c>
      <c r="U359" s="63">
        <f t="shared" si="148"/>
        <v>3330.7200000000003</v>
      </c>
      <c r="V359" s="64"/>
      <c r="W359" s="60">
        <v>0</v>
      </c>
      <c r="X359" s="61">
        <v>0</v>
      </c>
      <c r="Y359" s="61">
        <v>0</v>
      </c>
      <c r="Z359" s="61">
        <v>0</v>
      </c>
      <c r="AA359" s="65">
        <v>0</v>
      </c>
      <c r="AB359" s="65">
        <v>1206</v>
      </c>
      <c r="AC359" s="66"/>
      <c r="AD359" s="67">
        <f t="shared" si="149"/>
        <v>0</v>
      </c>
      <c r="AE359" s="67">
        <f t="shared" si="150"/>
        <v>0</v>
      </c>
      <c r="AF359" s="67">
        <f t="shared" si="151"/>
        <v>0</v>
      </c>
      <c r="AG359" s="67">
        <f t="shared" si="152"/>
        <v>0</v>
      </c>
      <c r="AH359" s="67">
        <f t="shared" si="153"/>
        <v>0</v>
      </c>
      <c r="AI359" s="67">
        <f t="shared" si="154"/>
        <v>0.21585824234830858</v>
      </c>
      <c r="AJ359" s="66"/>
      <c r="AK359" s="68">
        <v>0</v>
      </c>
      <c r="AL359" s="69">
        <v>0</v>
      </c>
      <c r="AM359" s="69">
        <v>0</v>
      </c>
      <c r="AN359" s="69">
        <v>0</v>
      </c>
      <c r="AO359" s="70">
        <v>0</v>
      </c>
      <c r="AP359" s="70">
        <v>1422.92</v>
      </c>
      <c r="AQ359" s="66"/>
      <c r="AR359" s="70" t="s">
        <v>779</v>
      </c>
      <c r="AS359" s="66"/>
      <c r="AT359" s="108">
        <v>0</v>
      </c>
      <c r="AU359" s="109">
        <v>0</v>
      </c>
      <c r="AV359" s="109">
        <v>0</v>
      </c>
      <c r="AW359" s="109">
        <v>0</v>
      </c>
      <c r="AX359" s="110">
        <v>2200</v>
      </c>
      <c r="AY359" s="110">
        <v>6820.82</v>
      </c>
    </row>
    <row r="360" spans="1:51" x14ac:dyDescent="0.25">
      <c r="A360" s="8" t="s">
        <v>681</v>
      </c>
      <c r="B360" s="5" t="s">
        <v>682</v>
      </c>
      <c r="C360" s="2">
        <v>1.0500000000000043</v>
      </c>
      <c r="D360" s="24">
        <v>300</v>
      </c>
      <c r="E360" s="26">
        <f t="shared" si="141"/>
        <v>150</v>
      </c>
      <c r="F360" s="26">
        <v>820</v>
      </c>
      <c r="G360" s="30">
        <f t="shared" si="142"/>
        <v>0.18292682926829268</v>
      </c>
      <c r="H360" s="11"/>
      <c r="I360" s="9">
        <v>0</v>
      </c>
      <c r="J360" s="3">
        <v>0</v>
      </c>
      <c r="K360" s="3">
        <v>597</v>
      </c>
      <c r="L360" s="3">
        <v>346</v>
      </c>
      <c r="M360" s="6">
        <v>290</v>
      </c>
      <c r="N360" s="6">
        <v>198</v>
      </c>
      <c r="O360" s="13"/>
      <c r="P360" s="60">
        <f t="shared" si="155"/>
        <v>0</v>
      </c>
      <c r="Q360" s="61">
        <f t="shared" si="156"/>
        <v>0</v>
      </c>
      <c r="R360" s="61">
        <f t="shared" si="157"/>
        <v>626.85000000000252</v>
      </c>
      <c r="S360" s="62">
        <f t="shared" si="158"/>
        <v>363.30000000000149</v>
      </c>
      <c r="T360" s="63">
        <f t="shared" si="159"/>
        <v>304.50000000000125</v>
      </c>
      <c r="U360" s="63">
        <f t="shared" si="148"/>
        <v>207.90000000000083</v>
      </c>
      <c r="V360" s="64"/>
      <c r="W360" s="60">
        <v>280</v>
      </c>
      <c r="X360" s="61">
        <v>238</v>
      </c>
      <c r="Y360" s="61">
        <v>90</v>
      </c>
      <c r="Z360" s="61">
        <v>214</v>
      </c>
      <c r="AA360" s="65">
        <v>348</v>
      </c>
      <c r="AB360" s="65">
        <v>229</v>
      </c>
      <c r="AC360" s="66"/>
      <c r="AD360" s="67">
        <f t="shared" si="149"/>
        <v>0.34146341463414637</v>
      </c>
      <c r="AE360" s="67">
        <f t="shared" si="150"/>
        <v>0.29024390243902437</v>
      </c>
      <c r="AF360" s="67">
        <f t="shared" si="151"/>
        <v>0.10975609756097561</v>
      </c>
      <c r="AG360" s="67">
        <f t="shared" si="152"/>
        <v>0.26097560975609757</v>
      </c>
      <c r="AH360" s="67">
        <f t="shared" si="153"/>
        <v>0.42439024390243901</v>
      </c>
      <c r="AI360" s="67">
        <f t="shared" si="154"/>
        <v>0.27926829268292686</v>
      </c>
      <c r="AJ360" s="66"/>
      <c r="AK360" s="68">
        <v>751.39999999999986</v>
      </c>
      <c r="AL360" s="69">
        <v>1090.4399999999998</v>
      </c>
      <c r="AM360" s="69">
        <v>1090.4399999999998</v>
      </c>
      <c r="AN360" s="69">
        <v>538.58999999999992</v>
      </c>
      <c r="AO360" s="70">
        <v>808.67</v>
      </c>
      <c r="AP360" s="70">
        <v>401.19999999999902</v>
      </c>
      <c r="AQ360" s="66"/>
      <c r="AR360" s="70" t="s">
        <v>780</v>
      </c>
      <c r="AS360" s="66"/>
      <c r="AT360" s="108">
        <v>0</v>
      </c>
      <c r="AU360" s="109">
        <v>0</v>
      </c>
      <c r="AV360" s="109">
        <v>26917.599999999999</v>
      </c>
      <c r="AW360" s="109">
        <v>16243.4</v>
      </c>
      <c r="AX360" s="110">
        <v>13287.5</v>
      </c>
      <c r="AY360" s="110">
        <v>8952.4</v>
      </c>
    </row>
    <row r="361" spans="1:51" x14ac:dyDescent="0.25">
      <c r="A361" s="8" t="s">
        <v>441</v>
      </c>
      <c r="B361" s="5" t="s">
        <v>442</v>
      </c>
      <c r="C361" s="2">
        <v>1.0500000000000007</v>
      </c>
      <c r="D361" s="24">
        <v>5000</v>
      </c>
      <c r="E361" s="26">
        <f t="shared" si="141"/>
        <v>2500</v>
      </c>
      <c r="F361" s="26">
        <v>14172</v>
      </c>
      <c r="G361" s="30">
        <f t="shared" si="142"/>
        <v>0.17640417725091731</v>
      </c>
      <c r="H361" s="11"/>
      <c r="I361" s="9">
        <v>4032</v>
      </c>
      <c r="J361" s="3">
        <v>2013</v>
      </c>
      <c r="K361" s="3">
        <v>1510</v>
      </c>
      <c r="L361" s="3">
        <v>0</v>
      </c>
      <c r="M361" s="6">
        <v>6046</v>
      </c>
      <c r="N361" s="6">
        <v>3021</v>
      </c>
      <c r="O361" s="13"/>
      <c r="P361" s="60">
        <f t="shared" si="155"/>
        <v>4233.6000000000031</v>
      </c>
      <c r="Q361" s="61">
        <f t="shared" si="156"/>
        <v>2113.6500000000015</v>
      </c>
      <c r="R361" s="61">
        <f t="shared" si="157"/>
        <v>1585.5000000000011</v>
      </c>
      <c r="S361" s="62">
        <f t="shared" si="158"/>
        <v>0</v>
      </c>
      <c r="T361" s="63">
        <f t="shared" si="159"/>
        <v>6348.3000000000047</v>
      </c>
      <c r="U361" s="63">
        <f t="shared" si="148"/>
        <v>3172.050000000002</v>
      </c>
      <c r="V361" s="64"/>
      <c r="W361" s="60">
        <v>2568</v>
      </c>
      <c r="X361" s="61">
        <v>2700</v>
      </c>
      <c r="Y361" s="61">
        <v>2138</v>
      </c>
      <c r="Z361" s="61">
        <v>3406</v>
      </c>
      <c r="AA361" s="65">
        <v>1200</v>
      </c>
      <c r="AB361" s="65">
        <v>3433</v>
      </c>
      <c r="AC361" s="66"/>
      <c r="AD361" s="67">
        <f t="shared" si="149"/>
        <v>0.18120237087214225</v>
      </c>
      <c r="AE361" s="67">
        <f t="shared" si="150"/>
        <v>0.19051651143099069</v>
      </c>
      <c r="AF361" s="67">
        <f t="shared" si="151"/>
        <v>0.15086085238498448</v>
      </c>
      <c r="AG361" s="67">
        <f t="shared" si="152"/>
        <v>0.24033305108664973</v>
      </c>
      <c r="AH361" s="67">
        <f t="shared" si="153"/>
        <v>8.4674005080440304E-2</v>
      </c>
      <c r="AI361" s="67">
        <f t="shared" si="154"/>
        <v>0.24223821620095964</v>
      </c>
      <c r="AJ361" s="66"/>
      <c r="AK361" s="68">
        <v>1010.680000000002</v>
      </c>
      <c r="AL361" s="69">
        <v>3264.5899999999888</v>
      </c>
      <c r="AM361" s="69">
        <v>3264.5899999999883</v>
      </c>
      <c r="AN361" s="69">
        <v>2915.5899999999961</v>
      </c>
      <c r="AO361" s="70">
        <v>4061.4299999999298</v>
      </c>
      <c r="AP361" s="70">
        <v>4740.1200000000499</v>
      </c>
      <c r="AQ361" s="66"/>
      <c r="AR361" s="70" t="s">
        <v>779</v>
      </c>
      <c r="AS361" s="66"/>
      <c r="AT361" s="108">
        <v>36489.600000000006</v>
      </c>
      <c r="AU361" s="109">
        <v>18257.91</v>
      </c>
      <c r="AV361" s="109">
        <v>13756.1</v>
      </c>
      <c r="AW361" s="109">
        <v>0</v>
      </c>
      <c r="AX361" s="110">
        <v>54595.37999999999</v>
      </c>
      <c r="AY361" s="110">
        <v>27158.79</v>
      </c>
    </row>
    <row r="362" spans="1:51" x14ac:dyDescent="0.25">
      <c r="A362" s="8" t="s">
        <v>393</v>
      </c>
      <c r="B362" s="5" t="s">
        <v>394</v>
      </c>
      <c r="C362" s="2">
        <v>1.0499999999999998</v>
      </c>
      <c r="D362" s="24">
        <v>300</v>
      </c>
      <c r="E362" s="26">
        <f t="shared" si="141"/>
        <v>150</v>
      </c>
      <c r="F362" s="26">
        <v>219</v>
      </c>
      <c r="G362" s="30">
        <f t="shared" si="142"/>
        <v>0.68493150684931503</v>
      </c>
      <c r="H362" s="11"/>
      <c r="I362" s="9">
        <v>0</v>
      </c>
      <c r="J362" s="3">
        <v>0</v>
      </c>
      <c r="K362" s="3">
        <v>185</v>
      </c>
      <c r="L362" s="3">
        <v>245</v>
      </c>
      <c r="M362" s="6">
        <v>148</v>
      </c>
      <c r="N362" s="6">
        <v>0</v>
      </c>
      <c r="O362" s="13"/>
      <c r="P362" s="60">
        <f t="shared" si="155"/>
        <v>0</v>
      </c>
      <c r="Q362" s="61">
        <f t="shared" si="156"/>
        <v>0</v>
      </c>
      <c r="R362" s="61">
        <f t="shared" si="157"/>
        <v>194.24999999999997</v>
      </c>
      <c r="S362" s="62">
        <f t="shared" si="158"/>
        <v>257.24999999999994</v>
      </c>
      <c r="T362" s="63">
        <f t="shared" si="159"/>
        <v>155.39999999999998</v>
      </c>
      <c r="U362" s="63">
        <f t="shared" si="148"/>
        <v>0</v>
      </c>
      <c r="V362" s="64"/>
      <c r="W362" s="60">
        <v>129</v>
      </c>
      <c r="X362" s="61">
        <v>99</v>
      </c>
      <c r="Y362" s="61">
        <v>76</v>
      </c>
      <c r="Z362" s="61">
        <v>104</v>
      </c>
      <c r="AA362" s="65">
        <v>219</v>
      </c>
      <c r="AB362" s="65">
        <v>135</v>
      </c>
      <c r="AC362" s="66"/>
      <c r="AD362" s="67">
        <f t="shared" si="149"/>
        <v>0.58904109589041098</v>
      </c>
      <c r="AE362" s="67">
        <f t="shared" si="150"/>
        <v>0.45205479452054792</v>
      </c>
      <c r="AF362" s="67">
        <f t="shared" si="151"/>
        <v>0.34703196347031962</v>
      </c>
      <c r="AG362" s="67">
        <f t="shared" si="152"/>
        <v>0.47488584474885842</v>
      </c>
      <c r="AH362" s="67">
        <f t="shared" si="153"/>
        <v>1</v>
      </c>
      <c r="AI362" s="67">
        <f t="shared" si="154"/>
        <v>0.61643835616438358</v>
      </c>
      <c r="AJ362" s="66"/>
      <c r="AK362" s="68">
        <v>0</v>
      </c>
      <c r="AL362" s="69">
        <v>178.80999999999989</v>
      </c>
      <c r="AM362" s="69">
        <v>178.80999999999995</v>
      </c>
      <c r="AN362" s="69">
        <v>262.72999999999985</v>
      </c>
      <c r="AO362" s="70">
        <v>278.54000000000002</v>
      </c>
      <c r="AP362" s="70">
        <v>167.85999999999899</v>
      </c>
      <c r="AQ362" s="66"/>
      <c r="AR362" s="70" t="s">
        <v>779</v>
      </c>
      <c r="AS362" s="66"/>
      <c r="AT362" s="108">
        <v>0</v>
      </c>
      <c r="AU362" s="109">
        <v>0</v>
      </c>
      <c r="AV362" s="109">
        <v>1361.75</v>
      </c>
      <c r="AW362" s="109">
        <v>1747.25</v>
      </c>
      <c r="AX362" s="110">
        <v>1030.2</v>
      </c>
      <c r="AY362" s="110">
        <v>0</v>
      </c>
    </row>
    <row r="363" spans="1:51" x14ac:dyDescent="0.25">
      <c r="A363" s="8" t="s">
        <v>534</v>
      </c>
      <c r="B363" s="5" t="s">
        <v>535</v>
      </c>
      <c r="C363" s="2">
        <v>1.0400000000000009</v>
      </c>
      <c r="D363" s="24">
        <v>600</v>
      </c>
      <c r="E363" s="26">
        <f t="shared" si="141"/>
        <v>300</v>
      </c>
      <c r="F363" s="26">
        <v>1098</v>
      </c>
      <c r="G363" s="30">
        <f t="shared" si="142"/>
        <v>0.27322404371584702</v>
      </c>
      <c r="H363" s="11"/>
      <c r="I363" s="9">
        <v>435</v>
      </c>
      <c r="J363" s="3">
        <v>751</v>
      </c>
      <c r="K363" s="3">
        <v>50</v>
      </c>
      <c r="L363" s="3">
        <v>0</v>
      </c>
      <c r="M363" s="6"/>
      <c r="N363" s="6">
        <v>0</v>
      </c>
      <c r="O363" s="13"/>
      <c r="P363" s="60">
        <f t="shared" si="155"/>
        <v>452.40000000000038</v>
      </c>
      <c r="Q363" s="61">
        <f t="shared" si="156"/>
        <v>781.04000000000065</v>
      </c>
      <c r="R363" s="61">
        <f t="shared" si="157"/>
        <v>52.000000000000043</v>
      </c>
      <c r="S363" s="62">
        <f t="shared" si="158"/>
        <v>0</v>
      </c>
      <c r="T363" s="63">
        <f t="shared" si="159"/>
        <v>0</v>
      </c>
      <c r="U363" s="63">
        <f t="shared" si="148"/>
        <v>0</v>
      </c>
      <c r="V363" s="64"/>
      <c r="W363" s="60">
        <v>188</v>
      </c>
      <c r="X363" s="61">
        <v>167</v>
      </c>
      <c r="Y363" s="61">
        <v>345</v>
      </c>
      <c r="Z363" s="61">
        <v>201</v>
      </c>
      <c r="AA363" s="65">
        <v>269</v>
      </c>
      <c r="AB363" s="65">
        <v>294</v>
      </c>
      <c r="AC363" s="66"/>
      <c r="AD363" s="67">
        <f t="shared" si="149"/>
        <v>0.17122040072859745</v>
      </c>
      <c r="AE363" s="67">
        <f t="shared" si="150"/>
        <v>0.15209471766848817</v>
      </c>
      <c r="AF363" s="67">
        <f t="shared" si="151"/>
        <v>0.31420765027322406</v>
      </c>
      <c r="AG363" s="67">
        <f t="shared" si="152"/>
        <v>0.1830601092896175</v>
      </c>
      <c r="AH363" s="67">
        <f t="shared" si="153"/>
        <v>0.24499089253187614</v>
      </c>
      <c r="AI363" s="67">
        <f t="shared" si="154"/>
        <v>0.26775956284153007</v>
      </c>
      <c r="AJ363" s="66"/>
      <c r="AK363" s="68">
        <v>165.87</v>
      </c>
      <c r="AL363" s="69">
        <v>320.32999999999976</v>
      </c>
      <c r="AM363" s="69">
        <v>320.32999999999981</v>
      </c>
      <c r="AN363" s="69">
        <v>344.46999999999986</v>
      </c>
      <c r="AO363" s="70">
        <v>267.10000000000002</v>
      </c>
      <c r="AP363" s="70">
        <v>336.33</v>
      </c>
      <c r="AQ363" s="66"/>
      <c r="AR363" s="70" t="s">
        <v>780</v>
      </c>
      <c r="AS363" s="66"/>
      <c r="AT363" s="108">
        <v>6156.05</v>
      </c>
      <c r="AU363" s="109">
        <v>10759.16</v>
      </c>
      <c r="AV363" s="109">
        <v>717</v>
      </c>
      <c r="AW363" s="109">
        <v>0</v>
      </c>
      <c r="AX363" s="110">
        <v>0</v>
      </c>
      <c r="AY363" s="110">
        <v>0</v>
      </c>
    </row>
    <row r="364" spans="1:51" x14ac:dyDescent="0.25">
      <c r="A364" s="8" t="s">
        <v>670</v>
      </c>
      <c r="B364" s="5" t="s">
        <v>671</v>
      </c>
      <c r="C364" s="2">
        <v>1.0399999999999991</v>
      </c>
      <c r="D364" s="24">
        <v>1000</v>
      </c>
      <c r="E364" s="26">
        <f t="shared" si="141"/>
        <v>500</v>
      </c>
      <c r="F364" s="26">
        <v>5476</v>
      </c>
      <c r="G364" s="30">
        <f t="shared" si="142"/>
        <v>9.1307523739956167E-2</v>
      </c>
      <c r="H364" s="11"/>
      <c r="I364" s="9">
        <v>0</v>
      </c>
      <c r="J364" s="3">
        <v>220</v>
      </c>
      <c r="K364" s="3">
        <v>170</v>
      </c>
      <c r="L364" s="3">
        <v>86</v>
      </c>
      <c r="M364" s="6"/>
      <c r="N364" s="6">
        <v>0</v>
      </c>
      <c r="O364" s="13"/>
      <c r="P364" s="60">
        <f t="shared" si="155"/>
        <v>0</v>
      </c>
      <c r="Q364" s="61">
        <f t="shared" si="156"/>
        <v>228.79999999999981</v>
      </c>
      <c r="R364" s="61">
        <f t="shared" si="157"/>
        <v>176.79999999999984</v>
      </c>
      <c r="S364" s="62">
        <f t="shared" si="158"/>
        <v>89.439999999999927</v>
      </c>
      <c r="T364" s="63">
        <f t="shared" si="159"/>
        <v>0</v>
      </c>
      <c r="U364" s="63">
        <f t="shared" si="148"/>
        <v>0</v>
      </c>
      <c r="V364" s="64"/>
      <c r="W364" s="60">
        <v>155</v>
      </c>
      <c r="X364" s="61">
        <v>172</v>
      </c>
      <c r="Y364" s="61">
        <v>287</v>
      </c>
      <c r="Z364" s="61">
        <v>315</v>
      </c>
      <c r="AA364" s="65">
        <v>371</v>
      </c>
      <c r="AB364" s="65">
        <v>0</v>
      </c>
      <c r="AC364" s="66"/>
      <c r="AD364" s="67">
        <f t="shared" si="149"/>
        <v>2.8305332359386412E-2</v>
      </c>
      <c r="AE364" s="67">
        <f t="shared" si="150"/>
        <v>3.1409788166544925E-2</v>
      </c>
      <c r="AF364" s="67">
        <f t="shared" si="151"/>
        <v>5.2410518626734841E-2</v>
      </c>
      <c r="AG364" s="67">
        <f t="shared" si="152"/>
        <v>5.7523739956172389E-2</v>
      </c>
      <c r="AH364" s="67">
        <f t="shared" si="153"/>
        <v>6.7750182615047477E-2</v>
      </c>
      <c r="AI364" s="67">
        <f t="shared" si="154"/>
        <v>0</v>
      </c>
      <c r="AJ364" s="66"/>
      <c r="AK364" s="68">
        <v>89.189999999999984</v>
      </c>
      <c r="AL364" s="69">
        <v>196.78999999999962</v>
      </c>
      <c r="AM364" s="69">
        <v>196.78999999999957</v>
      </c>
      <c r="AN364" s="69">
        <v>258.78999999999922</v>
      </c>
      <c r="AO364" s="70">
        <v>314.719999999999</v>
      </c>
      <c r="AP364" s="70">
        <v>0</v>
      </c>
      <c r="AQ364" s="66"/>
      <c r="AR364" s="70" t="s">
        <v>780</v>
      </c>
      <c r="AS364" s="66"/>
      <c r="AT364" s="108">
        <v>0</v>
      </c>
      <c r="AU364" s="109">
        <v>9176.2000000000007</v>
      </c>
      <c r="AV364" s="109">
        <v>7090.3</v>
      </c>
      <c r="AW364" s="109">
        <v>3576.74</v>
      </c>
      <c r="AX364" s="110">
        <v>0</v>
      </c>
      <c r="AY364" s="110">
        <v>0</v>
      </c>
    </row>
    <row r="365" spans="1:51" x14ac:dyDescent="0.25">
      <c r="A365" s="8" t="s">
        <v>343</v>
      </c>
      <c r="B365" s="5" t="s">
        <v>344</v>
      </c>
      <c r="C365" s="2">
        <v>1.0300000000000002</v>
      </c>
      <c r="D365" s="24">
        <v>6000</v>
      </c>
      <c r="E365" s="26">
        <f t="shared" si="141"/>
        <v>3000</v>
      </c>
      <c r="F365" s="26">
        <v>8968</v>
      </c>
      <c r="G365" s="30">
        <f t="shared" si="142"/>
        <v>0.3345227475468332</v>
      </c>
      <c r="H365" s="11"/>
      <c r="I365" s="9">
        <v>4020</v>
      </c>
      <c r="J365" s="3">
        <v>1000</v>
      </c>
      <c r="K365" s="3">
        <v>0</v>
      </c>
      <c r="L365" s="3">
        <v>0</v>
      </c>
      <c r="M365" s="6"/>
      <c r="N365" s="6">
        <v>0</v>
      </c>
      <c r="O365" s="13"/>
      <c r="P365" s="60">
        <f t="shared" si="155"/>
        <v>4140.6000000000013</v>
      </c>
      <c r="Q365" s="61">
        <f t="shared" si="156"/>
        <v>1030.0000000000002</v>
      </c>
      <c r="R365" s="61">
        <f t="shared" si="157"/>
        <v>0</v>
      </c>
      <c r="S365" s="62">
        <f t="shared" si="158"/>
        <v>0</v>
      </c>
      <c r="T365" s="63">
        <f t="shared" si="159"/>
        <v>0</v>
      </c>
      <c r="U365" s="63">
        <f t="shared" si="148"/>
        <v>0</v>
      </c>
      <c r="V365" s="64"/>
      <c r="W365" s="60">
        <v>1079</v>
      </c>
      <c r="X365" s="61">
        <v>2068</v>
      </c>
      <c r="Y365" s="61">
        <v>2448</v>
      </c>
      <c r="Z365" s="61">
        <v>1019</v>
      </c>
      <c r="AA365" s="65">
        <v>1483</v>
      </c>
      <c r="AB365" s="65">
        <v>0</v>
      </c>
      <c r="AC365" s="66"/>
      <c r="AD365" s="67">
        <f t="shared" si="149"/>
        <v>0.12031668153434434</v>
      </c>
      <c r="AE365" s="67">
        <f t="shared" si="150"/>
        <v>0.23059768064228367</v>
      </c>
      <c r="AF365" s="67">
        <f t="shared" si="151"/>
        <v>0.2729705619982159</v>
      </c>
      <c r="AG365" s="67">
        <f t="shared" si="152"/>
        <v>0.11362622658340767</v>
      </c>
      <c r="AH365" s="67">
        <f t="shared" si="153"/>
        <v>0.1653657448706512</v>
      </c>
      <c r="AI365" s="67">
        <f t="shared" si="154"/>
        <v>0</v>
      </c>
      <c r="AJ365" s="66"/>
      <c r="AK365" s="68">
        <v>3577.56</v>
      </c>
      <c r="AL365" s="69">
        <v>5006.0899999999938</v>
      </c>
      <c r="AM365" s="69">
        <v>5006.0899999999947</v>
      </c>
      <c r="AN365" s="69">
        <v>6209.1499999999987</v>
      </c>
      <c r="AO365" s="70">
        <v>1677.02999999999</v>
      </c>
      <c r="AP365" s="70">
        <v>0</v>
      </c>
      <c r="AQ365" s="66"/>
      <c r="AR365" s="70" t="s">
        <v>779</v>
      </c>
      <c r="AS365" s="66"/>
      <c r="AT365" s="108">
        <v>16980</v>
      </c>
      <c r="AU365" s="109">
        <v>4210</v>
      </c>
      <c r="AV365" s="109">
        <v>0</v>
      </c>
      <c r="AW365" s="109">
        <v>0</v>
      </c>
      <c r="AX365" s="110">
        <v>0</v>
      </c>
      <c r="AY365" s="110">
        <v>0</v>
      </c>
    </row>
    <row r="366" spans="1:51" x14ac:dyDescent="0.25">
      <c r="A366" s="8" t="s">
        <v>296</v>
      </c>
      <c r="B366" s="5" t="s">
        <v>297</v>
      </c>
      <c r="C366" s="2">
        <v>1.0299999999999994</v>
      </c>
      <c r="D366" s="24">
        <v>9000</v>
      </c>
      <c r="E366" s="26">
        <f t="shared" si="141"/>
        <v>4500</v>
      </c>
      <c r="F366" s="26">
        <v>7796</v>
      </c>
      <c r="G366" s="30">
        <f t="shared" si="142"/>
        <v>0.57721908671113387</v>
      </c>
      <c r="H366" s="11"/>
      <c r="I366" s="9">
        <v>0</v>
      </c>
      <c r="J366" s="3">
        <v>3198</v>
      </c>
      <c r="K366" s="3">
        <v>3846</v>
      </c>
      <c r="L366" s="3">
        <v>5591</v>
      </c>
      <c r="M366" s="6">
        <v>1290</v>
      </c>
      <c r="N366" s="6">
        <v>4600</v>
      </c>
      <c r="O366" s="13"/>
      <c r="P366" s="60">
        <f t="shared" si="155"/>
        <v>0</v>
      </c>
      <c r="Q366" s="61">
        <f t="shared" si="156"/>
        <v>3293.9399999999978</v>
      </c>
      <c r="R366" s="61">
        <f t="shared" si="157"/>
        <v>3961.3799999999974</v>
      </c>
      <c r="S366" s="62">
        <f t="shared" si="158"/>
        <v>5758.7299999999968</v>
      </c>
      <c r="T366" s="63">
        <f t="shared" si="159"/>
        <v>1328.6999999999991</v>
      </c>
      <c r="U366" s="63">
        <f t="shared" si="148"/>
        <v>4737.9999999999973</v>
      </c>
      <c r="V366" s="64"/>
      <c r="W366" s="60">
        <v>2379</v>
      </c>
      <c r="X366" s="61">
        <v>1384</v>
      </c>
      <c r="Y366" s="61">
        <v>2711</v>
      </c>
      <c r="Z366" s="61">
        <v>2496</v>
      </c>
      <c r="AA366" s="65">
        <v>4539</v>
      </c>
      <c r="AB366" s="65">
        <v>1168</v>
      </c>
      <c r="AC366" s="66"/>
      <c r="AD366" s="67">
        <f t="shared" si="149"/>
        <v>0.30515649050795279</v>
      </c>
      <c r="AE366" s="67">
        <f t="shared" si="150"/>
        <v>0.17752693689071319</v>
      </c>
      <c r="AF366" s="67">
        <f t="shared" si="151"/>
        <v>0.34774243201641869</v>
      </c>
      <c r="AG366" s="67">
        <f t="shared" si="152"/>
        <v>0.32016418676244229</v>
      </c>
      <c r="AH366" s="67">
        <f t="shared" si="153"/>
        <v>0.58222165212929711</v>
      </c>
      <c r="AI366" s="67">
        <f t="shared" si="154"/>
        <v>0.14982042072857876</v>
      </c>
      <c r="AJ366" s="66"/>
      <c r="AK366" s="68">
        <v>1688.440000000001</v>
      </c>
      <c r="AL366" s="69">
        <v>1006.2199999999987</v>
      </c>
      <c r="AM366" s="69">
        <v>1006.2199999999987</v>
      </c>
      <c r="AN366" s="69">
        <v>1635.5999999999979</v>
      </c>
      <c r="AO366" s="70">
        <v>1603.46</v>
      </c>
      <c r="AP366" s="70">
        <v>862.55</v>
      </c>
      <c r="AQ366" s="66"/>
      <c r="AR366" s="70" t="s">
        <v>779</v>
      </c>
      <c r="AS366" s="66"/>
      <c r="AT366" s="108">
        <v>12410.529999999999</v>
      </c>
      <c r="AU366" s="109">
        <v>14684.230000000001</v>
      </c>
      <c r="AV366" s="109">
        <v>16590.3</v>
      </c>
      <c r="AW366" s="109">
        <v>23875.86</v>
      </c>
      <c r="AX366" s="110">
        <v>5483.8200000000006</v>
      </c>
      <c r="AY366" s="110">
        <v>19728.149999999998</v>
      </c>
    </row>
    <row r="367" spans="1:51" x14ac:dyDescent="0.25">
      <c r="A367" s="8" t="s">
        <v>239</v>
      </c>
      <c r="B367" s="5" t="s">
        <v>240</v>
      </c>
      <c r="C367" s="2">
        <v>1.02</v>
      </c>
      <c r="D367" s="24">
        <v>1000</v>
      </c>
      <c r="E367" s="26">
        <f t="shared" si="141"/>
        <v>500</v>
      </c>
      <c r="F367" s="26">
        <v>6332</v>
      </c>
      <c r="G367" s="30">
        <f t="shared" si="142"/>
        <v>7.896399241945673E-2</v>
      </c>
      <c r="H367" s="11"/>
      <c r="I367" s="9">
        <v>0</v>
      </c>
      <c r="J367" s="3">
        <v>0</v>
      </c>
      <c r="K367" s="3">
        <v>0</v>
      </c>
      <c r="L367" s="3">
        <v>722</v>
      </c>
      <c r="M367" s="6">
        <v>100</v>
      </c>
      <c r="N367" s="6">
        <v>0</v>
      </c>
      <c r="O367" s="13"/>
      <c r="P367" s="60">
        <f t="shared" si="155"/>
        <v>0</v>
      </c>
      <c r="Q367" s="61">
        <f t="shared" si="156"/>
        <v>0</v>
      </c>
      <c r="R367" s="61">
        <f t="shared" si="157"/>
        <v>0</v>
      </c>
      <c r="S367" s="62">
        <f t="shared" si="158"/>
        <v>736.44</v>
      </c>
      <c r="T367" s="63">
        <f t="shared" si="159"/>
        <v>102</v>
      </c>
      <c r="U367" s="63">
        <f t="shared" si="148"/>
        <v>0</v>
      </c>
      <c r="V367" s="64"/>
      <c r="W367" s="60">
        <v>246</v>
      </c>
      <c r="X367" s="61">
        <v>272</v>
      </c>
      <c r="Y367" s="61">
        <v>136</v>
      </c>
      <c r="Z367" s="61">
        <v>73</v>
      </c>
      <c r="AA367" s="65">
        <v>349</v>
      </c>
      <c r="AB367" s="65">
        <v>465</v>
      </c>
      <c r="AC367" s="66"/>
      <c r="AD367" s="67">
        <f t="shared" si="149"/>
        <v>3.8850284270372709E-2</v>
      </c>
      <c r="AE367" s="67">
        <f t="shared" si="150"/>
        <v>4.2956411876184458E-2</v>
      </c>
      <c r="AF367" s="67">
        <f t="shared" si="151"/>
        <v>2.1478205938092229E-2</v>
      </c>
      <c r="AG367" s="67">
        <f t="shared" si="152"/>
        <v>1.1528742893240683E-2</v>
      </c>
      <c r="AH367" s="67">
        <f t="shared" si="153"/>
        <v>5.5116866708780798E-2</v>
      </c>
      <c r="AI367" s="67">
        <f t="shared" si="154"/>
        <v>7.3436512950094762E-2</v>
      </c>
      <c r="AJ367" s="66"/>
      <c r="AK367" s="68">
        <v>237.68</v>
      </c>
      <c r="AL367" s="69">
        <v>350.94000000000011</v>
      </c>
      <c r="AM367" s="69">
        <v>350.94</v>
      </c>
      <c r="AN367" s="69">
        <v>200.02999999999983</v>
      </c>
      <c r="AO367" s="70">
        <v>141.68</v>
      </c>
      <c r="AP367" s="70">
        <v>447.56999999999903</v>
      </c>
      <c r="AQ367" s="66"/>
      <c r="AR367" s="70" t="s">
        <v>779</v>
      </c>
      <c r="AS367" s="66"/>
      <c r="AT367" s="108">
        <v>0</v>
      </c>
      <c r="AU367" s="109">
        <v>0</v>
      </c>
      <c r="AV367" s="109">
        <v>0</v>
      </c>
      <c r="AW367" s="109">
        <v>0</v>
      </c>
      <c r="AX367" s="110">
        <v>0</v>
      </c>
      <c r="AY367" s="110">
        <v>0</v>
      </c>
    </row>
    <row r="368" spans="1:51" x14ac:dyDescent="0.25">
      <c r="A368" s="8">
        <v>5282</v>
      </c>
      <c r="B368" s="5" t="s">
        <v>516</v>
      </c>
      <c r="C368" s="2">
        <v>1.0199999999999996</v>
      </c>
      <c r="D368" s="24">
        <v>624</v>
      </c>
      <c r="E368" s="26">
        <f t="shared" si="141"/>
        <v>312</v>
      </c>
      <c r="F368" s="26">
        <v>442</v>
      </c>
      <c r="G368" s="30">
        <f t="shared" si="142"/>
        <v>0.70588235294117652</v>
      </c>
      <c r="H368" s="11"/>
      <c r="I368" s="9">
        <v>0</v>
      </c>
      <c r="J368" s="3">
        <v>0</v>
      </c>
      <c r="K368" s="3">
        <v>0</v>
      </c>
      <c r="L368" s="3">
        <v>0</v>
      </c>
      <c r="M368" s="6">
        <v>639</v>
      </c>
      <c r="N368" s="6">
        <v>610</v>
      </c>
      <c r="O368" s="13"/>
      <c r="P368" s="60">
        <f t="shared" si="155"/>
        <v>0</v>
      </c>
      <c r="Q368" s="61">
        <f t="shared" si="156"/>
        <v>0</v>
      </c>
      <c r="R368" s="61">
        <f t="shared" si="157"/>
        <v>0</v>
      </c>
      <c r="S368" s="62">
        <f t="shared" si="158"/>
        <v>0</v>
      </c>
      <c r="T368" s="63">
        <f t="shared" si="159"/>
        <v>651.77999999999975</v>
      </c>
      <c r="U368" s="63">
        <f t="shared" si="148"/>
        <v>622.1999999999997</v>
      </c>
      <c r="V368" s="64"/>
      <c r="W368" s="60">
        <v>252</v>
      </c>
      <c r="X368" s="61">
        <v>280</v>
      </c>
      <c r="Y368" s="61">
        <v>423</v>
      </c>
      <c r="Z368" s="61">
        <v>413</v>
      </c>
      <c r="AA368" s="65">
        <v>192</v>
      </c>
      <c r="AB368" s="65">
        <v>365</v>
      </c>
      <c r="AC368" s="66"/>
      <c r="AD368" s="67">
        <f t="shared" si="149"/>
        <v>0.57013574660633481</v>
      </c>
      <c r="AE368" s="67">
        <f t="shared" si="150"/>
        <v>0.63348416289592757</v>
      </c>
      <c r="AF368" s="67">
        <f t="shared" si="151"/>
        <v>0.95701357466063353</v>
      </c>
      <c r="AG368" s="67">
        <f t="shared" si="152"/>
        <v>0.93438914027149322</v>
      </c>
      <c r="AH368" s="67">
        <f t="shared" si="153"/>
        <v>0.43438914027149322</v>
      </c>
      <c r="AI368" s="67">
        <f t="shared" si="154"/>
        <v>0.82579185520361986</v>
      </c>
      <c r="AJ368" s="66"/>
      <c r="AK368" s="68">
        <v>678.26</v>
      </c>
      <c r="AL368" s="69">
        <v>802.84999999999843</v>
      </c>
      <c r="AM368" s="69">
        <v>802.84999999999866</v>
      </c>
      <c r="AN368" s="69">
        <v>390.30999999999977</v>
      </c>
      <c r="AO368" s="70">
        <v>313.16999999999899</v>
      </c>
      <c r="AP368" s="70">
        <v>324.42</v>
      </c>
      <c r="AQ368" s="66"/>
      <c r="AR368" s="70" t="s">
        <v>780</v>
      </c>
      <c r="AS368" s="66"/>
      <c r="AT368" s="108">
        <v>0</v>
      </c>
      <c r="AU368" s="109">
        <v>0</v>
      </c>
      <c r="AV368" s="109">
        <v>0</v>
      </c>
      <c r="AW368" s="109">
        <v>0</v>
      </c>
      <c r="AX368" s="110">
        <v>7995.3899999999994</v>
      </c>
      <c r="AY368" s="110">
        <v>8027.9</v>
      </c>
    </row>
    <row r="369" spans="1:51" x14ac:dyDescent="0.25">
      <c r="A369" s="8" t="s">
        <v>795</v>
      </c>
      <c r="B369" s="5" t="s">
        <v>838</v>
      </c>
      <c r="C369" s="2">
        <v>1.0166287339971536</v>
      </c>
      <c r="D369" s="24">
        <v>600</v>
      </c>
      <c r="E369" s="26">
        <f t="shared" si="141"/>
        <v>300</v>
      </c>
      <c r="F369" s="26">
        <v>730</v>
      </c>
      <c r="G369" s="30">
        <f t="shared" si="142"/>
        <v>0.41095890410958902</v>
      </c>
      <c r="H369" s="11"/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6">
        <v>75</v>
      </c>
      <c r="O369" s="13"/>
      <c r="P369" s="60"/>
      <c r="Q369" s="61"/>
      <c r="R369" s="61"/>
      <c r="S369" s="62"/>
      <c r="T369" s="63"/>
      <c r="U369" s="63">
        <f t="shared" si="148"/>
        <v>76.247155049786514</v>
      </c>
      <c r="V369" s="64"/>
      <c r="W369" s="60"/>
      <c r="X369" s="61"/>
      <c r="Y369" s="61"/>
      <c r="Z369" s="61"/>
      <c r="AA369" s="65"/>
      <c r="AB369" s="65"/>
      <c r="AC369" s="66"/>
      <c r="AD369" s="67">
        <f t="shared" si="149"/>
        <v>0</v>
      </c>
      <c r="AE369" s="67">
        <f t="shared" si="150"/>
        <v>0</v>
      </c>
      <c r="AF369" s="67">
        <f t="shared" si="151"/>
        <v>0</v>
      </c>
      <c r="AG369" s="67">
        <f t="shared" si="152"/>
        <v>0</v>
      </c>
      <c r="AH369" s="67">
        <f t="shared" si="153"/>
        <v>0</v>
      </c>
      <c r="AI369" s="67">
        <f t="shared" si="154"/>
        <v>0</v>
      </c>
      <c r="AJ369" s="66"/>
      <c r="AK369" s="68"/>
      <c r="AL369" s="69"/>
      <c r="AM369" s="69"/>
      <c r="AN369" s="69"/>
      <c r="AO369" s="70"/>
      <c r="AP369" s="70"/>
      <c r="AQ369" s="66"/>
      <c r="AR369" s="70" t="s">
        <v>780</v>
      </c>
      <c r="AS369" s="66"/>
      <c r="AT369" s="108">
        <v>0</v>
      </c>
      <c r="AU369" s="109">
        <v>0</v>
      </c>
      <c r="AV369" s="109">
        <v>0</v>
      </c>
      <c r="AW369" s="109">
        <v>0</v>
      </c>
      <c r="AX369" s="110">
        <v>1410</v>
      </c>
      <c r="AY369" s="110">
        <v>932.25</v>
      </c>
    </row>
    <row r="370" spans="1:51" x14ac:dyDescent="0.25">
      <c r="A370" s="8" t="s">
        <v>325</v>
      </c>
      <c r="B370" s="5" t="s">
        <v>326</v>
      </c>
      <c r="C370" s="2">
        <v>1.0099999999999998</v>
      </c>
      <c r="D370" s="24">
        <v>5313.2000000000007</v>
      </c>
      <c r="E370" s="26">
        <f t="shared" si="141"/>
        <v>2656.6000000000004</v>
      </c>
      <c r="F370" s="26">
        <v>26566</v>
      </c>
      <c r="G370" s="30">
        <f t="shared" si="142"/>
        <v>0.10000000000000002</v>
      </c>
      <c r="H370" s="11"/>
      <c r="I370" s="9">
        <v>493</v>
      </c>
      <c r="J370" s="3">
        <v>0</v>
      </c>
      <c r="K370" s="3">
        <v>0</v>
      </c>
      <c r="L370" s="3">
        <v>0</v>
      </c>
      <c r="M370" s="6"/>
      <c r="N370" s="6">
        <v>0</v>
      </c>
      <c r="O370" s="13"/>
      <c r="P370" s="60">
        <f>+I370*C370</f>
        <v>497.92999999999989</v>
      </c>
      <c r="Q370" s="61">
        <f>+J370*C370</f>
        <v>0</v>
      </c>
      <c r="R370" s="61">
        <f>+K370*C370</f>
        <v>0</v>
      </c>
      <c r="S370" s="62">
        <f>+L370*C370</f>
        <v>0</v>
      </c>
      <c r="T370" s="63">
        <f>+M370*C370</f>
        <v>0</v>
      </c>
      <c r="U370" s="63">
        <f t="shared" si="148"/>
        <v>0</v>
      </c>
      <c r="V370" s="64"/>
      <c r="W370" s="60">
        <v>1</v>
      </c>
      <c r="X370" s="61">
        <v>2</v>
      </c>
      <c r="Y370" s="61">
        <v>2</v>
      </c>
      <c r="Z370" s="61">
        <v>1</v>
      </c>
      <c r="AA370" s="65">
        <v>4</v>
      </c>
      <c r="AB370" s="65">
        <v>1</v>
      </c>
      <c r="AC370" s="66"/>
      <c r="AD370" s="67">
        <f t="shared" si="149"/>
        <v>3.7642098923435967E-5</v>
      </c>
      <c r="AE370" s="67">
        <f t="shared" si="150"/>
        <v>7.5284197846871935E-5</v>
      </c>
      <c r="AF370" s="67">
        <f t="shared" si="151"/>
        <v>7.5284197846871935E-5</v>
      </c>
      <c r="AG370" s="67">
        <f t="shared" si="152"/>
        <v>3.7642098923435967E-5</v>
      </c>
      <c r="AH370" s="67">
        <f t="shared" si="153"/>
        <v>1.5056839569374387E-4</v>
      </c>
      <c r="AI370" s="67">
        <f t="shared" si="154"/>
        <v>3.7642098923435967E-5</v>
      </c>
      <c r="AJ370" s="66"/>
      <c r="AK370" s="68">
        <v>1.36</v>
      </c>
      <c r="AL370" s="69">
        <v>2.34</v>
      </c>
      <c r="AM370" s="69">
        <v>2.0199999999999996</v>
      </c>
      <c r="AN370" s="69">
        <v>2.02</v>
      </c>
      <c r="AO370" s="70">
        <v>1.05</v>
      </c>
      <c r="AP370" s="70">
        <v>0.94</v>
      </c>
      <c r="AQ370" s="66"/>
      <c r="AR370" s="70" t="s">
        <v>779</v>
      </c>
      <c r="AS370" s="66"/>
      <c r="AT370" s="108">
        <v>0</v>
      </c>
      <c r="AU370" s="109">
        <v>0</v>
      </c>
      <c r="AV370" s="109">
        <v>0</v>
      </c>
      <c r="AW370" s="109">
        <v>0</v>
      </c>
      <c r="AX370" s="110">
        <v>0</v>
      </c>
      <c r="AY370" s="110">
        <v>0</v>
      </c>
    </row>
    <row r="371" spans="1:51" x14ac:dyDescent="0.25">
      <c r="A371" s="8" t="s">
        <v>823</v>
      </c>
      <c r="B371" s="5" t="s">
        <v>866</v>
      </c>
      <c r="C371" s="2">
        <v>1.0017543859649116</v>
      </c>
      <c r="D371" s="24">
        <v>300</v>
      </c>
      <c r="E371" s="26">
        <f t="shared" si="141"/>
        <v>150</v>
      </c>
      <c r="F371" s="26">
        <v>636</v>
      </c>
      <c r="G371" s="30">
        <f t="shared" si="142"/>
        <v>0.23584905660377359</v>
      </c>
      <c r="H371" s="11"/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6">
        <v>93</v>
      </c>
      <c r="O371" s="13"/>
      <c r="P371" s="60"/>
      <c r="Q371" s="61"/>
      <c r="R371" s="61"/>
      <c r="S371" s="62"/>
      <c r="T371" s="63"/>
      <c r="U371" s="63">
        <f t="shared" si="148"/>
        <v>93.163157894736784</v>
      </c>
      <c r="V371" s="64"/>
      <c r="W371" s="60"/>
      <c r="X371" s="61"/>
      <c r="Y371" s="61"/>
      <c r="Z371" s="61"/>
      <c r="AA371" s="65"/>
      <c r="AB371" s="65"/>
      <c r="AC371" s="66"/>
      <c r="AD371" s="67">
        <f t="shared" si="149"/>
        <v>0</v>
      </c>
      <c r="AE371" s="67">
        <f t="shared" si="150"/>
        <v>0</v>
      </c>
      <c r="AF371" s="67">
        <f t="shared" si="151"/>
        <v>0</v>
      </c>
      <c r="AG371" s="67">
        <f t="shared" si="152"/>
        <v>0</v>
      </c>
      <c r="AH371" s="67">
        <f t="shared" si="153"/>
        <v>0</v>
      </c>
      <c r="AI371" s="67">
        <f t="shared" si="154"/>
        <v>0</v>
      </c>
      <c r="AJ371" s="66"/>
      <c r="AK371" s="68"/>
      <c r="AL371" s="69"/>
      <c r="AM371" s="69"/>
      <c r="AN371" s="69"/>
      <c r="AO371" s="70"/>
      <c r="AP371" s="70"/>
      <c r="AQ371" s="66"/>
      <c r="AR371" s="70" t="s">
        <v>780</v>
      </c>
      <c r="AS371" s="66"/>
      <c r="AT371" s="108">
        <v>6012.75</v>
      </c>
      <c r="AU371" s="109">
        <v>7901.1999999999989</v>
      </c>
      <c r="AV371" s="109">
        <v>6508.3700000000008</v>
      </c>
      <c r="AW371" s="109">
        <v>4502.16</v>
      </c>
      <c r="AX371" s="110">
        <v>3450.8100000000004</v>
      </c>
      <c r="AY371" s="110">
        <v>1750.06</v>
      </c>
    </row>
    <row r="372" spans="1:51" x14ac:dyDescent="0.25">
      <c r="A372" s="8" t="s">
        <v>413</v>
      </c>
      <c r="B372" s="5" t="s">
        <v>414</v>
      </c>
      <c r="C372" s="2">
        <v>1</v>
      </c>
      <c r="D372" s="24">
        <v>4000</v>
      </c>
      <c r="E372" s="26">
        <f t="shared" si="141"/>
        <v>2000</v>
      </c>
      <c r="F372" s="26">
        <v>3562</v>
      </c>
      <c r="G372" s="30">
        <f t="shared" si="142"/>
        <v>0.56148231330713083</v>
      </c>
      <c r="H372" s="11"/>
      <c r="I372" s="9">
        <v>838</v>
      </c>
      <c r="J372" s="3">
        <v>2955</v>
      </c>
      <c r="K372" s="3">
        <v>1925</v>
      </c>
      <c r="L372" s="3">
        <v>1458</v>
      </c>
      <c r="M372" s="6">
        <v>1051</v>
      </c>
      <c r="N372" s="6">
        <v>3004</v>
      </c>
      <c r="O372" s="13"/>
      <c r="P372" s="60">
        <f t="shared" ref="P372:P383" si="160">+I372*C372</f>
        <v>838</v>
      </c>
      <c r="Q372" s="61">
        <f t="shared" ref="Q372:Q383" si="161">+J372*C372</f>
        <v>2955</v>
      </c>
      <c r="R372" s="61">
        <f t="shared" ref="R372:R383" si="162">+K372*C372</f>
        <v>1925</v>
      </c>
      <c r="S372" s="62">
        <f t="shared" ref="S372:S383" si="163">+L372*C372</f>
        <v>1458</v>
      </c>
      <c r="T372" s="63">
        <f t="shared" ref="T372:T383" si="164">+M372*C372</f>
        <v>1051</v>
      </c>
      <c r="U372" s="63">
        <f t="shared" si="148"/>
        <v>3004</v>
      </c>
      <c r="V372" s="64"/>
      <c r="W372" s="60">
        <v>2448</v>
      </c>
      <c r="X372" s="61">
        <v>1359</v>
      </c>
      <c r="Y372" s="61">
        <v>2087</v>
      </c>
      <c r="Z372" s="61">
        <v>2512</v>
      </c>
      <c r="AA372" s="65">
        <v>1444</v>
      </c>
      <c r="AB372" s="65">
        <v>2300</v>
      </c>
      <c r="AC372" s="66"/>
      <c r="AD372" s="67">
        <f t="shared" si="149"/>
        <v>0.68725435148792813</v>
      </c>
      <c r="AE372" s="67">
        <f t="shared" si="150"/>
        <v>0.3815272318921954</v>
      </c>
      <c r="AF372" s="67">
        <f t="shared" si="151"/>
        <v>0.58590679393599099</v>
      </c>
      <c r="AG372" s="67">
        <f t="shared" si="152"/>
        <v>0.70522178551375636</v>
      </c>
      <c r="AH372" s="67">
        <f t="shared" si="153"/>
        <v>0.40539023020774845</v>
      </c>
      <c r="AI372" s="67">
        <f t="shared" si="154"/>
        <v>0.6457046603032004</v>
      </c>
      <c r="AJ372" s="66"/>
      <c r="AK372" s="68">
        <v>3239.599999999989</v>
      </c>
      <c r="AL372" s="69">
        <v>2326.8999999999955</v>
      </c>
      <c r="AM372" s="69">
        <v>2326.8999999999951</v>
      </c>
      <c r="AN372" s="69">
        <v>3441.7199999999948</v>
      </c>
      <c r="AO372" s="70">
        <v>3125.49999999997</v>
      </c>
      <c r="AP372" s="70">
        <v>2335.46</v>
      </c>
      <c r="AQ372" s="66"/>
      <c r="AR372" s="70" t="s">
        <v>779</v>
      </c>
      <c r="AS372" s="66"/>
      <c r="AT372" s="108">
        <v>6315.06</v>
      </c>
      <c r="AU372" s="109">
        <v>22221.15</v>
      </c>
      <c r="AV372" s="109">
        <v>14213.929999999998</v>
      </c>
      <c r="AW372" s="109">
        <v>10827.929999999998</v>
      </c>
      <c r="AX372" s="110">
        <v>7700.57</v>
      </c>
      <c r="AY372" s="110">
        <v>22182.629999999997</v>
      </c>
    </row>
    <row r="373" spans="1:51" x14ac:dyDescent="0.25">
      <c r="A373" s="8" t="s">
        <v>428</v>
      </c>
      <c r="B373" s="5" t="s">
        <v>429</v>
      </c>
      <c r="C373" s="2">
        <v>0.98000000000000043</v>
      </c>
      <c r="D373" s="24">
        <v>1000</v>
      </c>
      <c r="E373" s="26">
        <f t="shared" si="141"/>
        <v>500</v>
      </c>
      <c r="F373" s="26">
        <v>3968</v>
      </c>
      <c r="G373" s="30">
        <f t="shared" si="142"/>
        <v>0.12600806451612903</v>
      </c>
      <c r="H373" s="11"/>
      <c r="I373" s="9">
        <v>126</v>
      </c>
      <c r="J373" s="3">
        <v>0</v>
      </c>
      <c r="K373" s="3">
        <v>519.28571428571422</v>
      </c>
      <c r="L373" s="3">
        <v>753.71428571428567</v>
      </c>
      <c r="M373" s="6">
        <v>1776.4285714285711</v>
      </c>
      <c r="N373" s="6">
        <v>200</v>
      </c>
      <c r="O373" s="13"/>
      <c r="P373" s="60">
        <f t="shared" si="160"/>
        <v>123.48000000000005</v>
      </c>
      <c r="Q373" s="61">
        <f t="shared" si="161"/>
        <v>0</v>
      </c>
      <c r="R373" s="61">
        <f t="shared" si="162"/>
        <v>508.90000000000015</v>
      </c>
      <c r="S373" s="62">
        <f t="shared" si="163"/>
        <v>738.64000000000033</v>
      </c>
      <c r="T373" s="63">
        <f t="shared" si="164"/>
        <v>1740.9000000000005</v>
      </c>
      <c r="U373" s="63">
        <f t="shared" si="148"/>
        <v>196.00000000000009</v>
      </c>
      <c r="V373" s="64"/>
      <c r="W373" s="60">
        <v>268</v>
      </c>
      <c r="X373" s="61">
        <v>256</v>
      </c>
      <c r="Y373" s="61">
        <v>173</v>
      </c>
      <c r="Z373" s="61">
        <v>34</v>
      </c>
      <c r="AA373" s="65">
        <v>82</v>
      </c>
      <c r="AB373" s="65">
        <v>927</v>
      </c>
      <c r="AC373" s="66"/>
      <c r="AD373" s="67">
        <f t="shared" si="149"/>
        <v>6.7540322580645157E-2</v>
      </c>
      <c r="AE373" s="67">
        <f t="shared" si="150"/>
        <v>6.4516129032258063E-2</v>
      </c>
      <c r="AF373" s="67">
        <f t="shared" si="151"/>
        <v>4.3598790322580648E-2</v>
      </c>
      <c r="AG373" s="67">
        <f t="shared" si="152"/>
        <v>8.5685483870967735E-3</v>
      </c>
      <c r="AH373" s="67">
        <f t="shared" si="153"/>
        <v>2.066532258064516E-2</v>
      </c>
      <c r="AI373" s="67">
        <f t="shared" si="154"/>
        <v>0.23361895161290322</v>
      </c>
      <c r="AJ373" s="66"/>
      <c r="AK373" s="68">
        <v>239.89999999999989</v>
      </c>
      <c r="AL373" s="69">
        <v>208.2699999999995</v>
      </c>
      <c r="AM373" s="69">
        <v>208.26999999999947</v>
      </c>
      <c r="AN373" s="69">
        <v>415.50999999999959</v>
      </c>
      <c r="AO373" s="70">
        <v>122.14</v>
      </c>
      <c r="AP373" s="70">
        <v>959.89999999999895</v>
      </c>
      <c r="AQ373" s="66"/>
      <c r="AR373" s="70" t="s">
        <v>779</v>
      </c>
      <c r="AS373" s="66"/>
      <c r="AT373" s="108">
        <v>1126.44</v>
      </c>
      <c r="AU373" s="109">
        <v>0</v>
      </c>
      <c r="AV373" s="109">
        <v>4139.12</v>
      </c>
      <c r="AW373" s="109">
        <v>6051.15</v>
      </c>
      <c r="AX373" s="110">
        <v>13724.65</v>
      </c>
      <c r="AY373" s="110">
        <v>1776</v>
      </c>
    </row>
    <row r="374" spans="1:51" x14ac:dyDescent="0.25">
      <c r="A374" s="8" t="s">
        <v>362</v>
      </c>
      <c r="B374" s="5" t="s">
        <v>363</v>
      </c>
      <c r="C374" s="2">
        <v>0.98000000000000043</v>
      </c>
      <c r="D374" s="24">
        <v>20000</v>
      </c>
      <c r="E374" s="26">
        <f t="shared" si="141"/>
        <v>10000</v>
      </c>
      <c r="F374" s="26">
        <v>68021</v>
      </c>
      <c r="G374" s="30">
        <f t="shared" si="142"/>
        <v>0.1470134223254583</v>
      </c>
      <c r="H374" s="11"/>
      <c r="I374" s="9">
        <v>0</v>
      </c>
      <c r="J374" s="3">
        <v>209</v>
      </c>
      <c r="K374" s="3">
        <v>319</v>
      </c>
      <c r="L374" s="3">
        <v>1434</v>
      </c>
      <c r="M374" s="6">
        <v>2747</v>
      </c>
      <c r="N374" s="6">
        <v>3818</v>
      </c>
      <c r="O374" s="13"/>
      <c r="P374" s="60">
        <f t="shared" si="160"/>
        <v>0</v>
      </c>
      <c r="Q374" s="61">
        <f t="shared" si="161"/>
        <v>204.82000000000008</v>
      </c>
      <c r="R374" s="61">
        <f t="shared" si="162"/>
        <v>312.62000000000012</v>
      </c>
      <c r="S374" s="62">
        <f t="shared" si="163"/>
        <v>1405.3200000000006</v>
      </c>
      <c r="T374" s="63">
        <f t="shared" si="164"/>
        <v>2692.0600000000013</v>
      </c>
      <c r="U374" s="63">
        <f t="shared" si="148"/>
        <v>3741.6400000000017</v>
      </c>
      <c r="V374" s="64"/>
      <c r="W374" s="60">
        <v>99</v>
      </c>
      <c r="X374" s="61">
        <v>1</v>
      </c>
      <c r="Y374" s="61">
        <v>207</v>
      </c>
      <c r="Z374" s="61">
        <v>0</v>
      </c>
      <c r="AA374" s="65">
        <v>1743</v>
      </c>
      <c r="AB374" s="65">
        <v>4007</v>
      </c>
      <c r="AC374" s="66"/>
      <c r="AD374" s="67">
        <f t="shared" si="149"/>
        <v>1.4554328810220372E-3</v>
      </c>
      <c r="AE374" s="67">
        <f t="shared" si="150"/>
        <v>1.4701342232545831E-5</v>
      </c>
      <c r="AF374" s="67">
        <f t="shared" si="151"/>
        <v>3.0431778421369871E-3</v>
      </c>
      <c r="AG374" s="67">
        <f t="shared" si="152"/>
        <v>0</v>
      </c>
      <c r="AH374" s="67">
        <f t="shared" si="153"/>
        <v>2.5624439511327386E-2</v>
      </c>
      <c r="AI374" s="67">
        <f t="shared" si="154"/>
        <v>5.8908278325811143E-2</v>
      </c>
      <c r="AJ374" s="66"/>
      <c r="AK374" s="68">
        <v>86.35</v>
      </c>
      <c r="AL374" s="69">
        <v>1.0900000000000001</v>
      </c>
      <c r="AM374" s="69">
        <v>202.8600000000001</v>
      </c>
      <c r="AN374" s="69">
        <v>264.56</v>
      </c>
      <c r="AO374" s="70">
        <v>1708.1400000000008</v>
      </c>
      <c r="AP374" s="70">
        <v>2908.3299999999899</v>
      </c>
      <c r="AQ374" s="66"/>
      <c r="AR374" s="70" t="s">
        <v>779</v>
      </c>
      <c r="AS374" s="66"/>
      <c r="AT374" s="108">
        <v>0</v>
      </c>
      <c r="AU374" s="109">
        <v>1082.6199999999999</v>
      </c>
      <c r="AV374" s="109">
        <v>1649.23</v>
      </c>
      <c r="AW374" s="109">
        <v>7788.65</v>
      </c>
      <c r="AX374" s="110">
        <v>15053.52</v>
      </c>
      <c r="AY374" s="110">
        <v>20846.5</v>
      </c>
    </row>
    <row r="375" spans="1:51" x14ac:dyDescent="0.25">
      <c r="A375" s="8">
        <v>5937</v>
      </c>
      <c r="B375" s="5" t="s">
        <v>647</v>
      </c>
      <c r="C375" s="2">
        <v>0.98000000000000043</v>
      </c>
      <c r="D375" s="24">
        <v>1500</v>
      </c>
      <c r="E375" s="26">
        <f t="shared" si="141"/>
        <v>750</v>
      </c>
      <c r="F375" s="26">
        <v>8479</v>
      </c>
      <c r="G375" s="30">
        <f t="shared" si="142"/>
        <v>8.8453827102252622E-2</v>
      </c>
      <c r="H375" s="11"/>
      <c r="I375" s="9">
        <v>1515</v>
      </c>
      <c r="J375" s="3">
        <v>0</v>
      </c>
      <c r="K375" s="3">
        <v>0</v>
      </c>
      <c r="L375" s="3">
        <v>0</v>
      </c>
      <c r="M375" s="6">
        <v>3327</v>
      </c>
      <c r="N375" s="6">
        <v>2062</v>
      </c>
      <c r="O375" s="13"/>
      <c r="P375" s="60">
        <f t="shared" si="160"/>
        <v>1484.7000000000007</v>
      </c>
      <c r="Q375" s="61">
        <f t="shared" si="161"/>
        <v>0</v>
      </c>
      <c r="R375" s="61">
        <f t="shared" si="162"/>
        <v>0</v>
      </c>
      <c r="S375" s="62">
        <f t="shared" si="163"/>
        <v>0</v>
      </c>
      <c r="T375" s="63">
        <f t="shared" si="164"/>
        <v>3260.4600000000014</v>
      </c>
      <c r="U375" s="63">
        <f t="shared" si="148"/>
        <v>2020.7600000000009</v>
      </c>
      <c r="V375" s="64"/>
      <c r="W375" s="60">
        <v>1899</v>
      </c>
      <c r="X375" s="61">
        <v>1862</v>
      </c>
      <c r="Y375" s="61">
        <v>1637</v>
      </c>
      <c r="Z375" s="61">
        <v>1539</v>
      </c>
      <c r="AA375" s="65">
        <v>639</v>
      </c>
      <c r="AB375" s="65">
        <v>1172</v>
      </c>
      <c r="AC375" s="66"/>
      <c r="AD375" s="67">
        <f t="shared" si="149"/>
        <v>0.22396509022290365</v>
      </c>
      <c r="AE375" s="67">
        <f t="shared" si="150"/>
        <v>0.21960136808585917</v>
      </c>
      <c r="AF375" s="67">
        <f t="shared" si="151"/>
        <v>0.19306521995518339</v>
      </c>
      <c r="AG375" s="67">
        <f t="shared" si="152"/>
        <v>0.18150725321382238</v>
      </c>
      <c r="AH375" s="67">
        <f t="shared" si="153"/>
        <v>7.5362660691119229E-2</v>
      </c>
      <c r="AI375" s="67">
        <f t="shared" si="154"/>
        <v>0.13822384715178676</v>
      </c>
      <c r="AJ375" s="66"/>
      <c r="AK375" s="68">
        <v>699.84999999999934</v>
      </c>
      <c r="AL375" s="69">
        <v>376.06999999999846</v>
      </c>
      <c r="AM375" s="69">
        <v>376.06999999999846</v>
      </c>
      <c r="AN375" s="69">
        <v>380.35999999999927</v>
      </c>
      <c r="AO375" s="70">
        <v>116.38</v>
      </c>
      <c r="AP375" s="70">
        <v>1125.74999999999</v>
      </c>
      <c r="AQ375" s="66"/>
      <c r="AR375" s="70" t="s">
        <v>780</v>
      </c>
      <c r="AS375" s="66"/>
      <c r="AT375" s="108">
        <v>44592.9</v>
      </c>
      <c r="AU375" s="109">
        <v>0</v>
      </c>
      <c r="AV375" s="109">
        <v>0</v>
      </c>
      <c r="AW375" s="109">
        <v>0</v>
      </c>
      <c r="AX375" s="110">
        <v>94330.12</v>
      </c>
      <c r="AY375" s="110">
        <v>58079.34</v>
      </c>
    </row>
    <row r="376" spans="1:51" x14ac:dyDescent="0.25">
      <c r="A376" s="8" t="s">
        <v>730</v>
      </c>
      <c r="B376" s="5" t="s">
        <v>731</v>
      </c>
      <c r="C376" s="2">
        <v>0.98</v>
      </c>
      <c r="D376" s="24">
        <v>5800</v>
      </c>
      <c r="E376" s="26">
        <f t="shared" si="141"/>
        <v>2900</v>
      </c>
      <c r="F376" s="26">
        <v>11738</v>
      </c>
      <c r="G376" s="30">
        <f t="shared" si="142"/>
        <v>0.247060828079741</v>
      </c>
      <c r="H376" s="11"/>
      <c r="I376" s="9">
        <v>11016</v>
      </c>
      <c r="J376" s="3">
        <v>15124</v>
      </c>
      <c r="K376" s="3">
        <v>5000</v>
      </c>
      <c r="L376" s="3">
        <v>0</v>
      </c>
      <c r="M376" s="6"/>
      <c r="N376" s="6">
        <v>0</v>
      </c>
      <c r="O376" s="13"/>
      <c r="P376" s="60">
        <f t="shared" si="160"/>
        <v>10795.68</v>
      </c>
      <c r="Q376" s="61">
        <f t="shared" si="161"/>
        <v>14821.52</v>
      </c>
      <c r="R376" s="61">
        <f t="shared" si="162"/>
        <v>4900</v>
      </c>
      <c r="S376" s="62">
        <f t="shared" si="163"/>
        <v>0</v>
      </c>
      <c r="T376" s="63">
        <f t="shared" si="164"/>
        <v>0</v>
      </c>
      <c r="U376" s="63">
        <f t="shared" si="148"/>
        <v>0</v>
      </c>
      <c r="V376" s="64"/>
      <c r="W376" s="60">
        <v>3981</v>
      </c>
      <c r="X376" s="61">
        <v>2044</v>
      </c>
      <c r="Y376" s="61">
        <v>6758</v>
      </c>
      <c r="Z376" s="61">
        <v>4279</v>
      </c>
      <c r="AA376" s="65">
        <v>2761</v>
      </c>
      <c r="AB376" s="65">
        <v>6520</v>
      </c>
      <c r="AC376" s="66"/>
      <c r="AD376" s="67">
        <f t="shared" si="149"/>
        <v>0.33915488158118928</v>
      </c>
      <c r="AE376" s="67">
        <f t="shared" si="150"/>
        <v>0.17413528710172091</v>
      </c>
      <c r="AF376" s="67">
        <f t="shared" si="151"/>
        <v>0.57573692281478961</v>
      </c>
      <c r="AG376" s="67">
        <f t="shared" si="152"/>
        <v>0.3645425115011075</v>
      </c>
      <c r="AH376" s="67">
        <f t="shared" si="153"/>
        <v>0.23521894700971205</v>
      </c>
      <c r="AI376" s="67">
        <f t="shared" si="154"/>
        <v>0.55546089623445216</v>
      </c>
      <c r="AJ376" s="66"/>
      <c r="AK376" s="68">
        <v>3936.8100000000031</v>
      </c>
      <c r="AL376" s="69">
        <v>1558.1699999999978</v>
      </c>
      <c r="AM376" s="69">
        <v>1558.169999999998</v>
      </c>
      <c r="AN376" s="69">
        <v>2861.3299999999872</v>
      </c>
      <c r="AO376" s="70">
        <v>926.82000000000096</v>
      </c>
      <c r="AP376" s="70">
        <v>-2180.28999999997</v>
      </c>
      <c r="AQ376" s="66"/>
      <c r="AR376" s="70" t="s">
        <v>780</v>
      </c>
      <c r="AS376" s="66"/>
      <c r="AT376" s="108">
        <v>96390</v>
      </c>
      <c r="AU376" s="109">
        <v>132764.48000000001</v>
      </c>
      <c r="AV376" s="109">
        <v>43650</v>
      </c>
      <c r="AW376" s="109">
        <v>0</v>
      </c>
      <c r="AX376" s="110">
        <v>0</v>
      </c>
      <c r="AY376" s="110">
        <v>0</v>
      </c>
    </row>
    <row r="377" spans="1:51" x14ac:dyDescent="0.25">
      <c r="A377" s="8" t="s">
        <v>294</v>
      </c>
      <c r="B377" s="5" t="s">
        <v>295</v>
      </c>
      <c r="C377" s="2">
        <v>0.96999999999999975</v>
      </c>
      <c r="D377" s="24">
        <v>1000</v>
      </c>
      <c r="E377" s="26">
        <f t="shared" si="141"/>
        <v>500</v>
      </c>
      <c r="F377" s="26">
        <v>3179</v>
      </c>
      <c r="G377" s="30">
        <f t="shared" si="142"/>
        <v>0.15728216420257943</v>
      </c>
      <c r="H377" s="11"/>
      <c r="I377" s="9">
        <v>50</v>
      </c>
      <c r="J377" s="3">
        <v>0</v>
      </c>
      <c r="K377" s="3">
        <v>0</v>
      </c>
      <c r="L377" s="3">
        <v>0</v>
      </c>
      <c r="M377" s="6">
        <v>664</v>
      </c>
      <c r="N377" s="6">
        <v>100</v>
      </c>
      <c r="O377" s="13"/>
      <c r="P377" s="60">
        <f t="shared" si="160"/>
        <v>48.499999999999986</v>
      </c>
      <c r="Q377" s="61">
        <f t="shared" si="161"/>
        <v>0</v>
      </c>
      <c r="R377" s="61">
        <f t="shared" si="162"/>
        <v>0</v>
      </c>
      <c r="S377" s="62">
        <f t="shared" si="163"/>
        <v>0</v>
      </c>
      <c r="T377" s="63">
        <f t="shared" si="164"/>
        <v>644.07999999999981</v>
      </c>
      <c r="U377" s="63">
        <f t="shared" si="148"/>
        <v>96.999999999999972</v>
      </c>
      <c r="V377" s="64"/>
      <c r="W377" s="60">
        <v>580</v>
      </c>
      <c r="X377" s="61">
        <v>518</v>
      </c>
      <c r="Y377" s="61">
        <v>1300</v>
      </c>
      <c r="Z377" s="61">
        <v>707</v>
      </c>
      <c r="AA377" s="65">
        <v>542</v>
      </c>
      <c r="AB377" s="65">
        <v>530</v>
      </c>
      <c r="AC377" s="66"/>
      <c r="AD377" s="67">
        <f t="shared" si="149"/>
        <v>0.18244731047499213</v>
      </c>
      <c r="AE377" s="67">
        <f t="shared" si="150"/>
        <v>0.16294432211387228</v>
      </c>
      <c r="AF377" s="67">
        <f t="shared" si="151"/>
        <v>0.40893362692670648</v>
      </c>
      <c r="AG377" s="67">
        <f t="shared" si="152"/>
        <v>0.2223969801824473</v>
      </c>
      <c r="AH377" s="67">
        <f t="shared" si="153"/>
        <v>0.1704938659955961</v>
      </c>
      <c r="AI377" s="67">
        <f t="shared" si="154"/>
        <v>0.1667190940547342</v>
      </c>
      <c r="AJ377" s="66"/>
      <c r="AK377" s="68">
        <v>135.56</v>
      </c>
      <c r="AL377" s="69">
        <v>143.26999999999973</v>
      </c>
      <c r="AM377" s="69">
        <v>143.26999999999975</v>
      </c>
      <c r="AN377" s="69">
        <v>1134.6599999999996</v>
      </c>
      <c r="AO377" s="70">
        <v>391.67</v>
      </c>
      <c r="AP377" s="70">
        <v>448.94999999999902</v>
      </c>
      <c r="AQ377" s="66"/>
      <c r="AR377" s="70" t="s">
        <v>779</v>
      </c>
      <c r="AS377" s="66"/>
      <c r="AT377" s="108">
        <v>200</v>
      </c>
      <c r="AU377" s="109">
        <v>0</v>
      </c>
      <c r="AV377" s="109">
        <v>0</v>
      </c>
      <c r="AW377" s="109">
        <v>0</v>
      </c>
      <c r="AX377" s="110">
        <v>2640.96</v>
      </c>
      <c r="AY377" s="110">
        <v>398</v>
      </c>
    </row>
    <row r="378" spans="1:51" x14ac:dyDescent="0.25">
      <c r="A378" s="8" t="s">
        <v>391</v>
      </c>
      <c r="B378" s="5" t="s">
        <v>392</v>
      </c>
      <c r="C378" s="2">
        <v>0.96</v>
      </c>
      <c r="D378" s="24">
        <v>6000</v>
      </c>
      <c r="E378" s="26">
        <f t="shared" si="141"/>
        <v>3000</v>
      </c>
      <c r="F378" s="26">
        <v>16036</v>
      </c>
      <c r="G378" s="30">
        <f t="shared" si="142"/>
        <v>0.18707907208780244</v>
      </c>
      <c r="H378" s="11"/>
      <c r="I378" s="9">
        <v>1138.25</v>
      </c>
      <c r="J378" s="3">
        <v>0</v>
      </c>
      <c r="K378" s="3">
        <v>0</v>
      </c>
      <c r="L378" s="3">
        <v>0</v>
      </c>
      <c r="M378" s="6"/>
      <c r="N378" s="6">
        <v>0</v>
      </c>
      <c r="O378" s="13"/>
      <c r="P378" s="60">
        <f t="shared" si="160"/>
        <v>1092.72</v>
      </c>
      <c r="Q378" s="61">
        <f t="shared" si="161"/>
        <v>0</v>
      </c>
      <c r="R378" s="61">
        <f t="shared" si="162"/>
        <v>0</v>
      </c>
      <c r="S378" s="62">
        <f t="shared" si="163"/>
        <v>0</v>
      </c>
      <c r="T378" s="63">
        <f t="shared" si="164"/>
        <v>0</v>
      </c>
      <c r="U378" s="63">
        <f t="shared" si="148"/>
        <v>0</v>
      </c>
      <c r="V378" s="64"/>
      <c r="W378" s="60">
        <v>567</v>
      </c>
      <c r="X378" s="61">
        <v>1402</v>
      </c>
      <c r="Y378" s="61">
        <v>2164</v>
      </c>
      <c r="Z378" s="61">
        <v>1877</v>
      </c>
      <c r="AA378" s="65">
        <v>1819</v>
      </c>
      <c r="AB378" s="65">
        <v>32</v>
      </c>
      <c r="AC378" s="66"/>
      <c r="AD378" s="67">
        <f t="shared" si="149"/>
        <v>3.5357944624594663E-2</v>
      </c>
      <c r="AE378" s="67">
        <f t="shared" si="150"/>
        <v>8.7428286355699672E-2</v>
      </c>
      <c r="AF378" s="67">
        <f t="shared" si="151"/>
        <v>0.13494637066600149</v>
      </c>
      <c r="AG378" s="67">
        <f t="shared" si="152"/>
        <v>0.11704913943626839</v>
      </c>
      <c r="AH378" s="67">
        <f t="shared" si="153"/>
        <v>0.11343227737590422</v>
      </c>
      <c r="AI378" s="67">
        <f t="shared" si="154"/>
        <v>1.9955101022698929E-3</v>
      </c>
      <c r="AJ378" s="66"/>
      <c r="AK378" s="68">
        <v>505.73000000000008</v>
      </c>
      <c r="AL378" s="69">
        <v>1084.3399999999947</v>
      </c>
      <c r="AM378" s="69">
        <v>1084.3399999999947</v>
      </c>
      <c r="AN378" s="69">
        <v>2346.3299999999913</v>
      </c>
      <c r="AO378" s="70">
        <v>1964.78999999999</v>
      </c>
      <c r="AP378" s="70">
        <v>35.72</v>
      </c>
      <c r="AQ378" s="66"/>
      <c r="AR378" s="70" t="s">
        <v>779</v>
      </c>
      <c r="AS378" s="66"/>
      <c r="AT378" s="108">
        <v>0</v>
      </c>
      <c r="AU378" s="109">
        <v>0</v>
      </c>
      <c r="AV378" s="109">
        <v>0</v>
      </c>
      <c r="AW378" s="109">
        <v>0</v>
      </c>
      <c r="AX378" s="110">
        <v>0</v>
      </c>
      <c r="AY378" s="110">
        <v>0</v>
      </c>
    </row>
    <row r="379" spans="1:51" x14ac:dyDescent="0.25">
      <c r="A379" s="8">
        <v>5602</v>
      </c>
      <c r="B379" s="5" t="s">
        <v>261</v>
      </c>
      <c r="C379" s="2">
        <v>0.96</v>
      </c>
      <c r="D379" s="24">
        <v>3000</v>
      </c>
      <c r="E379" s="26">
        <f t="shared" si="141"/>
        <v>1500</v>
      </c>
      <c r="F379" s="26">
        <v>31761</v>
      </c>
      <c r="G379" s="30">
        <f t="shared" si="142"/>
        <v>4.7227732124303388E-2</v>
      </c>
      <c r="H379" s="11"/>
      <c r="I379" s="9">
        <v>0</v>
      </c>
      <c r="J379" s="3">
        <v>0</v>
      </c>
      <c r="K379" s="3">
        <v>0</v>
      </c>
      <c r="L379" s="3">
        <v>0</v>
      </c>
      <c r="M379" s="6">
        <v>172</v>
      </c>
      <c r="N379" s="6">
        <v>1499</v>
      </c>
      <c r="O379" s="13"/>
      <c r="P379" s="60">
        <f t="shared" si="160"/>
        <v>0</v>
      </c>
      <c r="Q379" s="61">
        <f t="shared" si="161"/>
        <v>0</v>
      </c>
      <c r="R379" s="61">
        <f t="shared" si="162"/>
        <v>0</v>
      </c>
      <c r="S379" s="62">
        <f t="shared" si="163"/>
        <v>0</v>
      </c>
      <c r="T379" s="63">
        <f t="shared" si="164"/>
        <v>165.12</v>
      </c>
      <c r="U379" s="63">
        <f t="shared" si="148"/>
        <v>1439.04</v>
      </c>
      <c r="V379" s="64"/>
      <c r="W379" s="60">
        <v>3111</v>
      </c>
      <c r="X379" s="61">
        <v>1468</v>
      </c>
      <c r="Y379" s="61">
        <v>0</v>
      </c>
      <c r="Z379" s="61">
        <v>0</v>
      </c>
      <c r="AA379" s="65">
        <v>0</v>
      </c>
      <c r="AB379" s="65">
        <v>651</v>
      </c>
      <c r="AC379" s="66"/>
      <c r="AD379" s="67">
        <f t="shared" si="149"/>
        <v>9.7950316425805234E-2</v>
      </c>
      <c r="AE379" s="67">
        <f t="shared" si="150"/>
        <v>4.6220207172318249E-2</v>
      </c>
      <c r="AF379" s="67">
        <f t="shared" si="151"/>
        <v>0</v>
      </c>
      <c r="AG379" s="67">
        <f t="shared" si="152"/>
        <v>0</v>
      </c>
      <c r="AH379" s="67">
        <f t="shared" si="153"/>
        <v>0</v>
      </c>
      <c r="AI379" s="67">
        <f t="shared" si="154"/>
        <v>2.0496835741947671E-2</v>
      </c>
      <c r="AJ379" s="66"/>
      <c r="AK379" s="68">
        <v>946.23000000000059</v>
      </c>
      <c r="AL379" s="69">
        <v>265.26999999999953</v>
      </c>
      <c r="AM379" s="69">
        <v>265.26999999999947</v>
      </c>
      <c r="AN379" s="69">
        <v>0</v>
      </c>
      <c r="AO379" s="70">
        <v>0</v>
      </c>
      <c r="AP379" s="70">
        <v>625.98</v>
      </c>
      <c r="AQ379" s="66"/>
      <c r="AR379" s="70" t="s">
        <v>779</v>
      </c>
      <c r="AS379" s="66"/>
      <c r="AT379" s="108">
        <v>0</v>
      </c>
      <c r="AU379" s="109">
        <v>0</v>
      </c>
      <c r="AV379" s="109">
        <v>0</v>
      </c>
      <c r="AW379" s="109">
        <v>0</v>
      </c>
      <c r="AX379" s="110">
        <v>560.72</v>
      </c>
      <c r="AY379" s="110">
        <v>4877.1100000000006</v>
      </c>
    </row>
    <row r="380" spans="1:51" x14ac:dyDescent="0.25">
      <c r="A380" s="8" t="s">
        <v>565</v>
      </c>
      <c r="B380" s="5" t="s">
        <v>566</v>
      </c>
      <c r="C380" s="2">
        <v>0.95999999999999908</v>
      </c>
      <c r="D380" s="24">
        <v>120</v>
      </c>
      <c r="E380" s="26">
        <f t="shared" si="141"/>
        <v>60</v>
      </c>
      <c r="F380" s="26">
        <v>285</v>
      </c>
      <c r="G380" s="30">
        <f t="shared" si="142"/>
        <v>0.21052631578947367</v>
      </c>
      <c r="H380" s="11"/>
      <c r="I380" s="9">
        <v>50</v>
      </c>
      <c r="J380" s="3">
        <v>0</v>
      </c>
      <c r="K380" s="3">
        <v>276</v>
      </c>
      <c r="L380" s="3">
        <v>338</v>
      </c>
      <c r="M380" s="6">
        <v>175</v>
      </c>
      <c r="N380" s="6">
        <v>292</v>
      </c>
      <c r="O380" s="13"/>
      <c r="P380" s="60">
        <f t="shared" si="160"/>
        <v>47.999999999999957</v>
      </c>
      <c r="Q380" s="61">
        <f t="shared" si="161"/>
        <v>0</v>
      </c>
      <c r="R380" s="61">
        <f t="shared" si="162"/>
        <v>264.95999999999975</v>
      </c>
      <c r="S380" s="62">
        <f t="shared" si="163"/>
        <v>324.47999999999968</v>
      </c>
      <c r="T380" s="63">
        <f t="shared" si="164"/>
        <v>167.99999999999983</v>
      </c>
      <c r="U380" s="63">
        <f t="shared" si="148"/>
        <v>280.31999999999971</v>
      </c>
      <c r="V380" s="64"/>
      <c r="W380" s="60">
        <v>213</v>
      </c>
      <c r="X380" s="61">
        <v>113</v>
      </c>
      <c r="Y380" s="61">
        <v>117</v>
      </c>
      <c r="Z380" s="61">
        <v>219</v>
      </c>
      <c r="AA380" s="65">
        <v>83</v>
      </c>
      <c r="AB380" s="65">
        <v>134</v>
      </c>
      <c r="AC380" s="66"/>
      <c r="AD380" s="67">
        <f t="shared" si="149"/>
        <v>0.74736842105263157</v>
      </c>
      <c r="AE380" s="67">
        <f t="shared" si="150"/>
        <v>0.39649122807017545</v>
      </c>
      <c r="AF380" s="67">
        <f t="shared" si="151"/>
        <v>0.41052631578947368</v>
      </c>
      <c r="AG380" s="67">
        <f t="shared" si="152"/>
        <v>0.76842105263157889</v>
      </c>
      <c r="AH380" s="67">
        <f t="shared" si="153"/>
        <v>0.29122807017543861</v>
      </c>
      <c r="AI380" s="67">
        <f t="shared" si="154"/>
        <v>0.47017543859649125</v>
      </c>
      <c r="AJ380" s="66"/>
      <c r="AK380" s="68">
        <v>61.789999999999992</v>
      </c>
      <c r="AL380" s="69">
        <v>15.649999999999986</v>
      </c>
      <c r="AM380" s="69">
        <v>15.649999999999984</v>
      </c>
      <c r="AN380" s="69">
        <v>35.359999999999978</v>
      </c>
      <c r="AO380" s="70">
        <v>783.96</v>
      </c>
      <c r="AP380" s="70">
        <v>118.649999999999</v>
      </c>
      <c r="AQ380" s="66"/>
      <c r="AR380" s="70" t="s">
        <v>780</v>
      </c>
      <c r="AS380" s="66"/>
      <c r="AT380" s="108">
        <v>783</v>
      </c>
      <c r="AU380" s="109">
        <v>0</v>
      </c>
      <c r="AV380" s="109">
        <v>4044.1499999999996</v>
      </c>
      <c r="AW380" s="109">
        <v>4930.66</v>
      </c>
      <c r="AX380" s="110">
        <v>2467.5</v>
      </c>
      <c r="AY380" s="110">
        <v>4108.92</v>
      </c>
    </row>
    <row r="381" spans="1:51" x14ac:dyDescent="0.25">
      <c r="A381" s="8" t="s">
        <v>619</v>
      </c>
      <c r="B381" s="5" t="s">
        <v>620</v>
      </c>
      <c r="C381" s="2">
        <v>0.94000000000000128</v>
      </c>
      <c r="D381" s="24">
        <v>6000</v>
      </c>
      <c r="E381" s="26">
        <f t="shared" si="141"/>
        <v>3000</v>
      </c>
      <c r="F381" s="26">
        <v>11168</v>
      </c>
      <c r="G381" s="30">
        <f t="shared" si="142"/>
        <v>0.26862464183381091</v>
      </c>
      <c r="H381" s="11"/>
      <c r="I381" s="9">
        <v>3215.121212121212</v>
      </c>
      <c r="J381" s="3">
        <v>3162.727272727273</v>
      </c>
      <c r="K381" s="3">
        <v>1399.4848484848485</v>
      </c>
      <c r="L381" s="3">
        <v>1395.909090909091</v>
      </c>
      <c r="M381" s="6">
        <v>2404.818181818182</v>
      </c>
      <c r="N381" s="6">
        <v>4759</v>
      </c>
      <c r="O381" s="13"/>
      <c r="P381" s="60">
        <f t="shared" si="160"/>
        <v>3022.2139393939433</v>
      </c>
      <c r="Q381" s="61">
        <f t="shared" si="161"/>
        <v>2972.9636363636405</v>
      </c>
      <c r="R381" s="61">
        <f t="shared" si="162"/>
        <v>1315.5157575757594</v>
      </c>
      <c r="S381" s="62">
        <f t="shared" si="163"/>
        <v>1312.1545454545474</v>
      </c>
      <c r="T381" s="63">
        <f t="shared" si="164"/>
        <v>2260.5290909090941</v>
      </c>
      <c r="U381" s="63">
        <f t="shared" si="148"/>
        <v>4473.4600000000064</v>
      </c>
      <c r="V381" s="64"/>
      <c r="W381" s="60">
        <v>818</v>
      </c>
      <c r="X381" s="61">
        <v>1738</v>
      </c>
      <c r="Y381" s="61">
        <v>2613</v>
      </c>
      <c r="Z381" s="61">
        <v>3226</v>
      </c>
      <c r="AA381" s="65">
        <v>2501</v>
      </c>
      <c r="AB381" s="65">
        <v>2471</v>
      </c>
      <c r="AC381" s="66"/>
      <c r="AD381" s="67">
        <f t="shared" si="149"/>
        <v>7.3244985673352442E-2</v>
      </c>
      <c r="AE381" s="67">
        <f t="shared" si="150"/>
        <v>0.15562320916905445</v>
      </c>
      <c r="AF381" s="67">
        <f t="shared" si="151"/>
        <v>0.23397206303724929</v>
      </c>
      <c r="AG381" s="67">
        <f t="shared" si="152"/>
        <v>0.28886103151862463</v>
      </c>
      <c r="AH381" s="67">
        <f t="shared" si="153"/>
        <v>0.22394340974212035</v>
      </c>
      <c r="AI381" s="67">
        <f t="shared" si="154"/>
        <v>0.22125716332378223</v>
      </c>
      <c r="AJ381" s="66"/>
      <c r="AK381" s="68">
        <v>2316.0499999999988</v>
      </c>
      <c r="AL381" s="69">
        <v>4666.5099999999893</v>
      </c>
      <c r="AM381" s="69">
        <v>4666.5099999999893</v>
      </c>
      <c r="AN381" s="69">
        <v>5261.9299999999921</v>
      </c>
      <c r="AO381" s="70">
        <v>2799.1600000000499</v>
      </c>
      <c r="AP381" s="70">
        <v>1863.6099999999899</v>
      </c>
      <c r="AQ381" s="66"/>
      <c r="AR381" s="70" t="s">
        <v>780</v>
      </c>
      <c r="AS381" s="66"/>
      <c r="AT381" s="108">
        <v>68589.960000000006</v>
      </c>
      <c r="AU381" s="109">
        <v>67323.170000000013</v>
      </c>
      <c r="AV381" s="109">
        <v>29760.420000000002</v>
      </c>
      <c r="AW381" s="109">
        <v>21068.06</v>
      </c>
      <c r="AX381" s="110">
        <v>50481.06</v>
      </c>
      <c r="AY381" s="110">
        <v>73068.2</v>
      </c>
    </row>
    <row r="382" spans="1:51" x14ac:dyDescent="0.25">
      <c r="A382" s="8">
        <v>5853</v>
      </c>
      <c r="B382" s="5" t="s">
        <v>357</v>
      </c>
      <c r="C382" s="2">
        <v>0.9300000000000006</v>
      </c>
      <c r="D382" s="24">
        <v>4000</v>
      </c>
      <c r="E382" s="26">
        <f t="shared" si="141"/>
        <v>2000</v>
      </c>
      <c r="F382" s="26">
        <v>3296</v>
      </c>
      <c r="G382" s="30">
        <f t="shared" si="142"/>
        <v>0.60679611650485432</v>
      </c>
      <c r="H382" s="11"/>
      <c r="I382" s="9">
        <v>2058</v>
      </c>
      <c r="J382" s="3">
        <v>124</v>
      </c>
      <c r="K382" s="3">
        <v>282</v>
      </c>
      <c r="L382" s="3">
        <v>1793</v>
      </c>
      <c r="M382" s="6">
        <v>1985</v>
      </c>
      <c r="N382" s="6">
        <v>1441</v>
      </c>
      <c r="O382" s="13"/>
      <c r="P382" s="60">
        <f t="shared" si="160"/>
        <v>1913.9400000000012</v>
      </c>
      <c r="Q382" s="61">
        <f t="shared" si="161"/>
        <v>115.32000000000008</v>
      </c>
      <c r="R382" s="61">
        <f t="shared" si="162"/>
        <v>262.26000000000016</v>
      </c>
      <c r="S382" s="62">
        <f t="shared" si="163"/>
        <v>1667.4900000000011</v>
      </c>
      <c r="T382" s="63">
        <f t="shared" si="164"/>
        <v>1846.0500000000011</v>
      </c>
      <c r="U382" s="63">
        <f t="shared" si="148"/>
        <v>1340.1300000000008</v>
      </c>
      <c r="V382" s="64"/>
      <c r="W382" s="60">
        <v>2447</v>
      </c>
      <c r="X382" s="61">
        <v>2185</v>
      </c>
      <c r="Y382" s="61">
        <v>1496</v>
      </c>
      <c r="Z382" s="61">
        <v>279</v>
      </c>
      <c r="AA382" s="65">
        <v>1197</v>
      </c>
      <c r="AB382" s="65">
        <v>2538</v>
      </c>
      <c r="AC382" s="66"/>
      <c r="AD382" s="67">
        <f t="shared" si="149"/>
        <v>0.74241504854368934</v>
      </c>
      <c r="AE382" s="67">
        <f t="shared" si="150"/>
        <v>0.66292475728155342</v>
      </c>
      <c r="AF382" s="67">
        <f t="shared" si="151"/>
        <v>0.45388349514563109</v>
      </c>
      <c r="AG382" s="67">
        <f t="shared" si="152"/>
        <v>8.4648058252427189E-2</v>
      </c>
      <c r="AH382" s="67">
        <f t="shared" si="153"/>
        <v>0.36316747572815533</v>
      </c>
      <c r="AI382" s="67">
        <f t="shared" si="154"/>
        <v>0.77002427184466016</v>
      </c>
      <c r="AJ382" s="66"/>
      <c r="AK382" s="68">
        <v>1111.200000000001</v>
      </c>
      <c r="AL382" s="69">
        <v>1320.9699999999989</v>
      </c>
      <c r="AM382" s="69">
        <v>1320.9699999999991</v>
      </c>
      <c r="AN382" s="69">
        <v>959.91999999999985</v>
      </c>
      <c r="AO382" s="70">
        <v>287.14999999999998</v>
      </c>
      <c r="AP382" s="70">
        <v>2113.8399999999901</v>
      </c>
      <c r="AQ382" s="66"/>
      <c r="AR382" s="70" t="s">
        <v>779</v>
      </c>
      <c r="AS382" s="66"/>
      <c r="AT382" s="108">
        <v>10807.210000000001</v>
      </c>
      <c r="AU382" s="109">
        <v>643.55999999999995</v>
      </c>
      <c r="AV382" s="109">
        <v>1459.12</v>
      </c>
      <c r="AW382" s="109">
        <v>9101.34</v>
      </c>
      <c r="AX382" s="110">
        <v>10488.53</v>
      </c>
      <c r="AY382" s="110">
        <v>7376.83</v>
      </c>
    </row>
    <row r="383" spans="1:51" x14ac:dyDescent="0.25">
      <c r="A383" s="8" t="s">
        <v>212</v>
      </c>
      <c r="B383" s="5" t="s">
        <v>213</v>
      </c>
      <c r="C383" s="2">
        <v>0.92999999999999972</v>
      </c>
      <c r="D383" s="24">
        <v>1000</v>
      </c>
      <c r="E383" s="26">
        <f t="shared" si="141"/>
        <v>500</v>
      </c>
      <c r="F383" s="26">
        <v>797</v>
      </c>
      <c r="G383" s="30">
        <f t="shared" si="142"/>
        <v>0.62735257214554585</v>
      </c>
      <c r="H383" s="11"/>
      <c r="I383" s="9">
        <v>0</v>
      </c>
      <c r="J383" s="3">
        <v>0</v>
      </c>
      <c r="K383" s="3">
        <v>0</v>
      </c>
      <c r="L383" s="3">
        <v>0</v>
      </c>
      <c r="M383" s="6"/>
      <c r="N383" s="6">
        <v>245</v>
      </c>
      <c r="O383" s="13"/>
      <c r="P383" s="60">
        <f t="shared" si="160"/>
        <v>0</v>
      </c>
      <c r="Q383" s="61">
        <f t="shared" si="161"/>
        <v>0</v>
      </c>
      <c r="R383" s="61">
        <f t="shared" si="162"/>
        <v>0</v>
      </c>
      <c r="S383" s="62">
        <f t="shared" si="163"/>
        <v>0</v>
      </c>
      <c r="T383" s="63">
        <f t="shared" si="164"/>
        <v>0</v>
      </c>
      <c r="U383" s="63">
        <f t="shared" si="148"/>
        <v>227.84999999999994</v>
      </c>
      <c r="V383" s="64"/>
      <c r="W383" s="60">
        <v>402</v>
      </c>
      <c r="X383" s="61">
        <v>479</v>
      </c>
      <c r="Y383" s="61">
        <v>532</v>
      </c>
      <c r="Z383" s="61">
        <v>372</v>
      </c>
      <c r="AA383" s="65">
        <v>498</v>
      </c>
      <c r="AB383" s="65">
        <v>362</v>
      </c>
      <c r="AC383" s="66"/>
      <c r="AD383" s="67">
        <f t="shared" si="149"/>
        <v>0.50439146800501877</v>
      </c>
      <c r="AE383" s="67">
        <f t="shared" si="150"/>
        <v>0.60100376411543288</v>
      </c>
      <c r="AF383" s="67">
        <f t="shared" si="151"/>
        <v>0.66750313676286077</v>
      </c>
      <c r="AG383" s="67">
        <f t="shared" si="152"/>
        <v>0.46675031367628605</v>
      </c>
      <c r="AH383" s="67">
        <f t="shared" si="153"/>
        <v>0.62484316185696365</v>
      </c>
      <c r="AI383" s="67">
        <f t="shared" si="154"/>
        <v>0.45420326223337515</v>
      </c>
      <c r="AJ383" s="66"/>
      <c r="AK383" s="68">
        <v>223.63</v>
      </c>
      <c r="AL383" s="69">
        <v>248.41999999999913</v>
      </c>
      <c r="AM383" s="69">
        <v>248.41999999999913</v>
      </c>
      <c r="AN383" s="69">
        <v>369.83999999999963</v>
      </c>
      <c r="AO383" s="70">
        <v>268.06</v>
      </c>
      <c r="AP383" s="70">
        <v>282.51</v>
      </c>
      <c r="AQ383" s="66"/>
      <c r="AR383" s="70" t="s">
        <v>779</v>
      </c>
      <c r="AS383" s="66"/>
      <c r="AT383" s="108">
        <v>0</v>
      </c>
      <c r="AU383" s="109">
        <v>0</v>
      </c>
      <c r="AV383" s="109">
        <v>0</v>
      </c>
      <c r="AW383" s="109">
        <v>0</v>
      </c>
      <c r="AX383" s="110">
        <v>0</v>
      </c>
      <c r="AY383" s="110">
        <v>561.04999999999995</v>
      </c>
    </row>
    <row r="384" spans="1:51" x14ac:dyDescent="0.25">
      <c r="A384" s="8" t="s">
        <v>812</v>
      </c>
      <c r="B384" s="5" t="s">
        <v>855</v>
      </c>
      <c r="C384" s="2">
        <v>0.92676950998184537</v>
      </c>
      <c r="D384" s="24">
        <v>4000</v>
      </c>
      <c r="E384" s="26">
        <f t="shared" si="141"/>
        <v>2000</v>
      </c>
      <c r="F384" s="26">
        <v>7900</v>
      </c>
      <c r="G384" s="30">
        <f t="shared" si="142"/>
        <v>0.25316455696202533</v>
      </c>
      <c r="H384" s="11"/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6">
        <v>1648</v>
      </c>
      <c r="O384" s="13"/>
      <c r="P384" s="60"/>
      <c r="Q384" s="61"/>
      <c r="R384" s="61"/>
      <c r="S384" s="62"/>
      <c r="T384" s="63"/>
      <c r="U384" s="63">
        <f t="shared" si="148"/>
        <v>1527.3161524500811</v>
      </c>
      <c r="V384" s="64"/>
      <c r="W384" s="60"/>
      <c r="X384" s="61"/>
      <c r="Y384" s="61"/>
      <c r="Z384" s="61"/>
      <c r="AA384" s="65"/>
      <c r="AB384" s="65"/>
      <c r="AC384" s="66"/>
      <c r="AD384" s="67">
        <f t="shared" si="149"/>
        <v>0</v>
      </c>
      <c r="AE384" s="67">
        <f t="shared" si="150"/>
        <v>0</v>
      </c>
      <c r="AF384" s="67">
        <f t="shared" si="151"/>
        <v>0</v>
      </c>
      <c r="AG384" s="67">
        <f t="shared" si="152"/>
        <v>0</v>
      </c>
      <c r="AH384" s="67">
        <f t="shared" si="153"/>
        <v>0</v>
      </c>
      <c r="AI384" s="67">
        <f t="shared" si="154"/>
        <v>0</v>
      </c>
      <c r="AJ384" s="66"/>
      <c r="AK384" s="68"/>
      <c r="AL384" s="69"/>
      <c r="AM384" s="69"/>
      <c r="AN384" s="69"/>
      <c r="AO384" s="70"/>
      <c r="AP384" s="70"/>
      <c r="AQ384" s="66"/>
      <c r="AR384" s="70" t="s">
        <v>780</v>
      </c>
      <c r="AS384" s="66"/>
      <c r="AT384" s="108">
        <v>32583.420000000002</v>
      </c>
      <c r="AU384" s="109">
        <v>50770.7</v>
      </c>
      <c r="AV384" s="109">
        <v>41574.869999999995</v>
      </c>
      <c r="AW384" s="109">
        <v>21645.190000000002</v>
      </c>
      <c r="AX384" s="110">
        <v>32670.66</v>
      </c>
      <c r="AY384" s="110">
        <v>42587.759999999995</v>
      </c>
    </row>
    <row r="385" spans="1:51" x14ac:dyDescent="0.25">
      <c r="A385" s="8" t="s">
        <v>615</v>
      </c>
      <c r="B385" s="5" t="s">
        <v>616</v>
      </c>
      <c r="C385" s="2">
        <v>0.92000000000000171</v>
      </c>
      <c r="D385" s="24">
        <v>6000</v>
      </c>
      <c r="E385" s="26">
        <f t="shared" si="141"/>
        <v>3000</v>
      </c>
      <c r="F385" s="26">
        <v>11491</v>
      </c>
      <c r="G385" s="30">
        <f t="shared" si="142"/>
        <v>0.26107388390914626</v>
      </c>
      <c r="H385" s="11"/>
      <c r="I385" s="9">
        <v>5308</v>
      </c>
      <c r="J385" s="3">
        <v>0</v>
      </c>
      <c r="K385" s="3">
        <v>0</v>
      </c>
      <c r="L385" s="3">
        <v>20710</v>
      </c>
      <c r="M385" s="6"/>
      <c r="N385" s="6">
        <v>0</v>
      </c>
      <c r="O385" s="13"/>
      <c r="P385" s="60">
        <f t="shared" ref="P385:P396" si="165">+I385*C385</f>
        <v>4883.3600000000088</v>
      </c>
      <c r="Q385" s="61">
        <f t="shared" ref="Q385:Q396" si="166">+J385*C385</f>
        <v>0</v>
      </c>
      <c r="R385" s="61">
        <f t="shared" ref="R385:R396" si="167">+K385*C385</f>
        <v>0</v>
      </c>
      <c r="S385" s="62">
        <f t="shared" ref="S385:S396" si="168">+L385*C385</f>
        <v>19053.200000000037</v>
      </c>
      <c r="T385" s="63">
        <f t="shared" ref="T385:T396" si="169">+M385*C385</f>
        <v>0</v>
      </c>
      <c r="U385" s="63">
        <f t="shared" si="148"/>
        <v>0</v>
      </c>
      <c r="V385" s="64"/>
      <c r="W385" s="60">
        <v>3376</v>
      </c>
      <c r="X385" s="61">
        <v>3418</v>
      </c>
      <c r="Y385" s="61">
        <v>3023</v>
      </c>
      <c r="Z385" s="61">
        <v>3868</v>
      </c>
      <c r="AA385" s="65">
        <v>4908</v>
      </c>
      <c r="AB385" s="65">
        <v>5347</v>
      </c>
      <c r="AC385" s="66"/>
      <c r="AD385" s="67">
        <f t="shared" si="149"/>
        <v>0.29379514402575929</v>
      </c>
      <c r="AE385" s="67">
        <f t="shared" si="150"/>
        <v>0.29745017840048732</v>
      </c>
      <c r="AF385" s="67">
        <f t="shared" si="151"/>
        <v>0.26307545035244972</v>
      </c>
      <c r="AG385" s="67">
        <f t="shared" si="152"/>
        <v>0.33661126098685928</v>
      </c>
      <c r="AH385" s="67">
        <f t="shared" si="153"/>
        <v>0.42711687407536331</v>
      </c>
      <c r="AI385" s="67">
        <f t="shared" si="154"/>
        <v>0.46532068575406837</v>
      </c>
      <c r="AJ385" s="66"/>
      <c r="AK385" s="68">
        <v>19450.350000000049</v>
      </c>
      <c r="AL385" s="69">
        <v>14839.709999999983</v>
      </c>
      <c r="AM385" s="69">
        <v>14839.709999999985</v>
      </c>
      <c r="AN385" s="69">
        <v>9273.9599999999846</v>
      </c>
      <c r="AO385" s="70">
        <v>9649.4699999999302</v>
      </c>
      <c r="AP385" s="70">
        <v>6718.0700000000497</v>
      </c>
      <c r="AQ385" s="66"/>
      <c r="AR385" s="70" t="s">
        <v>780</v>
      </c>
      <c r="AS385" s="66"/>
      <c r="AT385" s="108">
        <v>108511.23</v>
      </c>
      <c r="AU385" s="109">
        <v>0</v>
      </c>
      <c r="AV385" s="109">
        <v>0</v>
      </c>
      <c r="AW385" s="109">
        <v>417014.17999999993</v>
      </c>
      <c r="AX385" s="110">
        <v>0</v>
      </c>
      <c r="AY385" s="110">
        <v>0</v>
      </c>
    </row>
    <row r="386" spans="1:51" x14ac:dyDescent="0.25">
      <c r="A386" s="8" t="s">
        <v>739</v>
      </c>
      <c r="B386" s="5" t="s">
        <v>740</v>
      </c>
      <c r="C386" s="2">
        <v>0.92</v>
      </c>
      <c r="D386" s="24">
        <v>80</v>
      </c>
      <c r="E386" s="26">
        <f t="shared" si="141"/>
        <v>40</v>
      </c>
      <c r="F386" s="26">
        <v>23</v>
      </c>
      <c r="G386" s="30">
        <f t="shared" si="142"/>
        <v>1.7391304347826086</v>
      </c>
      <c r="H386" s="11"/>
      <c r="I386" s="9">
        <v>214.28571428571428</v>
      </c>
      <c r="J386" s="3">
        <v>214.28571428571428</v>
      </c>
      <c r="K386" s="3">
        <v>0</v>
      </c>
      <c r="L386" s="3">
        <v>0</v>
      </c>
      <c r="M386" s="6">
        <v>0</v>
      </c>
      <c r="N386" s="6">
        <v>0</v>
      </c>
      <c r="O386" s="13"/>
      <c r="P386" s="60">
        <f t="shared" si="165"/>
        <v>197.14285714285714</v>
      </c>
      <c r="Q386" s="61">
        <f t="shared" si="166"/>
        <v>197.14285714285714</v>
      </c>
      <c r="R386" s="61">
        <f t="shared" si="167"/>
        <v>0</v>
      </c>
      <c r="S386" s="62">
        <f t="shared" si="168"/>
        <v>0</v>
      </c>
      <c r="T386" s="63">
        <f t="shared" si="169"/>
        <v>0</v>
      </c>
      <c r="U386" s="63">
        <f t="shared" si="148"/>
        <v>0</v>
      </c>
      <c r="V386" s="64"/>
      <c r="W386" s="60">
        <v>14</v>
      </c>
      <c r="X386" s="61">
        <v>2</v>
      </c>
      <c r="Y386" s="61">
        <v>53</v>
      </c>
      <c r="Z386" s="61">
        <v>21</v>
      </c>
      <c r="AA386" s="65">
        <v>13</v>
      </c>
      <c r="AB386" s="65">
        <v>150</v>
      </c>
      <c r="AC386" s="66"/>
      <c r="AD386" s="67">
        <f t="shared" si="149"/>
        <v>0.60869565217391308</v>
      </c>
      <c r="AE386" s="67">
        <f t="shared" si="150"/>
        <v>8.6956521739130432E-2</v>
      </c>
      <c r="AF386" s="67">
        <f t="shared" si="151"/>
        <v>2.3043478260869565</v>
      </c>
      <c r="AG386" s="67">
        <f t="shared" si="152"/>
        <v>0.91304347826086951</v>
      </c>
      <c r="AH386" s="67">
        <f t="shared" si="153"/>
        <v>0.56521739130434778</v>
      </c>
      <c r="AI386" s="67">
        <f t="shared" si="154"/>
        <v>6.5217391304347823</v>
      </c>
      <c r="AJ386" s="66"/>
      <c r="AK386" s="68">
        <v>12.92</v>
      </c>
      <c r="AL386" s="69">
        <v>0.86</v>
      </c>
      <c r="AM386" s="69">
        <v>-174.90000000000003</v>
      </c>
      <c r="AN386" s="69">
        <v>-69.300000000000011</v>
      </c>
      <c r="AO386" s="70">
        <v>-42.900000000000006</v>
      </c>
      <c r="AP386" s="70">
        <v>-513.73999999999899</v>
      </c>
      <c r="AQ386" s="66"/>
      <c r="AR386" s="70" t="s">
        <v>780</v>
      </c>
      <c r="AS386" s="66"/>
      <c r="AT386" s="108">
        <v>2410.8000000000002</v>
      </c>
      <c r="AU386" s="109">
        <v>2416.1999999999998</v>
      </c>
      <c r="AV386" s="109">
        <v>0</v>
      </c>
      <c r="AW386" s="109">
        <v>0</v>
      </c>
      <c r="AX386" s="110">
        <v>0</v>
      </c>
      <c r="AY386" s="110">
        <v>0</v>
      </c>
    </row>
    <row r="387" spans="1:51" x14ac:dyDescent="0.25">
      <c r="A387" s="8" t="s">
        <v>528</v>
      </c>
      <c r="B387" s="5" t="s">
        <v>529</v>
      </c>
      <c r="C387" s="2">
        <v>0.91000000000000014</v>
      </c>
      <c r="D387" s="24">
        <v>2000</v>
      </c>
      <c r="E387" s="26">
        <f t="shared" ref="E387:E450" si="170">D387/2</f>
        <v>1000</v>
      </c>
      <c r="F387" s="26">
        <v>2706</v>
      </c>
      <c r="G387" s="30">
        <f t="shared" ref="G387:G450" si="171">+E387/F387</f>
        <v>0.36954915003695493</v>
      </c>
      <c r="H387" s="11"/>
      <c r="I387" s="9">
        <v>39</v>
      </c>
      <c r="J387" s="3">
        <v>1013</v>
      </c>
      <c r="K387" s="3">
        <v>301</v>
      </c>
      <c r="L387" s="3">
        <v>70</v>
      </c>
      <c r="M387" s="6">
        <v>166</v>
      </c>
      <c r="N387" s="6">
        <v>0</v>
      </c>
      <c r="O387" s="13"/>
      <c r="P387" s="60">
        <f t="shared" si="165"/>
        <v>35.490000000000009</v>
      </c>
      <c r="Q387" s="61">
        <f t="shared" si="166"/>
        <v>921.83000000000015</v>
      </c>
      <c r="R387" s="61">
        <f t="shared" si="167"/>
        <v>273.91000000000003</v>
      </c>
      <c r="S387" s="62">
        <f t="shared" si="168"/>
        <v>63.70000000000001</v>
      </c>
      <c r="T387" s="63">
        <f t="shared" si="169"/>
        <v>151.06000000000003</v>
      </c>
      <c r="U387" s="63">
        <f t="shared" si="148"/>
        <v>0</v>
      </c>
      <c r="V387" s="64"/>
      <c r="W387" s="60">
        <v>568</v>
      </c>
      <c r="X387" s="61">
        <v>467</v>
      </c>
      <c r="Y387" s="61">
        <v>279</v>
      </c>
      <c r="Z387" s="61">
        <v>628</v>
      </c>
      <c r="AA387" s="65">
        <v>246</v>
      </c>
      <c r="AB387" s="65">
        <v>165</v>
      </c>
      <c r="AC387" s="66"/>
      <c r="AD387" s="67">
        <f t="shared" si="149"/>
        <v>0.20990391722099039</v>
      </c>
      <c r="AE387" s="67">
        <f t="shared" si="150"/>
        <v>0.17257945306725794</v>
      </c>
      <c r="AF387" s="67">
        <f t="shared" si="151"/>
        <v>0.10310421286031042</v>
      </c>
      <c r="AG387" s="67">
        <f t="shared" si="152"/>
        <v>0.2320768662232077</v>
      </c>
      <c r="AH387" s="67">
        <f t="shared" si="153"/>
        <v>9.0909090909090912E-2</v>
      </c>
      <c r="AI387" s="67">
        <f t="shared" si="154"/>
        <v>6.097560975609756E-2</v>
      </c>
      <c r="AJ387" s="66"/>
      <c r="AK387" s="68">
        <v>396.57</v>
      </c>
      <c r="AL387" s="69">
        <v>291.52999999999986</v>
      </c>
      <c r="AM387" s="69">
        <v>291.5299999999998</v>
      </c>
      <c r="AN387" s="69">
        <v>287.08999999999992</v>
      </c>
      <c r="AO387" s="70">
        <v>541.25</v>
      </c>
      <c r="AP387" s="70">
        <v>148.039999999999</v>
      </c>
      <c r="AQ387" s="66"/>
      <c r="AR387" s="70" t="s">
        <v>780</v>
      </c>
      <c r="AS387" s="66"/>
      <c r="AT387" s="108">
        <v>483.21</v>
      </c>
      <c r="AU387" s="109">
        <v>12562.82</v>
      </c>
      <c r="AV387" s="109">
        <v>3686.7700000000004</v>
      </c>
      <c r="AW387" s="109">
        <v>854.7</v>
      </c>
      <c r="AX387" s="110">
        <v>2035.3500000000001</v>
      </c>
      <c r="AY387" s="110">
        <v>0</v>
      </c>
    </row>
    <row r="388" spans="1:51" x14ac:dyDescent="0.25">
      <c r="A388" s="8">
        <v>5128</v>
      </c>
      <c r="B388" s="5" t="s">
        <v>408</v>
      </c>
      <c r="C388" s="2">
        <v>0.89999999999999947</v>
      </c>
      <c r="D388" s="24">
        <v>4000</v>
      </c>
      <c r="E388" s="26">
        <f t="shared" si="170"/>
        <v>2000</v>
      </c>
      <c r="F388" s="26">
        <v>3382</v>
      </c>
      <c r="G388" s="30">
        <f t="shared" si="171"/>
        <v>0.59136605558840927</v>
      </c>
      <c r="H388" s="11"/>
      <c r="I388" s="9">
        <v>3374</v>
      </c>
      <c r="J388" s="3">
        <v>1617</v>
      </c>
      <c r="K388" s="3">
        <v>888</v>
      </c>
      <c r="L388" s="3">
        <v>4644</v>
      </c>
      <c r="M388" s="6">
        <v>1094</v>
      </c>
      <c r="N388" s="6">
        <v>1770</v>
      </c>
      <c r="O388" s="13"/>
      <c r="P388" s="60">
        <f t="shared" si="165"/>
        <v>3036.5999999999981</v>
      </c>
      <c r="Q388" s="61">
        <f t="shared" si="166"/>
        <v>1455.299999999999</v>
      </c>
      <c r="R388" s="61">
        <f t="shared" si="167"/>
        <v>799.19999999999948</v>
      </c>
      <c r="S388" s="62">
        <f t="shared" si="168"/>
        <v>4179.5999999999976</v>
      </c>
      <c r="T388" s="63">
        <f t="shared" si="169"/>
        <v>984.59999999999945</v>
      </c>
      <c r="U388" s="63">
        <f t="shared" ref="U388:U451" si="172">+N388*C388</f>
        <v>1592.9999999999991</v>
      </c>
      <c r="V388" s="64"/>
      <c r="W388" s="60">
        <v>1695</v>
      </c>
      <c r="X388" s="61">
        <v>3345</v>
      </c>
      <c r="Y388" s="61">
        <v>1900</v>
      </c>
      <c r="Z388" s="61">
        <v>1598</v>
      </c>
      <c r="AA388" s="65">
        <v>1852</v>
      </c>
      <c r="AB388" s="65">
        <v>2157</v>
      </c>
      <c r="AC388" s="66"/>
      <c r="AD388" s="67">
        <f t="shared" ref="AD388:AD451" si="173">+IFERROR(W388/F388,"")</f>
        <v>0.50118273211117681</v>
      </c>
      <c r="AE388" s="67">
        <f t="shared" ref="AE388:AE451" si="174">+IFERROR(X388/F388,"")</f>
        <v>0.98905972797161446</v>
      </c>
      <c r="AF388" s="67">
        <f t="shared" ref="AF388:AF451" si="175">+IFERROR(Y388/F388,"")</f>
        <v>0.5617977528089888</v>
      </c>
      <c r="AG388" s="67">
        <f t="shared" ref="AG388:AG451" si="176">+IFERROR(Z388/F388,"")</f>
        <v>0.47250147841513895</v>
      </c>
      <c r="AH388" s="67">
        <f t="shared" ref="AH388:AH451" si="177">+IFERROR(AA388/F388,"")</f>
        <v>0.54760496747486698</v>
      </c>
      <c r="AI388" s="67">
        <f t="shared" ref="AI388:AI451" si="178">+IFERROR(AB388/F388,"")</f>
        <v>0.63778829095209932</v>
      </c>
      <c r="AJ388" s="66"/>
      <c r="AK388" s="68">
        <v>190.88999999999959</v>
      </c>
      <c r="AL388" s="69">
        <v>1000.9999999999977</v>
      </c>
      <c r="AM388" s="69">
        <v>1000.999999999998</v>
      </c>
      <c r="AN388" s="69">
        <v>1113.069999999999</v>
      </c>
      <c r="AO388" s="70">
        <v>1464.9399999999901</v>
      </c>
      <c r="AP388" s="70">
        <v>1968.89</v>
      </c>
      <c r="AQ388" s="66"/>
      <c r="AR388" s="70" t="s">
        <v>779</v>
      </c>
      <c r="AS388" s="66"/>
      <c r="AT388" s="108">
        <v>22215.14</v>
      </c>
      <c r="AU388" s="109">
        <v>10745.369999999999</v>
      </c>
      <c r="AV388" s="109">
        <v>5710.5599999999995</v>
      </c>
      <c r="AW388" s="109">
        <v>30267.079999999998</v>
      </c>
      <c r="AX388" s="110">
        <v>7172.2999999999993</v>
      </c>
      <c r="AY388" s="110">
        <v>11641.5</v>
      </c>
    </row>
    <row r="389" spans="1:51" x14ac:dyDescent="0.25">
      <c r="A389" s="8" t="s">
        <v>184</v>
      </c>
      <c r="B389" s="5" t="s">
        <v>185</v>
      </c>
      <c r="C389" s="2">
        <v>0.89000000000000012</v>
      </c>
      <c r="D389" s="24">
        <v>500</v>
      </c>
      <c r="E389" s="26">
        <f t="shared" si="170"/>
        <v>250</v>
      </c>
      <c r="F389" s="26">
        <v>5424</v>
      </c>
      <c r="G389" s="30">
        <f t="shared" si="171"/>
        <v>4.6091445427728611E-2</v>
      </c>
      <c r="H389" s="11"/>
      <c r="I389" s="9">
        <v>0</v>
      </c>
      <c r="J389" s="3">
        <v>132</v>
      </c>
      <c r="K389" s="3">
        <v>0</v>
      </c>
      <c r="L389" s="3">
        <v>0</v>
      </c>
      <c r="M389" s="6"/>
      <c r="N389" s="6">
        <v>50</v>
      </c>
      <c r="O389" s="13"/>
      <c r="P389" s="60">
        <f t="shared" si="165"/>
        <v>0</v>
      </c>
      <c r="Q389" s="61">
        <f t="shared" si="166"/>
        <v>117.48000000000002</v>
      </c>
      <c r="R389" s="61">
        <f t="shared" si="167"/>
        <v>0</v>
      </c>
      <c r="S389" s="62">
        <f t="shared" si="168"/>
        <v>0</v>
      </c>
      <c r="T389" s="63">
        <f t="shared" si="169"/>
        <v>0</v>
      </c>
      <c r="U389" s="63">
        <f t="shared" si="172"/>
        <v>44.500000000000007</v>
      </c>
      <c r="V389" s="64"/>
      <c r="W389" s="60">
        <v>0</v>
      </c>
      <c r="X389" s="61">
        <v>0</v>
      </c>
      <c r="Y389" s="61">
        <v>131</v>
      </c>
      <c r="Z389" s="61">
        <v>0</v>
      </c>
      <c r="AA389" s="65">
        <v>0</v>
      </c>
      <c r="AB389" s="65">
        <v>0</v>
      </c>
      <c r="AC389" s="66"/>
      <c r="AD389" s="67">
        <f t="shared" si="173"/>
        <v>0</v>
      </c>
      <c r="AE389" s="67">
        <f t="shared" si="174"/>
        <v>0</v>
      </c>
      <c r="AF389" s="67">
        <f t="shared" si="175"/>
        <v>2.4151917404129794E-2</v>
      </c>
      <c r="AG389" s="67">
        <f t="shared" si="176"/>
        <v>0</v>
      </c>
      <c r="AH389" s="67">
        <f t="shared" si="177"/>
        <v>0</v>
      </c>
      <c r="AI389" s="67">
        <f t="shared" si="178"/>
        <v>0</v>
      </c>
      <c r="AJ389" s="66"/>
      <c r="AK389" s="68">
        <v>0</v>
      </c>
      <c r="AL389" s="69">
        <v>0</v>
      </c>
      <c r="AM389" s="69">
        <v>116.59000000000002</v>
      </c>
      <c r="AN389" s="69">
        <v>138.9199999999995</v>
      </c>
      <c r="AO389" s="70">
        <v>0</v>
      </c>
      <c r="AP389" s="70">
        <v>0</v>
      </c>
      <c r="AQ389" s="66"/>
      <c r="AR389" s="70" t="s">
        <v>779</v>
      </c>
      <c r="AS389" s="66"/>
      <c r="AT389" s="108">
        <v>0</v>
      </c>
      <c r="AU389" s="109">
        <v>264</v>
      </c>
      <c r="AV389" s="109">
        <v>0</v>
      </c>
      <c r="AW389" s="109">
        <v>0</v>
      </c>
      <c r="AX389" s="110">
        <v>0</v>
      </c>
      <c r="AY389" s="110">
        <v>91.5</v>
      </c>
    </row>
    <row r="390" spans="1:51" x14ac:dyDescent="0.25">
      <c r="A390" s="8" t="s">
        <v>424</v>
      </c>
      <c r="B390" s="5" t="s">
        <v>425</v>
      </c>
      <c r="C390" s="2">
        <v>0.88999999999999968</v>
      </c>
      <c r="D390" s="24">
        <v>6000</v>
      </c>
      <c r="E390" s="26">
        <f t="shared" si="170"/>
        <v>3000</v>
      </c>
      <c r="F390" s="26">
        <v>20353</v>
      </c>
      <c r="G390" s="30">
        <f t="shared" si="171"/>
        <v>0.14739841792364761</v>
      </c>
      <c r="H390" s="11"/>
      <c r="I390" s="9">
        <v>2288</v>
      </c>
      <c r="J390" s="3">
        <v>1248</v>
      </c>
      <c r="K390" s="3">
        <v>92</v>
      </c>
      <c r="L390" s="3">
        <v>1375</v>
      </c>
      <c r="M390" s="6">
        <v>1401</v>
      </c>
      <c r="N390" s="6">
        <v>1327</v>
      </c>
      <c r="O390" s="13"/>
      <c r="P390" s="60">
        <f t="shared" si="165"/>
        <v>2036.3199999999993</v>
      </c>
      <c r="Q390" s="61">
        <f t="shared" si="166"/>
        <v>1110.7199999999996</v>
      </c>
      <c r="R390" s="61">
        <f t="shared" si="167"/>
        <v>81.879999999999967</v>
      </c>
      <c r="S390" s="62">
        <f t="shared" si="168"/>
        <v>1223.7499999999995</v>
      </c>
      <c r="T390" s="63">
        <f t="shared" si="169"/>
        <v>1246.8899999999996</v>
      </c>
      <c r="U390" s="63">
        <f t="shared" si="172"/>
        <v>1181.0299999999995</v>
      </c>
      <c r="V390" s="64"/>
      <c r="W390" s="60">
        <v>1844</v>
      </c>
      <c r="X390" s="61">
        <v>2424</v>
      </c>
      <c r="Y390" s="61">
        <v>1759</v>
      </c>
      <c r="Z390" s="61">
        <v>91</v>
      </c>
      <c r="AA390" s="65">
        <v>1485</v>
      </c>
      <c r="AB390" s="65">
        <v>1339</v>
      </c>
      <c r="AC390" s="66"/>
      <c r="AD390" s="67">
        <f t="shared" si="173"/>
        <v>9.0600894217068739E-2</v>
      </c>
      <c r="AE390" s="67">
        <f t="shared" si="174"/>
        <v>0.11909792168230728</v>
      </c>
      <c r="AF390" s="67">
        <f t="shared" si="175"/>
        <v>8.642460570923205E-2</v>
      </c>
      <c r="AG390" s="67">
        <f t="shared" si="176"/>
        <v>4.4710853436839776E-3</v>
      </c>
      <c r="AH390" s="67">
        <f t="shared" si="177"/>
        <v>7.2962216872205568E-2</v>
      </c>
      <c r="AI390" s="67">
        <f t="shared" si="178"/>
        <v>6.5788827199921393E-2</v>
      </c>
      <c r="AJ390" s="66"/>
      <c r="AK390" s="68">
        <v>688.32999999999947</v>
      </c>
      <c r="AL390" s="69">
        <v>1640.4899999999955</v>
      </c>
      <c r="AM390" s="69">
        <v>1640.4899999999957</v>
      </c>
      <c r="AN390" s="69">
        <v>1098.129999999996</v>
      </c>
      <c r="AO390" s="70">
        <v>42.1099999999999</v>
      </c>
      <c r="AP390" s="70">
        <v>1003.48999999998</v>
      </c>
      <c r="AQ390" s="66"/>
      <c r="AR390" s="70" t="s">
        <v>779</v>
      </c>
      <c r="AS390" s="66"/>
      <c r="AT390" s="108">
        <v>16329.14</v>
      </c>
      <c r="AU390" s="109">
        <v>8914.86</v>
      </c>
      <c r="AV390" s="109">
        <v>655.96</v>
      </c>
      <c r="AW390" s="109">
        <v>9735</v>
      </c>
      <c r="AX390" s="110">
        <v>9887.4</v>
      </c>
      <c r="AY390" s="110">
        <v>9292.2000000000007</v>
      </c>
    </row>
    <row r="391" spans="1:51" x14ac:dyDescent="0.25">
      <c r="A391" s="8" t="s">
        <v>617</v>
      </c>
      <c r="B391" s="5" t="s">
        <v>618</v>
      </c>
      <c r="C391" s="2">
        <v>0.87999999999999901</v>
      </c>
      <c r="D391" s="24">
        <v>6000</v>
      </c>
      <c r="E391" s="26">
        <f t="shared" si="170"/>
        <v>3000</v>
      </c>
      <c r="F391" s="26">
        <v>18430</v>
      </c>
      <c r="G391" s="30">
        <f t="shared" si="171"/>
        <v>0.16277807921866522</v>
      </c>
      <c r="H391" s="11"/>
      <c r="I391" s="9">
        <v>2508</v>
      </c>
      <c r="J391" s="3">
        <v>2905</v>
      </c>
      <c r="K391" s="3">
        <v>1464</v>
      </c>
      <c r="L391" s="3">
        <v>734</v>
      </c>
      <c r="M391" s="6">
        <v>3255</v>
      </c>
      <c r="N391" s="6">
        <v>5118</v>
      </c>
      <c r="O391" s="13"/>
      <c r="P391" s="60">
        <f t="shared" si="165"/>
        <v>2207.0399999999977</v>
      </c>
      <c r="Q391" s="61">
        <f t="shared" si="166"/>
        <v>2556.3999999999969</v>
      </c>
      <c r="R391" s="61">
        <f t="shared" si="167"/>
        <v>1288.3199999999986</v>
      </c>
      <c r="S391" s="62">
        <f t="shared" si="168"/>
        <v>645.91999999999928</v>
      </c>
      <c r="T391" s="63">
        <f t="shared" si="169"/>
        <v>2864.3999999999969</v>
      </c>
      <c r="U391" s="63">
        <f t="shared" si="172"/>
        <v>4503.8399999999947</v>
      </c>
      <c r="V391" s="64"/>
      <c r="W391" s="60">
        <v>2238</v>
      </c>
      <c r="X391" s="61">
        <v>3644</v>
      </c>
      <c r="Y391" s="61">
        <v>3449</v>
      </c>
      <c r="Z391" s="61">
        <v>1573</v>
      </c>
      <c r="AA391" s="65">
        <v>920</v>
      </c>
      <c r="AB391" s="65">
        <v>3284</v>
      </c>
      <c r="AC391" s="66"/>
      <c r="AD391" s="67">
        <f t="shared" si="173"/>
        <v>0.12143244709712425</v>
      </c>
      <c r="AE391" s="67">
        <f t="shared" si="174"/>
        <v>0.19772110689093869</v>
      </c>
      <c r="AF391" s="67">
        <f t="shared" si="175"/>
        <v>0.18714053174172546</v>
      </c>
      <c r="AG391" s="67">
        <f t="shared" si="176"/>
        <v>8.5349972870320132E-2</v>
      </c>
      <c r="AH391" s="67">
        <f t="shared" si="177"/>
        <v>4.9918610960390665E-2</v>
      </c>
      <c r="AI391" s="67">
        <f t="shared" si="178"/>
        <v>0.17818773738469887</v>
      </c>
      <c r="AJ391" s="66"/>
      <c r="AK391" s="68">
        <v>5455.15</v>
      </c>
      <c r="AL391" s="69">
        <v>3774.639999999989</v>
      </c>
      <c r="AM391" s="69">
        <v>3774.639999999988</v>
      </c>
      <c r="AN391" s="69">
        <v>2698.7899999999986</v>
      </c>
      <c r="AO391" s="70">
        <v>1077.55</v>
      </c>
      <c r="AP391" s="70">
        <v>2826.8200000000202</v>
      </c>
      <c r="AQ391" s="66"/>
      <c r="AR391" s="70" t="s">
        <v>780</v>
      </c>
      <c r="AS391" s="66"/>
      <c r="AT391" s="108">
        <v>47662.21</v>
      </c>
      <c r="AU391" s="109">
        <v>55650.63</v>
      </c>
      <c r="AV391" s="109">
        <v>27991.149999999998</v>
      </c>
      <c r="AW391" s="109">
        <v>13997.88</v>
      </c>
      <c r="AX391" s="110">
        <v>62959.310000000005</v>
      </c>
      <c r="AY391" s="110">
        <v>99715.119999999966</v>
      </c>
    </row>
    <row r="392" spans="1:51" x14ac:dyDescent="0.25">
      <c r="A392" s="8">
        <v>5149</v>
      </c>
      <c r="B392" s="5" t="s">
        <v>174</v>
      </c>
      <c r="C392" s="2">
        <v>0.86999999999999988</v>
      </c>
      <c r="D392" s="24">
        <v>500</v>
      </c>
      <c r="E392" s="26">
        <f t="shared" si="170"/>
        <v>250</v>
      </c>
      <c r="F392" s="26">
        <v>1938</v>
      </c>
      <c r="G392" s="30">
        <f t="shared" si="171"/>
        <v>0.12899896800825594</v>
      </c>
      <c r="H392" s="11"/>
      <c r="I392" s="9">
        <v>0</v>
      </c>
      <c r="J392" s="3">
        <v>0</v>
      </c>
      <c r="K392" s="3">
        <v>0</v>
      </c>
      <c r="L392" s="3">
        <v>0</v>
      </c>
      <c r="M392" s="6">
        <v>75</v>
      </c>
      <c r="N392" s="6">
        <v>135</v>
      </c>
      <c r="O392" s="13"/>
      <c r="P392" s="60">
        <f t="shared" si="165"/>
        <v>0</v>
      </c>
      <c r="Q392" s="61">
        <f t="shared" si="166"/>
        <v>0</v>
      </c>
      <c r="R392" s="61">
        <f t="shared" si="167"/>
        <v>0</v>
      </c>
      <c r="S392" s="62">
        <f t="shared" si="168"/>
        <v>0</v>
      </c>
      <c r="T392" s="63">
        <f t="shared" si="169"/>
        <v>65.249999999999986</v>
      </c>
      <c r="U392" s="63">
        <f t="shared" si="172"/>
        <v>117.44999999999999</v>
      </c>
      <c r="V392" s="64"/>
      <c r="W392" s="60">
        <v>0</v>
      </c>
      <c r="X392" s="61">
        <v>0</v>
      </c>
      <c r="Y392" s="61">
        <v>0</v>
      </c>
      <c r="Z392" s="61">
        <v>0</v>
      </c>
      <c r="AA392" s="65">
        <v>0</v>
      </c>
      <c r="AB392" s="65">
        <v>0</v>
      </c>
      <c r="AC392" s="66"/>
      <c r="AD392" s="67">
        <f t="shared" si="173"/>
        <v>0</v>
      </c>
      <c r="AE392" s="67">
        <f t="shared" si="174"/>
        <v>0</v>
      </c>
      <c r="AF392" s="67">
        <f t="shared" si="175"/>
        <v>0</v>
      </c>
      <c r="AG392" s="67">
        <f t="shared" si="176"/>
        <v>0</v>
      </c>
      <c r="AH392" s="67">
        <f t="shared" si="177"/>
        <v>0</v>
      </c>
      <c r="AI392" s="67">
        <f t="shared" si="178"/>
        <v>0</v>
      </c>
      <c r="AJ392" s="66"/>
      <c r="AK392" s="68">
        <v>0</v>
      </c>
      <c r="AL392" s="69">
        <v>0</v>
      </c>
      <c r="AM392" s="69">
        <v>0</v>
      </c>
      <c r="AN392" s="69">
        <v>0</v>
      </c>
      <c r="AO392" s="70">
        <v>0</v>
      </c>
      <c r="AP392" s="70">
        <v>0</v>
      </c>
      <c r="AQ392" s="66"/>
      <c r="AR392" s="70" t="s">
        <v>779</v>
      </c>
      <c r="AS392" s="66"/>
      <c r="AT392" s="108">
        <v>0</v>
      </c>
      <c r="AU392" s="109">
        <v>0</v>
      </c>
      <c r="AV392" s="109">
        <v>0</v>
      </c>
      <c r="AW392" s="109">
        <v>0</v>
      </c>
      <c r="AX392" s="110">
        <v>141.75</v>
      </c>
      <c r="AY392" s="110">
        <v>255.75</v>
      </c>
    </row>
    <row r="393" spans="1:51" x14ac:dyDescent="0.25">
      <c r="A393" s="8">
        <v>9808</v>
      </c>
      <c r="B393" s="5" t="s">
        <v>689</v>
      </c>
      <c r="C393" s="2">
        <v>0.86999999999999744</v>
      </c>
      <c r="D393" s="24">
        <v>3000</v>
      </c>
      <c r="E393" s="26">
        <f t="shared" si="170"/>
        <v>1500</v>
      </c>
      <c r="F393" s="26">
        <v>178832</v>
      </c>
      <c r="G393" s="30">
        <f t="shared" si="171"/>
        <v>8.387760579762012E-3</v>
      </c>
      <c r="H393" s="11"/>
      <c r="I393" s="9">
        <v>2004</v>
      </c>
      <c r="J393" s="3">
        <v>324</v>
      </c>
      <c r="K393" s="3">
        <v>0</v>
      </c>
      <c r="L393" s="3">
        <v>0</v>
      </c>
      <c r="M393" s="6"/>
      <c r="N393" s="6">
        <v>0</v>
      </c>
      <c r="O393" s="13"/>
      <c r="P393" s="60">
        <f t="shared" si="165"/>
        <v>1743.4799999999948</v>
      </c>
      <c r="Q393" s="61">
        <f t="shared" si="166"/>
        <v>281.8799999999992</v>
      </c>
      <c r="R393" s="61">
        <f t="shared" si="167"/>
        <v>0</v>
      </c>
      <c r="S393" s="62">
        <f t="shared" si="168"/>
        <v>0</v>
      </c>
      <c r="T393" s="63">
        <f t="shared" si="169"/>
        <v>0</v>
      </c>
      <c r="U393" s="63">
        <f t="shared" si="172"/>
        <v>0</v>
      </c>
      <c r="V393" s="64"/>
      <c r="W393" s="60">
        <v>326</v>
      </c>
      <c r="X393" s="61">
        <v>0</v>
      </c>
      <c r="Y393" s="61">
        <v>0</v>
      </c>
      <c r="Z393" s="61">
        <v>0</v>
      </c>
      <c r="AA393" s="65">
        <v>969</v>
      </c>
      <c r="AB393" s="65">
        <v>1196</v>
      </c>
      <c r="AC393" s="66"/>
      <c r="AD393" s="67">
        <f t="shared" si="173"/>
        <v>1.8229399660016105E-3</v>
      </c>
      <c r="AE393" s="67">
        <f t="shared" si="174"/>
        <v>0</v>
      </c>
      <c r="AF393" s="67">
        <f t="shared" si="175"/>
        <v>0</v>
      </c>
      <c r="AG393" s="67">
        <f t="shared" si="176"/>
        <v>0</v>
      </c>
      <c r="AH393" s="67">
        <f t="shared" si="177"/>
        <v>5.418493334526259E-3</v>
      </c>
      <c r="AI393" s="67">
        <f t="shared" si="178"/>
        <v>6.6878411022635769E-3</v>
      </c>
      <c r="AJ393" s="66"/>
      <c r="AK393" s="68">
        <v>454.84</v>
      </c>
      <c r="AL393" s="69">
        <v>0</v>
      </c>
      <c r="AM393" s="69">
        <v>0</v>
      </c>
      <c r="AN393" s="69">
        <v>0</v>
      </c>
      <c r="AO393" s="70">
        <v>843.02999999999747</v>
      </c>
      <c r="AP393" s="70">
        <v>907.75</v>
      </c>
      <c r="AQ393" s="66"/>
      <c r="AR393" s="70" t="s">
        <v>780</v>
      </c>
      <c r="AS393" s="66"/>
      <c r="AT393" s="108">
        <v>96780.200000000012</v>
      </c>
      <c r="AU393" s="109">
        <v>15765.84</v>
      </c>
      <c r="AV393" s="109">
        <v>0</v>
      </c>
      <c r="AW393" s="109">
        <v>0</v>
      </c>
      <c r="AX393" s="110">
        <v>0</v>
      </c>
      <c r="AY393" s="110">
        <v>0</v>
      </c>
    </row>
    <row r="394" spans="1:51" x14ac:dyDescent="0.25">
      <c r="A394" s="8" t="s">
        <v>621</v>
      </c>
      <c r="B394" s="5" t="s">
        <v>622</v>
      </c>
      <c r="C394" s="2">
        <v>0.85000000000000142</v>
      </c>
      <c r="D394" s="24">
        <v>300</v>
      </c>
      <c r="E394" s="26">
        <f t="shared" si="170"/>
        <v>150</v>
      </c>
      <c r="F394" s="26">
        <v>241</v>
      </c>
      <c r="G394" s="30">
        <f t="shared" si="171"/>
        <v>0.62240663900414939</v>
      </c>
      <c r="H394" s="11"/>
      <c r="I394" s="9">
        <v>0</v>
      </c>
      <c r="J394" s="3">
        <v>0</v>
      </c>
      <c r="K394" s="3">
        <v>48</v>
      </c>
      <c r="L394" s="3">
        <v>332</v>
      </c>
      <c r="M394" s="6">
        <v>338</v>
      </c>
      <c r="N394" s="6">
        <v>296</v>
      </c>
      <c r="O394" s="13"/>
      <c r="P394" s="60">
        <f t="shared" si="165"/>
        <v>0</v>
      </c>
      <c r="Q394" s="61">
        <f t="shared" si="166"/>
        <v>0</v>
      </c>
      <c r="R394" s="61">
        <f t="shared" si="167"/>
        <v>40.800000000000068</v>
      </c>
      <c r="S394" s="62">
        <f t="shared" si="168"/>
        <v>282.2000000000005</v>
      </c>
      <c r="T394" s="63">
        <f t="shared" si="169"/>
        <v>287.30000000000047</v>
      </c>
      <c r="U394" s="63">
        <f t="shared" si="172"/>
        <v>251.60000000000042</v>
      </c>
      <c r="V394" s="64"/>
      <c r="W394" s="60">
        <v>91</v>
      </c>
      <c r="X394" s="61">
        <v>363</v>
      </c>
      <c r="Y394" s="61">
        <v>90</v>
      </c>
      <c r="Z394" s="61">
        <v>25</v>
      </c>
      <c r="AA394" s="65">
        <v>66</v>
      </c>
      <c r="AB394" s="65">
        <v>72</v>
      </c>
      <c r="AC394" s="66"/>
      <c r="AD394" s="67">
        <f t="shared" si="173"/>
        <v>0.37759336099585061</v>
      </c>
      <c r="AE394" s="67">
        <f t="shared" si="174"/>
        <v>1.5062240663900415</v>
      </c>
      <c r="AF394" s="67">
        <f t="shared" si="175"/>
        <v>0.37344398340248963</v>
      </c>
      <c r="AG394" s="67">
        <f t="shared" si="176"/>
        <v>0.1037344398340249</v>
      </c>
      <c r="AH394" s="67">
        <f t="shared" si="177"/>
        <v>0.27385892116182575</v>
      </c>
      <c r="AI394" s="67">
        <f t="shared" si="178"/>
        <v>0.29875518672199169</v>
      </c>
      <c r="AJ394" s="66"/>
      <c r="AK394" s="68">
        <v>20.51</v>
      </c>
      <c r="AL394" s="69">
        <v>153.07999999999987</v>
      </c>
      <c r="AM394" s="69">
        <v>153.07999999999987</v>
      </c>
      <c r="AN394" s="69">
        <v>74</v>
      </c>
      <c r="AO394" s="70">
        <v>31.7699999999999</v>
      </c>
      <c r="AP394" s="70">
        <v>59.239999999999903</v>
      </c>
      <c r="AQ394" s="66"/>
      <c r="AR394" s="70" t="s">
        <v>780</v>
      </c>
      <c r="AS394" s="66"/>
      <c r="AT394" s="108">
        <v>0</v>
      </c>
      <c r="AU394" s="109">
        <v>0</v>
      </c>
      <c r="AV394" s="109">
        <v>942.72</v>
      </c>
      <c r="AW394" s="109">
        <v>6871.7900000000009</v>
      </c>
      <c r="AX394" s="110">
        <v>5658.12</v>
      </c>
      <c r="AY394" s="110">
        <v>4922.9400000000005</v>
      </c>
    </row>
    <row r="395" spans="1:51" x14ac:dyDescent="0.25">
      <c r="A395" s="8" t="s">
        <v>395</v>
      </c>
      <c r="B395" s="5" t="s">
        <v>396</v>
      </c>
      <c r="C395" s="2">
        <v>0.84000000000000075</v>
      </c>
      <c r="D395" s="24">
        <v>2000</v>
      </c>
      <c r="E395" s="26">
        <f t="shared" si="170"/>
        <v>1000</v>
      </c>
      <c r="F395" s="26">
        <v>7132</v>
      </c>
      <c r="G395" s="30">
        <f t="shared" si="171"/>
        <v>0.14021312394840157</v>
      </c>
      <c r="H395" s="11"/>
      <c r="I395" s="9">
        <v>375</v>
      </c>
      <c r="J395" s="3">
        <v>0</v>
      </c>
      <c r="K395" s="3">
        <v>0</v>
      </c>
      <c r="L395" s="3">
        <v>0</v>
      </c>
      <c r="M395" s="6"/>
      <c r="N395" s="6">
        <v>0</v>
      </c>
      <c r="O395" s="13"/>
      <c r="P395" s="60">
        <f t="shared" si="165"/>
        <v>315.00000000000028</v>
      </c>
      <c r="Q395" s="61">
        <f t="shared" si="166"/>
        <v>0</v>
      </c>
      <c r="R395" s="61">
        <f t="shared" si="167"/>
        <v>0</v>
      </c>
      <c r="S395" s="62">
        <f t="shared" si="168"/>
        <v>0</v>
      </c>
      <c r="T395" s="63">
        <f t="shared" si="169"/>
        <v>0</v>
      </c>
      <c r="U395" s="63">
        <f t="shared" si="172"/>
        <v>0</v>
      </c>
      <c r="V395" s="64"/>
      <c r="W395" s="60">
        <v>1114</v>
      </c>
      <c r="X395" s="61">
        <v>1813</v>
      </c>
      <c r="Y395" s="61">
        <v>1412</v>
      </c>
      <c r="Z395" s="61">
        <v>1909</v>
      </c>
      <c r="AA395" s="65">
        <v>1521</v>
      </c>
      <c r="AB395" s="65">
        <v>1020</v>
      </c>
      <c r="AC395" s="66"/>
      <c r="AD395" s="67">
        <f t="shared" si="173"/>
        <v>0.15619742007851936</v>
      </c>
      <c r="AE395" s="67">
        <f t="shared" si="174"/>
        <v>0.25420639371845205</v>
      </c>
      <c r="AF395" s="67">
        <f t="shared" si="175"/>
        <v>0.19798093101514302</v>
      </c>
      <c r="AG395" s="67">
        <f t="shared" si="176"/>
        <v>0.26766685361749859</v>
      </c>
      <c r="AH395" s="67">
        <f t="shared" si="177"/>
        <v>0.21326416152551878</v>
      </c>
      <c r="AI395" s="67">
        <f t="shared" si="178"/>
        <v>0.14301738642736961</v>
      </c>
      <c r="AJ395" s="66"/>
      <c r="AK395" s="68">
        <v>1103.5699999999979</v>
      </c>
      <c r="AL395" s="69">
        <v>1557.7399999999998</v>
      </c>
      <c r="AM395" s="69">
        <v>1557.7399999999998</v>
      </c>
      <c r="AN395" s="69">
        <v>990.73999999999808</v>
      </c>
      <c r="AO395" s="70">
        <v>1073.22</v>
      </c>
      <c r="AP395" s="70">
        <v>217.61999999999901</v>
      </c>
      <c r="AQ395" s="66"/>
      <c r="AR395" s="70" t="s">
        <v>779</v>
      </c>
      <c r="AS395" s="66"/>
      <c r="AT395" s="108">
        <v>2445</v>
      </c>
      <c r="AU395" s="109">
        <v>0</v>
      </c>
      <c r="AV395" s="109">
        <v>0</v>
      </c>
      <c r="AW395" s="109">
        <v>0</v>
      </c>
      <c r="AX395" s="110">
        <v>0</v>
      </c>
      <c r="AY395" s="110">
        <v>0</v>
      </c>
    </row>
    <row r="396" spans="1:51" x14ac:dyDescent="0.25">
      <c r="A396" s="8">
        <v>5267</v>
      </c>
      <c r="B396" s="5" t="s">
        <v>383</v>
      </c>
      <c r="C396" s="2">
        <v>0.83999999999999986</v>
      </c>
      <c r="D396" s="24">
        <v>8000</v>
      </c>
      <c r="E396" s="26">
        <f t="shared" si="170"/>
        <v>4000</v>
      </c>
      <c r="F396" s="26">
        <v>12997</v>
      </c>
      <c r="G396" s="30">
        <f t="shared" si="171"/>
        <v>0.30776332999923062</v>
      </c>
      <c r="H396" s="11"/>
      <c r="I396" s="9">
        <v>7933</v>
      </c>
      <c r="J396" s="3">
        <v>2608</v>
      </c>
      <c r="K396" s="3">
        <v>424</v>
      </c>
      <c r="L396" s="3">
        <v>0</v>
      </c>
      <c r="M396" s="6">
        <v>288</v>
      </c>
      <c r="N396" s="6">
        <v>2392</v>
      </c>
      <c r="O396" s="13"/>
      <c r="P396" s="60">
        <f t="shared" si="165"/>
        <v>6663.7199999999984</v>
      </c>
      <c r="Q396" s="61">
        <f t="shared" si="166"/>
        <v>2190.7199999999998</v>
      </c>
      <c r="R396" s="61">
        <f t="shared" si="167"/>
        <v>356.15999999999997</v>
      </c>
      <c r="S396" s="62">
        <f t="shared" si="168"/>
        <v>0</v>
      </c>
      <c r="T396" s="63">
        <f t="shared" si="169"/>
        <v>241.91999999999996</v>
      </c>
      <c r="U396" s="63">
        <f t="shared" si="172"/>
        <v>2009.2799999999997</v>
      </c>
      <c r="V396" s="64"/>
      <c r="W396" s="60">
        <v>2510</v>
      </c>
      <c r="X396" s="61">
        <v>2393</v>
      </c>
      <c r="Y396" s="61">
        <v>4329</v>
      </c>
      <c r="Z396" s="61">
        <v>4591</v>
      </c>
      <c r="AA396" s="65">
        <v>6375</v>
      </c>
      <c r="AB396" s="65">
        <v>897</v>
      </c>
      <c r="AC396" s="66"/>
      <c r="AD396" s="67">
        <f t="shared" si="173"/>
        <v>0.19312148957451719</v>
      </c>
      <c r="AE396" s="67">
        <f t="shared" si="174"/>
        <v>0.1841194121720397</v>
      </c>
      <c r="AF396" s="67">
        <f t="shared" si="175"/>
        <v>0.3330768638916673</v>
      </c>
      <c r="AG396" s="67">
        <f t="shared" si="176"/>
        <v>0.35323536200661693</v>
      </c>
      <c r="AH396" s="67">
        <f t="shared" si="177"/>
        <v>0.49049780718627378</v>
      </c>
      <c r="AI396" s="67">
        <f t="shared" si="178"/>
        <v>6.9015926752327456E-2</v>
      </c>
      <c r="AJ396" s="66"/>
      <c r="AK396" s="68">
        <v>1492.03</v>
      </c>
      <c r="AL396" s="69">
        <v>1523.2399999999993</v>
      </c>
      <c r="AM396" s="69">
        <v>1523.2399999999991</v>
      </c>
      <c r="AN396" s="69">
        <v>1950.1599999999962</v>
      </c>
      <c r="AO396" s="70">
        <v>1448.97000000001</v>
      </c>
      <c r="AP396" s="70">
        <v>191.73</v>
      </c>
      <c r="AQ396" s="66"/>
      <c r="AR396" s="70" t="s">
        <v>779</v>
      </c>
      <c r="AS396" s="66"/>
      <c r="AT396" s="108">
        <v>42307.62</v>
      </c>
      <c r="AU396" s="109">
        <v>14237.32</v>
      </c>
      <c r="AV396" s="109">
        <v>2251.44</v>
      </c>
      <c r="AW396" s="109">
        <v>0</v>
      </c>
      <c r="AX396" s="110">
        <v>1523.52</v>
      </c>
      <c r="AY396" s="110">
        <v>12584.4</v>
      </c>
    </row>
    <row r="397" spans="1:51" x14ac:dyDescent="0.25">
      <c r="A397" s="8">
        <v>5507</v>
      </c>
      <c r="B397" s="5" t="s">
        <v>833</v>
      </c>
      <c r="C397" s="2">
        <v>0.83299663299663296</v>
      </c>
      <c r="D397" s="24">
        <v>200</v>
      </c>
      <c r="E397" s="26">
        <f t="shared" si="170"/>
        <v>100</v>
      </c>
      <c r="F397" s="26">
        <v>462</v>
      </c>
      <c r="G397" s="30">
        <f t="shared" si="171"/>
        <v>0.21645021645021645</v>
      </c>
      <c r="H397" s="11"/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6">
        <v>100</v>
      </c>
      <c r="O397" s="13"/>
      <c r="P397" s="60"/>
      <c r="Q397" s="61"/>
      <c r="R397" s="61"/>
      <c r="S397" s="62"/>
      <c r="T397" s="63"/>
      <c r="U397" s="63">
        <f t="shared" si="172"/>
        <v>83.299663299663294</v>
      </c>
      <c r="V397" s="64"/>
      <c r="W397" s="60"/>
      <c r="X397" s="61"/>
      <c r="Y397" s="61"/>
      <c r="Z397" s="61"/>
      <c r="AA397" s="65"/>
      <c r="AB397" s="65"/>
      <c r="AC397" s="66"/>
      <c r="AD397" s="67">
        <f t="shared" si="173"/>
        <v>0</v>
      </c>
      <c r="AE397" s="67">
        <f t="shared" si="174"/>
        <v>0</v>
      </c>
      <c r="AF397" s="67">
        <f t="shared" si="175"/>
        <v>0</v>
      </c>
      <c r="AG397" s="67">
        <f t="shared" si="176"/>
        <v>0</v>
      </c>
      <c r="AH397" s="67">
        <f t="shared" si="177"/>
        <v>0</v>
      </c>
      <c r="AI397" s="67">
        <f t="shared" si="178"/>
        <v>0</v>
      </c>
      <c r="AJ397" s="66"/>
      <c r="AK397" s="68"/>
      <c r="AL397" s="69"/>
      <c r="AM397" s="69"/>
      <c r="AN397" s="69"/>
      <c r="AO397" s="70"/>
      <c r="AP397" s="70"/>
      <c r="AQ397" s="66"/>
      <c r="AR397" s="70" t="s">
        <v>780</v>
      </c>
      <c r="AS397" s="66"/>
      <c r="AT397" s="108">
        <v>0</v>
      </c>
      <c r="AU397" s="109">
        <v>0</v>
      </c>
      <c r="AV397" s="109">
        <v>0</v>
      </c>
      <c r="AW397" s="109">
        <v>0</v>
      </c>
      <c r="AX397" s="110">
        <v>0</v>
      </c>
      <c r="AY397" s="110">
        <v>335</v>
      </c>
    </row>
    <row r="398" spans="1:51" x14ac:dyDescent="0.25">
      <c r="A398" s="8" t="s">
        <v>417</v>
      </c>
      <c r="B398" s="5" t="s">
        <v>418</v>
      </c>
      <c r="C398" s="2">
        <v>0.83000000000000007</v>
      </c>
      <c r="D398" s="24">
        <v>2000</v>
      </c>
      <c r="E398" s="26">
        <f t="shared" si="170"/>
        <v>1000</v>
      </c>
      <c r="F398" s="26">
        <v>5929</v>
      </c>
      <c r="G398" s="30">
        <f t="shared" si="171"/>
        <v>0.16866250632484397</v>
      </c>
      <c r="H398" s="11"/>
      <c r="I398" s="9">
        <v>0</v>
      </c>
      <c r="J398" s="3">
        <v>13</v>
      </c>
      <c r="K398" s="3">
        <v>94.5</v>
      </c>
      <c r="L398" s="3">
        <v>154</v>
      </c>
      <c r="M398" s="6">
        <v>57.5</v>
      </c>
      <c r="N398" s="6">
        <v>480</v>
      </c>
      <c r="O398" s="13"/>
      <c r="P398" s="60">
        <f t="shared" ref="P398:P403" si="179">+I398*C398</f>
        <v>0</v>
      </c>
      <c r="Q398" s="61">
        <f t="shared" ref="Q398:Q403" si="180">+J398*C398</f>
        <v>10.790000000000001</v>
      </c>
      <c r="R398" s="61">
        <f t="shared" ref="R398:R403" si="181">+K398*C398</f>
        <v>78.435000000000002</v>
      </c>
      <c r="S398" s="62">
        <f t="shared" ref="S398:S403" si="182">+L398*C398</f>
        <v>127.82000000000001</v>
      </c>
      <c r="T398" s="63">
        <f t="shared" ref="T398:T403" si="183">+M398*C398</f>
        <v>47.725000000000001</v>
      </c>
      <c r="U398" s="63">
        <f t="shared" si="172"/>
        <v>398.40000000000003</v>
      </c>
      <c r="V398" s="64"/>
      <c r="W398" s="60">
        <v>717</v>
      </c>
      <c r="X398" s="61">
        <v>123</v>
      </c>
      <c r="Y398" s="61">
        <v>0</v>
      </c>
      <c r="Z398" s="61">
        <v>50</v>
      </c>
      <c r="AA398" s="65">
        <v>42</v>
      </c>
      <c r="AB398" s="65">
        <v>208</v>
      </c>
      <c r="AC398" s="66"/>
      <c r="AD398" s="67">
        <f t="shared" si="173"/>
        <v>0.12093101703491314</v>
      </c>
      <c r="AE398" s="67">
        <f t="shared" si="174"/>
        <v>2.0745488277955811E-2</v>
      </c>
      <c r="AF398" s="67">
        <f t="shared" si="175"/>
        <v>0</v>
      </c>
      <c r="AG398" s="67">
        <f t="shared" si="176"/>
        <v>8.4331253162421987E-3</v>
      </c>
      <c r="AH398" s="67">
        <f t="shared" si="177"/>
        <v>7.0838252656434475E-3</v>
      </c>
      <c r="AI398" s="67">
        <f t="shared" si="178"/>
        <v>3.5081801315567547E-2</v>
      </c>
      <c r="AJ398" s="66"/>
      <c r="AK398" s="68">
        <v>220.7300000000001</v>
      </c>
      <c r="AL398" s="69">
        <v>89.549999999999784</v>
      </c>
      <c r="AM398" s="69">
        <v>89.549999999999784</v>
      </c>
      <c r="AN398" s="69">
        <v>41.5</v>
      </c>
      <c r="AO398" s="70">
        <v>37.53</v>
      </c>
      <c r="AP398" s="70">
        <v>158.1</v>
      </c>
      <c r="AQ398" s="66"/>
      <c r="AR398" s="70" t="s">
        <v>779</v>
      </c>
      <c r="AS398" s="66"/>
      <c r="AT398" s="108">
        <v>0</v>
      </c>
      <c r="AU398" s="109">
        <v>80.599999999999994</v>
      </c>
      <c r="AV398" s="109">
        <v>603.46</v>
      </c>
      <c r="AW398" s="109">
        <v>978.86</v>
      </c>
      <c r="AX398" s="110">
        <v>369.77</v>
      </c>
      <c r="AY398" s="110">
        <v>1518.8899999999999</v>
      </c>
    </row>
    <row r="399" spans="1:51" x14ac:dyDescent="0.25">
      <c r="A399" s="8">
        <v>5456</v>
      </c>
      <c r="B399" s="5" t="s">
        <v>570</v>
      </c>
      <c r="C399" s="2">
        <v>0.8100000000000005</v>
      </c>
      <c r="D399" s="24">
        <v>500</v>
      </c>
      <c r="E399" s="26">
        <f t="shared" si="170"/>
        <v>250</v>
      </c>
      <c r="F399" s="26">
        <v>1237</v>
      </c>
      <c r="G399" s="30">
        <f t="shared" si="171"/>
        <v>0.20210185933710589</v>
      </c>
      <c r="H399" s="11"/>
      <c r="I399" s="9">
        <v>152</v>
      </c>
      <c r="J399" s="3">
        <v>247</v>
      </c>
      <c r="K399" s="3">
        <v>0</v>
      </c>
      <c r="L399" s="3">
        <v>0</v>
      </c>
      <c r="M399" s="6">
        <v>360</v>
      </c>
      <c r="N399" s="6">
        <v>172</v>
      </c>
      <c r="O399" s="13"/>
      <c r="P399" s="60">
        <f t="shared" si="179"/>
        <v>123.12000000000008</v>
      </c>
      <c r="Q399" s="61">
        <f t="shared" si="180"/>
        <v>200.07000000000014</v>
      </c>
      <c r="R399" s="61">
        <f t="shared" si="181"/>
        <v>0</v>
      </c>
      <c r="S399" s="62">
        <f t="shared" si="182"/>
        <v>0</v>
      </c>
      <c r="T399" s="63">
        <f t="shared" si="183"/>
        <v>291.60000000000019</v>
      </c>
      <c r="U399" s="63">
        <f t="shared" si="172"/>
        <v>139.32000000000008</v>
      </c>
      <c r="V399" s="64"/>
      <c r="W399" s="60">
        <v>106</v>
      </c>
      <c r="X399" s="61">
        <v>51</v>
      </c>
      <c r="Y399" s="61">
        <v>411</v>
      </c>
      <c r="Z399" s="61">
        <v>0</v>
      </c>
      <c r="AA399" s="65">
        <v>88</v>
      </c>
      <c r="AB399" s="65">
        <v>280</v>
      </c>
      <c r="AC399" s="66"/>
      <c r="AD399" s="67">
        <f t="shared" si="173"/>
        <v>8.5691188358932899E-2</v>
      </c>
      <c r="AE399" s="67">
        <f t="shared" si="174"/>
        <v>4.1228779304769606E-2</v>
      </c>
      <c r="AF399" s="67">
        <f t="shared" si="175"/>
        <v>0.33225545675020213</v>
      </c>
      <c r="AG399" s="67">
        <f t="shared" si="176"/>
        <v>0</v>
      </c>
      <c r="AH399" s="67">
        <f t="shared" si="177"/>
        <v>7.1139854486661283E-2</v>
      </c>
      <c r="AI399" s="67">
        <f t="shared" si="178"/>
        <v>0.22635408245755861</v>
      </c>
      <c r="AJ399" s="66"/>
      <c r="AK399" s="68">
        <v>60.64</v>
      </c>
      <c r="AL399" s="69">
        <v>45.459999999999894</v>
      </c>
      <c r="AM399" s="69">
        <v>45.459999999999894</v>
      </c>
      <c r="AN399" s="69">
        <v>279.17999999999967</v>
      </c>
      <c r="AO399" s="70">
        <v>71.280000000000044</v>
      </c>
      <c r="AP399" s="70">
        <v>230.19999999999899</v>
      </c>
      <c r="AQ399" s="66"/>
      <c r="AR399" s="70" t="s">
        <v>780</v>
      </c>
      <c r="AS399" s="66"/>
      <c r="AT399" s="108">
        <v>1951.8400000000001</v>
      </c>
      <c r="AU399" s="109">
        <v>3200.33</v>
      </c>
      <c r="AV399" s="109">
        <v>0</v>
      </c>
      <c r="AW399" s="109">
        <v>0</v>
      </c>
      <c r="AX399" s="110">
        <v>4613.05</v>
      </c>
      <c r="AY399" s="110">
        <v>2185.7799999999997</v>
      </c>
    </row>
    <row r="400" spans="1:51" x14ac:dyDescent="0.25">
      <c r="A400" s="8">
        <v>5764</v>
      </c>
      <c r="B400" s="5" t="s">
        <v>518</v>
      </c>
      <c r="C400" s="2">
        <v>0.8100000000000005</v>
      </c>
      <c r="D400" s="24">
        <v>80</v>
      </c>
      <c r="E400" s="26">
        <f t="shared" si="170"/>
        <v>40</v>
      </c>
      <c r="F400" s="26">
        <v>176</v>
      </c>
      <c r="G400" s="30">
        <f t="shared" si="171"/>
        <v>0.22727272727272727</v>
      </c>
      <c r="H400" s="11"/>
      <c r="I400" s="9">
        <v>180</v>
      </c>
      <c r="J400" s="3">
        <v>390</v>
      </c>
      <c r="K400" s="3">
        <v>200</v>
      </c>
      <c r="L400" s="3">
        <v>0</v>
      </c>
      <c r="M400" s="6"/>
      <c r="N400" s="6">
        <v>360</v>
      </c>
      <c r="O400" s="13"/>
      <c r="P400" s="60">
        <f t="shared" si="179"/>
        <v>145.8000000000001</v>
      </c>
      <c r="Q400" s="61">
        <f t="shared" si="180"/>
        <v>315.9000000000002</v>
      </c>
      <c r="R400" s="61">
        <f t="shared" si="181"/>
        <v>162.00000000000011</v>
      </c>
      <c r="S400" s="62">
        <f t="shared" si="182"/>
        <v>0</v>
      </c>
      <c r="T400" s="63">
        <f t="shared" si="183"/>
        <v>0</v>
      </c>
      <c r="U400" s="63">
        <f t="shared" si="172"/>
        <v>291.60000000000019</v>
      </c>
      <c r="V400" s="64"/>
      <c r="W400" s="60">
        <v>88</v>
      </c>
      <c r="X400" s="61">
        <v>161</v>
      </c>
      <c r="Y400" s="61">
        <v>177</v>
      </c>
      <c r="Z400" s="61">
        <v>83</v>
      </c>
      <c r="AA400" s="65">
        <v>227</v>
      </c>
      <c r="AB400" s="65">
        <v>117</v>
      </c>
      <c r="AC400" s="66"/>
      <c r="AD400" s="67">
        <f t="shared" si="173"/>
        <v>0.5</v>
      </c>
      <c r="AE400" s="67">
        <f t="shared" si="174"/>
        <v>0.91477272727272729</v>
      </c>
      <c r="AF400" s="67">
        <f t="shared" si="175"/>
        <v>1.0056818181818181</v>
      </c>
      <c r="AG400" s="67">
        <f t="shared" si="176"/>
        <v>0.47159090909090912</v>
      </c>
      <c r="AH400" s="67">
        <f t="shared" si="177"/>
        <v>1.2897727272727273</v>
      </c>
      <c r="AI400" s="67">
        <f t="shared" si="178"/>
        <v>0.66477272727272729</v>
      </c>
      <c r="AJ400" s="66"/>
      <c r="AK400" s="68">
        <v>94.53000000000003</v>
      </c>
      <c r="AL400" s="69">
        <v>127.90999999999987</v>
      </c>
      <c r="AM400" s="69">
        <v>127.90999999999987</v>
      </c>
      <c r="AN400" s="69">
        <v>51.929999999999872</v>
      </c>
      <c r="AO400" s="70">
        <v>69.259999999999906</v>
      </c>
      <c r="AP400" s="70">
        <v>86.46</v>
      </c>
      <c r="AQ400" s="66"/>
      <c r="AR400" s="70" t="s">
        <v>780</v>
      </c>
      <c r="AS400" s="66"/>
      <c r="AT400" s="108">
        <v>1796.4</v>
      </c>
      <c r="AU400" s="109">
        <v>3950.3</v>
      </c>
      <c r="AV400" s="109">
        <v>2006</v>
      </c>
      <c r="AW400" s="109">
        <v>0</v>
      </c>
      <c r="AX400" s="110">
        <v>0</v>
      </c>
      <c r="AY400" s="110">
        <v>3578.4</v>
      </c>
    </row>
    <row r="401" spans="1:51" x14ac:dyDescent="0.25">
      <c r="A401" s="8">
        <v>4610</v>
      </c>
      <c r="B401" s="5" t="s">
        <v>144</v>
      </c>
      <c r="C401" s="2">
        <v>0.81000000000000028</v>
      </c>
      <c r="D401" s="24">
        <v>109</v>
      </c>
      <c r="E401" s="26">
        <f t="shared" si="170"/>
        <v>54.5</v>
      </c>
      <c r="F401" s="26">
        <v>545</v>
      </c>
      <c r="G401" s="30">
        <f t="shared" si="171"/>
        <v>0.1</v>
      </c>
      <c r="H401" s="11"/>
      <c r="I401" s="9">
        <v>0</v>
      </c>
      <c r="J401" s="3">
        <v>807</v>
      </c>
      <c r="K401" s="3">
        <v>0</v>
      </c>
      <c r="L401" s="3">
        <v>0</v>
      </c>
      <c r="M401" s="6">
        <v>472</v>
      </c>
      <c r="N401" s="6">
        <v>0</v>
      </c>
      <c r="O401" s="13"/>
      <c r="P401" s="60">
        <f t="shared" si="179"/>
        <v>0</v>
      </c>
      <c r="Q401" s="61">
        <f t="shared" si="180"/>
        <v>653.67000000000019</v>
      </c>
      <c r="R401" s="61">
        <f t="shared" si="181"/>
        <v>0</v>
      </c>
      <c r="S401" s="62">
        <f t="shared" si="182"/>
        <v>0</v>
      </c>
      <c r="T401" s="63">
        <f t="shared" si="183"/>
        <v>382.32000000000011</v>
      </c>
      <c r="U401" s="63">
        <f t="shared" si="172"/>
        <v>0</v>
      </c>
      <c r="V401" s="64"/>
      <c r="W401" s="60">
        <v>122</v>
      </c>
      <c r="X401" s="61">
        <v>239</v>
      </c>
      <c r="Y401" s="61">
        <v>212</v>
      </c>
      <c r="Z401" s="61">
        <v>199</v>
      </c>
      <c r="AA401" s="65">
        <v>107</v>
      </c>
      <c r="AB401" s="65">
        <v>214</v>
      </c>
      <c r="AC401" s="66"/>
      <c r="AD401" s="67">
        <f t="shared" si="173"/>
        <v>0.22385321100917432</v>
      </c>
      <c r="AE401" s="67">
        <f t="shared" si="174"/>
        <v>0.43853211009174314</v>
      </c>
      <c r="AF401" s="67">
        <f t="shared" si="175"/>
        <v>0.38899082568807342</v>
      </c>
      <c r="AG401" s="67">
        <f t="shared" si="176"/>
        <v>0.3651376146788991</v>
      </c>
      <c r="AH401" s="67">
        <f t="shared" si="177"/>
        <v>0.19633027522935781</v>
      </c>
      <c r="AI401" s="67">
        <f t="shared" si="178"/>
        <v>0.39266055045871562</v>
      </c>
      <c r="AJ401" s="66"/>
      <c r="AK401" s="68">
        <v>34.090000000000003</v>
      </c>
      <c r="AL401" s="69">
        <v>82.609999999999957</v>
      </c>
      <c r="AM401" s="69">
        <v>82.609999999999914</v>
      </c>
      <c r="AN401" s="69">
        <v>109.13999999999994</v>
      </c>
      <c r="AO401" s="70">
        <v>127.8</v>
      </c>
      <c r="AP401" s="70">
        <v>156.69999999999999</v>
      </c>
      <c r="AQ401" s="66"/>
      <c r="AR401" s="70" t="s">
        <v>779</v>
      </c>
      <c r="AS401" s="66"/>
      <c r="AT401" s="108">
        <v>0</v>
      </c>
      <c r="AU401" s="109">
        <v>1113.6600000000001</v>
      </c>
      <c r="AV401" s="109">
        <v>0</v>
      </c>
      <c r="AW401" s="109">
        <v>0</v>
      </c>
      <c r="AX401" s="110">
        <v>646.64</v>
      </c>
      <c r="AY401" s="110">
        <v>0</v>
      </c>
    </row>
    <row r="402" spans="1:51" x14ac:dyDescent="0.25">
      <c r="A402" s="8">
        <v>5141</v>
      </c>
      <c r="B402" s="5" t="s">
        <v>232</v>
      </c>
      <c r="C402" s="2">
        <v>0.81</v>
      </c>
      <c r="D402" s="24">
        <v>1500</v>
      </c>
      <c r="E402" s="26">
        <f t="shared" si="170"/>
        <v>750</v>
      </c>
      <c r="F402" s="26">
        <v>963</v>
      </c>
      <c r="G402" s="30">
        <f t="shared" si="171"/>
        <v>0.77881619937694702</v>
      </c>
      <c r="H402" s="11"/>
      <c r="I402" s="9">
        <v>356</v>
      </c>
      <c r="J402" s="3">
        <v>0</v>
      </c>
      <c r="K402" s="3">
        <v>0</v>
      </c>
      <c r="L402" s="3">
        <v>614</v>
      </c>
      <c r="M402" s="6">
        <v>3038</v>
      </c>
      <c r="N402" s="6">
        <v>1200</v>
      </c>
      <c r="O402" s="13"/>
      <c r="P402" s="60">
        <f t="shared" si="179"/>
        <v>288.36</v>
      </c>
      <c r="Q402" s="61">
        <f t="shared" si="180"/>
        <v>0</v>
      </c>
      <c r="R402" s="61">
        <f t="shared" si="181"/>
        <v>0</v>
      </c>
      <c r="S402" s="62">
        <f t="shared" si="182"/>
        <v>497.34000000000003</v>
      </c>
      <c r="T402" s="63">
        <f t="shared" si="183"/>
        <v>2460.7800000000002</v>
      </c>
      <c r="U402" s="63">
        <f t="shared" si="172"/>
        <v>972.00000000000011</v>
      </c>
      <c r="V402" s="64"/>
      <c r="W402" s="60">
        <v>1280</v>
      </c>
      <c r="X402" s="61">
        <v>790</v>
      </c>
      <c r="Y402" s="61">
        <v>746</v>
      </c>
      <c r="Z402" s="61">
        <v>288</v>
      </c>
      <c r="AA402" s="65">
        <v>815</v>
      </c>
      <c r="AB402" s="65">
        <v>1329</v>
      </c>
      <c r="AC402" s="66"/>
      <c r="AD402" s="67">
        <f t="shared" si="173"/>
        <v>1.3291796469366564</v>
      </c>
      <c r="AE402" s="67">
        <f t="shared" si="174"/>
        <v>0.8203530633437176</v>
      </c>
      <c r="AF402" s="67">
        <f t="shared" si="175"/>
        <v>0.77466251298027</v>
      </c>
      <c r="AG402" s="67">
        <f t="shared" si="176"/>
        <v>0.29906542056074764</v>
      </c>
      <c r="AH402" s="67">
        <f t="shared" si="177"/>
        <v>0.84631360332294914</v>
      </c>
      <c r="AI402" s="67">
        <f t="shared" si="178"/>
        <v>1.3800623052959502</v>
      </c>
      <c r="AJ402" s="66"/>
      <c r="AK402" s="68">
        <v>1887.9299999999989</v>
      </c>
      <c r="AL402" s="69">
        <v>986.99999999999875</v>
      </c>
      <c r="AM402" s="69">
        <v>986.99999999999886</v>
      </c>
      <c r="AN402" s="69">
        <v>881.84999999999889</v>
      </c>
      <c r="AO402" s="70">
        <v>348.61999999999898</v>
      </c>
      <c r="AP402" s="70">
        <v>1274.03999999999</v>
      </c>
      <c r="AQ402" s="66"/>
      <c r="AR402" s="70" t="s">
        <v>779</v>
      </c>
      <c r="AS402" s="66"/>
      <c r="AT402" s="108">
        <v>836</v>
      </c>
      <c r="AU402" s="109">
        <v>0</v>
      </c>
      <c r="AV402" s="109">
        <v>0</v>
      </c>
      <c r="AW402" s="109">
        <v>1356.94</v>
      </c>
      <c r="AX402" s="110">
        <v>6793.85</v>
      </c>
      <c r="AY402" s="110">
        <v>2662</v>
      </c>
    </row>
    <row r="403" spans="1:51" x14ac:dyDescent="0.25">
      <c r="A403" s="8" t="s">
        <v>500</v>
      </c>
      <c r="B403" s="5" t="s">
        <v>501</v>
      </c>
      <c r="C403" s="2">
        <v>0.80999999999999872</v>
      </c>
      <c r="D403" s="24">
        <v>600</v>
      </c>
      <c r="E403" s="26">
        <f t="shared" si="170"/>
        <v>300</v>
      </c>
      <c r="F403" s="26">
        <v>555</v>
      </c>
      <c r="G403" s="30">
        <f t="shared" si="171"/>
        <v>0.54054054054054057</v>
      </c>
      <c r="H403" s="11"/>
      <c r="I403" s="9">
        <v>600</v>
      </c>
      <c r="J403" s="3">
        <v>350</v>
      </c>
      <c r="K403" s="3">
        <v>559</v>
      </c>
      <c r="L403" s="3">
        <v>570</v>
      </c>
      <c r="M403" s="6"/>
      <c r="N403" s="6">
        <v>206</v>
      </c>
      <c r="O403" s="13"/>
      <c r="P403" s="60">
        <f t="shared" si="179"/>
        <v>485.9999999999992</v>
      </c>
      <c r="Q403" s="61">
        <f t="shared" si="180"/>
        <v>283.49999999999955</v>
      </c>
      <c r="R403" s="61">
        <f t="shared" si="181"/>
        <v>452.78999999999928</v>
      </c>
      <c r="S403" s="62">
        <f t="shared" si="182"/>
        <v>461.69999999999925</v>
      </c>
      <c r="T403" s="63">
        <f t="shared" si="183"/>
        <v>0</v>
      </c>
      <c r="U403" s="63">
        <f t="shared" si="172"/>
        <v>166.85999999999973</v>
      </c>
      <c r="V403" s="64"/>
      <c r="W403" s="60">
        <v>180</v>
      </c>
      <c r="X403" s="61">
        <v>258</v>
      </c>
      <c r="Y403" s="61">
        <v>326</v>
      </c>
      <c r="Z403" s="61">
        <v>557</v>
      </c>
      <c r="AA403" s="65">
        <v>282</v>
      </c>
      <c r="AB403" s="65">
        <v>384</v>
      </c>
      <c r="AC403" s="66"/>
      <c r="AD403" s="67">
        <f t="shared" si="173"/>
        <v>0.32432432432432434</v>
      </c>
      <c r="AE403" s="67">
        <f t="shared" si="174"/>
        <v>0.46486486486486489</v>
      </c>
      <c r="AF403" s="67">
        <f t="shared" si="175"/>
        <v>0.58738738738738738</v>
      </c>
      <c r="AG403" s="67">
        <f t="shared" si="176"/>
        <v>1.0036036036036036</v>
      </c>
      <c r="AH403" s="67">
        <f t="shared" si="177"/>
        <v>0.50810810810810814</v>
      </c>
      <c r="AI403" s="67">
        <f t="shared" si="178"/>
        <v>0.69189189189189193</v>
      </c>
      <c r="AJ403" s="66"/>
      <c r="AK403" s="68">
        <v>23.15</v>
      </c>
      <c r="AL403" s="69">
        <v>742.8599999999999</v>
      </c>
      <c r="AM403" s="69">
        <v>742.86000000000013</v>
      </c>
      <c r="AN403" s="69">
        <v>739.6999999999997</v>
      </c>
      <c r="AO403" s="70">
        <v>627.45999999999901</v>
      </c>
      <c r="AP403" s="70">
        <v>394.01</v>
      </c>
      <c r="AQ403" s="66"/>
      <c r="AR403" s="70" t="s">
        <v>780</v>
      </c>
      <c r="AS403" s="66"/>
      <c r="AT403" s="108">
        <v>6054</v>
      </c>
      <c r="AU403" s="109">
        <v>3256</v>
      </c>
      <c r="AV403" s="109">
        <v>5136.57</v>
      </c>
      <c r="AW403" s="109">
        <v>5583.7</v>
      </c>
      <c r="AX403" s="110">
        <v>0</v>
      </c>
      <c r="AY403" s="110">
        <v>1980.7</v>
      </c>
    </row>
    <row r="404" spans="1:51" x14ac:dyDescent="0.25">
      <c r="A404" s="8" t="s">
        <v>820</v>
      </c>
      <c r="B404" s="5" t="s">
        <v>863</v>
      </c>
      <c r="C404" s="2">
        <v>0.80350877192981685</v>
      </c>
      <c r="D404" s="24">
        <v>20000</v>
      </c>
      <c r="E404" s="26">
        <f t="shared" si="170"/>
        <v>10000</v>
      </c>
      <c r="F404" s="26">
        <v>43853</v>
      </c>
      <c r="G404" s="30">
        <f t="shared" si="171"/>
        <v>0.22803457004081817</v>
      </c>
      <c r="H404" s="11"/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6">
        <v>3649</v>
      </c>
      <c r="O404" s="13"/>
      <c r="P404" s="60"/>
      <c r="Q404" s="61"/>
      <c r="R404" s="61"/>
      <c r="S404" s="62"/>
      <c r="T404" s="63"/>
      <c r="U404" s="63">
        <f t="shared" si="172"/>
        <v>2932.0035087719016</v>
      </c>
      <c r="V404" s="64"/>
      <c r="W404" s="60"/>
      <c r="X404" s="61"/>
      <c r="Y404" s="61"/>
      <c r="Z404" s="61"/>
      <c r="AA404" s="65"/>
      <c r="AB404" s="65"/>
      <c r="AC404" s="66"/>
      <c r="AD404" s="67">
        <f t="shared" si="173"/>
        <v>0</v>
      </c>
      <c r="AE404" s="67">
        <f t="shared" si="174"/>
        <v>0</v>
      </c>
      <c r="AF404" s="67">
        <f t="shared" si="175"/>
        <v>0</v>
      </c>
      <c r="AG404" s="67">
        <f t="shared" si="176"/>
        <v>0</v>
      </c>
      <c r="AH404" s="67">
        <f t="shared" si="177"/>
        <v>0</v>
      </c>
      <c r="AI404" s="67">
        <f t="shared" si="178"/>
        <v>0</v>
      </c>
      <c r="AJ404" s="66"/>
      <c r="AK404" s="68"/>
      <c r="AL404" s="69"/>
      <c r="AM404" s="69"/>
      <c r="AN404" s="69"/>
      <c r="AO404" s="70"/>
      <c r="AP404" s="70"/>
      <c r="AQ404" s="66"/>
      <c r="AR404" s="70" t="s">
        <v>780</v>
      </c>
      <c r="AS404" s="66"/>
      <c r="AT404" s="108">
        <v>244070.27999999997</v>
      </c>
      <c r="AU404" s="109">
        <v>182887.48</v>
      </c>
      <c r="AV404" s="109">
        <v>214428.10000000003</v>
      </c>
      <c r="AW404" s="109">
        <v>99916.670000000013</v>
      </c>
      <c r="AX404" s="110">
        <v>239207.79999999996</v>
      </c>
      <c r="AY404" s="110">
        <v>94996.560000000027</v>
      </c>
    </row>
    <row r="405" spans="1:51" x14ac:dyDescent="0.25">
      <c r="A405" s="8" t="s">
        <v>483</v>
      </c>
      <c r="B405" s="5" t="s">
        <v>484</v>
      </c>
      <c r="C405" s="2">
        <v>0.79999999999999893</v>
      </c>
      <c r="D405" s="24">
        <v>2000</v>
      </c>
      <c r="E405" s="26">
        <f t="shared" si="170"/>
        <v>1000</v>
      </c>
      <c r="F405" s="26">
        <v>1838</v>
      </c>
      <c r="G405" s="30">
        <f t="shared" si="171"/>
        <v>0.54406964091403698</v>
      </c>
      <c r="H405" s="11"/>
      <c r="I405" s="9">
        <v>0</v>
      </c>
      <c r="J405" s="3">
        <v>0</v>
      </c>
      <c r="K405" s="3">
        <v>0</v>
      </c>
      <c r="L405" s="3">
        <v>1474</v>
      </c>
      <c r="M405" s="6">
        <v>1745</v>
      </c>
      <c r="N405" s="6">
        <v>1834</v>
      </c>
      <c r="O405" s="13"/>
      <c r="P405" s="60">
        <f>+I405*C405</f>
        <v>0</v>
      </c>
      <c r="Q405" s="61">
        <f>+J405*C405</f>
        <v>0</v>
      </c>
      <c r="R405" s="61">
        <f>+K405*C405</f>
        <v>0</v>
      </c>
      <c r="S405" s="62">
        <f>+L405*C405</f>
        <v>1179.1999999999985</v>
      </c>
      <c r="T405" s="63">
        <f>+M405*C405</f>
        <v>1395.9999999999982</v>
      </c>
      <c r="U405" s="63">
        <f t="shared" si="172"/>
        <v>1467.199999999998</v>
      </c>
      <c r="V405" s="64"/>
      <c r="W405" s="60">
        <v>1437</v>
      </c>
      <c r="X405" s="61">
        <v>318</v>
      </c>
      <c r="Y405" s="61">
        <v>0</v>
      </c>
      <c r="Z405" s="61">
        <v>0</v>
      </c>
      <c r="AA405" s="65">
        <v>491</v>
      </c>
      <c r="AB405" s="65">
        <v>2171</v>
      </c>
      <c r="AC405" s="66"/>
      <c r="AD405" s="67">
        <f t="shared" si="173"/>
        <v>0.78182807399347121</v>
      </c>
      <c r="AE405" s="67">
        <f t="shared" si="174"/>
        <v>0.17301414581066377</v>
      </c>
      <c r="AF405" s="67">
        <f t="shared" si="175"/>
        <v>0</v>
      </c>
      <c r="AG405" s="67">
        <f t="shared" si="176"/>
        <v>0</v>
      </c>
      <c r="AH405" s="67">
        <f t="shared" si="177"/>
        <v>0.26713819368879216</v>
      </c>
      <c r="AI405" s="67">
        <f t="shared" si="178"/>
        <v>1.1811751904243744</v>
      </c>
      <c r="AJ405" s="66"/>
      <c r="AK405" s="68">
        <v>212.59</v>
      </c>
      <c r="AL405" s="69">
        <v>50.57</v>
      </c>
      <c r="AM405" s="69">
        <v>50.57</v>
      </c>
      <c r="AN405" s="69">
        <v>0</v>
      </c>
      <c r="AO405" s="70">
        <v>392.7999999999995</v>
      </c>
      <c r="AP405" s="70">
        <v>1163.6399999999901</v>
      </c>
      <c r="AQ405" s="66"/>
      <c r="AR405" s="70" t="s">
        <v>780</v>
      </c>
      <c r="AS405" s="66"/>
      <c r="AT405" s="108">
        <v>0</v>
      </c>
      <c r="AU405" s="109">
        <v>0</v>
      </c>
      <c r="AV405" s="109">
        <v>0</v>
      </c>
      <c r="AW405" s="109">
        <v>13042.019999999999</v>
      </c>
      <c r="AX405" s="110">
        <v>15528.490000000002</v>
      </c>
      <c r="AY405" s="110">
        <v>16140.9</v>
      </c>
    </row>
    <row r="406" spans="1:51" x14ac:dyDescent="0.25">
      <c r="A406" s="8" t="s">
        <v>638</v>
      </c>
      <c r="B406" s="5" t="s">
        <v>639</v>
      </c>
      <c r="C406" s="2">
        <v>0.79999999999999716</v>
      </c>
      <c r="D406" s="24">
        <v>500</v>
      </c>
      <c r="E406" s="26">
        <f t="shared" si="170"/>
        <v>250</v>
      </c>
      <c r="F406" s="26">
        <v>326</v>
      </c>
      <c r="G406" s="30">
        <f t="shared" si="171"/>
        <v>0.76687116564417179</v>
      </c>
      <c r="H406" s="11"/>
      <c r="I406" s="9">
        <v>145</v>
      </c>
      <c r="J406" s="3">
        <v>137.5</v>
      </c>
      <c r="K406" s="3">
        <v>50</v>
      </c>
      <c r="L406" s="3">
        <v>0</v>
      </c>
      <c r="M406" s="6">
        <v>60</v>
      </c>
      <c r="N406" s="6">
        <v>61</v>
      </c>
      <c r="O406" s="13"/>
      <c r="P406" s="60">
        <f>+I406*C406</f>
        <v>115.99999999999959</v>
      </c>
      <c r="Q406" s="61">
        <f>+J406*C406</f>
        <v>109.9999999999996</v>
      </c>
      <c r="R406" s="61">
        <f>+K406*C406</f>
        <v>39.999999999999858</v>
      </c>
      <c r="S406" s="62">
        <f>+L406*C406</f>
        <v>0</v>
      </c>
      <c r="T406" s="63">
        <f>+M406*C406</f>
        <v>47.999999999999829</v>
      </c>
      <c r="U406" s="63">
        <f t="shared" si="172"/>
        <v>48.799999999999827</v>
      </c>
      <c r="V406" s="64"/>
      <c r="W406" s="60">
        <v>18</v>
      </c>
      <c r="X406" s="61">
        <v>0</v>
      </c>
      <c r="Y406" s="61">
        <v>47</v>
      </c>
      <c r="Z406" s="61">
        <v>11</v>
      </c>
      <c r="AA406" s="65">
        <v>0</v>
      </c>
      <c r="AB406" s="65">
        <v>240</v>
      </c>
      <c r="AC406" s="66"/>
      <c r="AD406" s="67">
        <f t="shared" si="173"/>
        <v>5.5214723926380369E-2</v>
      </c>
      <c r="AE406" s="67">
        <f t="shared" si="174"/>
        <v>0</v>
      </c>
      <c r="AF406" s="67">
        <f t="shared" si="175"/>
        <v>0.14417177914110429</v>
      </c>
      <c r="AG406" s="67">
        <f t="shared" si="176"/>
        <v>3.3742331288343558E-2</v>
      </c>
      <c r="AH406" s="67">
        <f t="shared" si="177"/>
        <v>0</v>
      </c>
      <c r="AI406" s="67">
        <f t="shared" si="178"/>
        <v>0.73619631901840488</v>
      </c>
      <c r="AJ406" s="66"/>
      <c r="AK406" s="68">
        <v>58.9</v>
      </c>
      <c r="AL406" s="69">
        <v>0</v>
      </c>
      <c r="AM406" s="69">
        <v>37.599999999999866</v>
      </c>
      <c r="AN406" s="69">
        <v>64.389999999999901</v>
      </c>
      <c r="AO406" s="70">
        <v>20.63</v>
      </c>
      <c r="AP406" s="70">
        <v>172.98</v>
      </c>
      <c r="AQ406" s="66"/>
      <c r="AR406" s="70" t="s">
        <v>780</v>
      </c>
      <c r="AS406" s="66"/>
      <c r="AT406" s="108">
        <v>2967.4999999999995</v>
      </c>
      <c r="AU406" s="109">
        <v>2826.6499999999996</v>
      </c>
      <c r="AV406" s="109">
        <v>1018</v>
      </c>
      <c r="AW406" s="109">
        <v>0</v>
      </c>
      <c r="AX406" s="110">
        <v>1215.5999999999999</v>
      </c>
      <c r="AY406" s="110">
        <v>615.49</v>
      </c>
    </row>
    <row r="407" spans="1:51" x14ac:dyDescent="0.25">
      <c r="A407" s="8" t="s">
        <v>350</v>
      </c>
      <c r="B407" s="5" t="s">
        <v>351</v>
      </c>
      <c r="C407" s="2">
        <v>0.79</v>
      </c>
      <c r="D407" s="24">
        <v>400</v>
      </c>
      <c r="E407" s="26">
        <f t="shared" si="170"/>
        <v>200</v>
      </c>
      <c r="F407" s="26">
        <v>162</v>
      </c>
      <c r="G407" s="30">
        <f t="shared" si="171"/>
        <v>1.2345679012345678</v>
      </c>
      <c r="H407" s="11"/>
      <c r="I407" s="9">
        <v>100</v>
      </c>
      <c r="J407" s="3">
        <v>0</v>
      </c>
      <c r="K407" s="3">
        <v>241</v>
      </c>
      <c r="L407" s="3">
        <v>0</v>
      </c>
      <c r="M407" s="6"/>
      <c r="N407" s="6">
        <v>0</v>
      </c>
      <c r="O407" s="13"/>
      <c r="P407" s="60">
        <f>+I407*C407</f>
        <v>79</v>
      </c>
      <c r="Q407" s="61">
        <f>+J407*C407</f>
        <v>0</v>
      </c>
      <c r="R407" s="61">
        <f>+K407*C407</f>
        <v>190.39000000000001</v>
      </c>
      <c r="S407" s="62">
        <f>+L407*C407</f>
        <v>0</v>
      </c>
      <c r="T407" s="63">
        <f>+M407*C407</f>
        <v>0</v>
      </c>
      <c r="U407" s="63">
        <f t="shared" si="172"/>
        <v>0</v>
      </c>
      <c r="V407" s="64"/>
      <c r="W407" s="60">
        <v>148</v>
      </c>
      <c r="X407" s="61">
        <v>35</v>
      </c>
      <c r="Y407" s="61">
        <v>84</v>
      </c>
      <c r="Z407" s="61">
        <v>109</v>
      </c>
      <c r="AA407" s="65">
        <v>308</v>
      </c>
      <c r="AB407" s="65">
        <v>87</v>
      </c>
      <c r="AC407" s="66"/>
      <c r="AD407" s="67">
        <f t="shared" si="173"/>
        <v>0.9135802469135802</v>
      </c>
      <c r="AE407" s="67">
        <f t="shared" si="174"/>
        <v>0.21604938271604937</v>
      </c>
      <c r="AF407" s="67">
        <f t="shared" si="175"/>
        <v>0.51851851851851849</v>
      </c>
      <c r="AG407" s="67">
        <f t="shared" si="176"/>
        <v>0.6728395061728395</v>
      </c>
      <c r="AH407" s="67">
        <f t="shared" si="177"/>
        <v>1.9012345679012346</v>
      </c>
      <c r="AI407" s="67">
        <f t="shared" si="178"/>
        <v>0.53703703703703709</v>
      </c>
      <c r="AJ407" s="66"/>
      <c r="AK407" s="68">
        <v>57.84</v>
      </c>
      <c r="AL407" s="69">
        <v>13.259999999999991</v>
      </c>
      <c r="AM407" s="69">
        <v>13.259999999999991</v>
      </c>
      <c r="AN407" s="69">
        <v>47.769999999999989</v>
      </c>
      <c r="AO407" s="70">
        <v>42.569999999999901</v>
      </c>
      <c r="AP407" s="70">
        <v>60.2899999999999</v>
      </c>
      <c r="AQ407" s="66"/>
      <c r="AR407" s="70" t="s">
        <v>779</v>
      </c>
      <c r="AS407" s="66"/>
      <c r="AT407" s="108">
        <v>455</v>
      </c>
      <c r="AU407" s="109">
        <v>0</v>
      </c>
      <c r="AV407" s="109">
        <v>1086.9100000000001</v>
      </c>
      <c r="AW407" s="109">
        <v>0</v>
      </c>
      <c r="AX407" s="110">
        <v>0</v>
      </c>
      <c r="AY407" s="110">
        <v>0</v>
      </c>
    </row>
    <row r="408" spans="1:51" x14ac:dyDescent="0.25">
      <c r="A408" s="8" t="s">
        <v>822</v>
      </c>
      <c r="B408" s="5" t="s">
        <v>865</v>
      </c>
      <c r="C408" s="2">
        <v>0.78129554655870237</v>
      </c>
      <c r="D408" s="24">
        <v>16000</v>
      </c>
      <c r="E408" s="26">
        <f t="shared" si="170"/>
        <v>8000</v>
      </c>
      <c r="F408" s="26">
        <v>44341</v>
      </c>
      <c r="G408" s="30">
        <f t="shared" si="171"/>
        <v>0.18041992738097923</v>
      </c>
      <c r="H408" s="11"/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6">
        <v>4772</v>
      </c>
      <c r="O408" s="13"/>
      <c r="P408" s="60"/>
      <c r="Q408" s="61"/>
      <c r="R408" s="61"/>
      <c r="S408" s="62"/>
      <c r="T408" s="63"/>
      <c r="U408" s="63">
        <f t="shared" si="172"/>
        <v>3728.3423481781278</v>
      </c>
      <c r="V408" s="64"/>
      <c r="W408" s="60"/>
      <c r="X408" s="61"/>
      <c r="Y408" s="61"/>
      <c r="Z408" s="61"/>
      <c r="AA408" s="65"/>
      <c r="AB408" s="65"/>
      <c r="AC408" s="66"/>
      <c r="AD408" s="67">
        <f t="shared" si="173"/>
        <v>0</v>
      </c>
      <c r="AE408" s="67">
        <f t="shared" si="174"/>
        <v>0</v>
      </c>
      <c r="AF408" s="67">
        <f t="shared" si="175"/>
        <v>0</v>
      </c>
      <c r="AG408" s="67">
        <f t="shared" si="176"/>
        <v>0</v>
      </c>
      <c r="AH408" s="67">
        <f t="shared" si="177"/>
        <v>0</v>
      </c>
      <c r="AI408" s="67">
        <f t="shared" si="178"/>
        <v>0</v>
      </c>
      <c r="AJ408" s="66"/>
      <c r="AK408" s="68"/>
      <c r="AL408" s="69"/>
      <c r="AM408" s="69"/>
      <c r="AN408" s="69"/>
      <c r="AO408" s="70"/>
      <c r="AP408" s="70"/>
      <c r="AQ408" s="66"/>
      <c r="AR408" s="70" t="s">
        <v>780</v>
      </c>
      <c r="AS408" s="66"/>
      <c r="AT408" s="108">
        <v>122648.37000000004</v>
      </c>
      <c r="AU408" s="109">
        <v>98002.539999999979</v>
      </c>
      <c r="AV408" s="109">
        <v>115849.34999999999</v>
      </c>
      <c r="AW408" s="109">
        <v>97586.39</v>
      </c>
      <c r="AX408" s="110">
        <v>128630.32</v>
      </c>
      <c r="AY408" s="110">
        <v>132545.32</v>
      </c>
    </row>
    <row r="409" spans="1:51" x14ac:dyDescent="0.25">
      <c r="A409" s="8">
        <v>5562</v>
      </c>
      <c r="B409" s="5" t="s">
        <v>600</v>
      </c>
      <c r="C409" s="2">
        <v>0.78000000000000114</v>
      </c>
      <c r="D409" s="24">
        <v>2000</v>
      </c>
      <c r="E409" s="26">
        <f t="shared" si="170"/>
        <v>1000</v>
      </c>
      <c r="F409" s="26">
        <v>8099</v>
      </c>
      <c r="G409" s="30">
        <f t="shared" si="171"/>
        <v>0.12347203358439314</v>
      </c>
      <c r="H409" s="11"/>
      <c r="I409" s="9">
        <v>854</v>
      </c>
      <c r="J409" s="3">
        <v>0</v>
      </c>
      <c r="K409" s="3">
        <v>0</v>
      </c>
      <c r="L409" s="3">
        <v>0</v>
      </c>
      <c r="M409" s="6"/>
      <c r="N409" s="6">
        <v>165</v>
      </c>
      <c r="O409" s="13"/>
      <c r="P409" s="60">
        <f t="shared" ref="P409:P427" si="184">+I409*C409</f>
        <v>666.12000000000103</v>
      </c>
      <c r="Q409" s="61">
        <f t="shared" ref="Q409:Q427" si="185">+J409*C409</f>
        <v>0</v>
      </c>
      <c r="R409" s="61">
        <f t="shared" ref="R409:R427" si="186">+K409*C409</f>
        <v>0</v>
      </c>
      <c r="S409" s="62">
        <f t="shared" ref="S409:S427" si="187">+L409*C409</f>
        <v>0</v>
      </c>
      <c r="T409" s="63">
        <f t="shared" ref="T409:T427" si="188">+M409*C409</f>
        <v>0</v>
      </c>
      <c r="U409" s="63">
        <f t="shared" si="172"/>
        <v>128.70000000000019</v>
      </c>
      <c r="V409" s="64"/>
      <c r="W409" s="60">
        <v>1727</v>
      </c>
      <c r="X409" s="61">
        <v>1632</v>
      </c>
      <c r="Y409" s="61">
        <v>920</v>
      </c>
      <c r="Z409" s="61">
        <v>1001</v>
      </c>
      <c r="AA409" s="65">
        <v>964</v>
      </c>
      <c r="AB409" s="65">
        <v>1261</v>
      </c>
      <c r="AC409" s="66"/>
      <c r="AD409" s="67">
        <f t="shared" si="173"/>
        <v>0.21323620200024695</v>
      </c>
      <c r="AE409" s="67">
        <f t="shared" si="174"/>
        <v>0.20150635880972959</v>
      </c>
      <c r="AF409" s="67">
        <f t="shared" si="175"/>
        <v>0.11359427089764168</v>
      </c>
      <c r="AG409" s="67">
        <f t="shared" si="176"/>
        <v>0.12359550561797752</v>
      </c>
      <c r="AH409" s="67">
        <f t="shared" si="177"/>
        <v>0.11902704037535498</v>
      </c>
      <c r="AI409" s="67">
        <f t="shared" si="178"/>
        <v>0.15569823434991975</v>
      </c>
      <c r="AJ409" s="66"/>
      <c r="AK409" s="68">
        <v>368.23999999999921</v>
      </c>
      <c r="AL409" s="69">
        <v>1272.9600000000019</v>
      </c>
      <c r="AM409" s="69">
        <v>717.60000000000105</v>
      </c>
      <c r="AN409" s="69">
        <v>780.78000000000111</v>
      </c>
      <c r="AO409" s="70">
        <v>751.9200000000011</v>
      </c>
      <c r="AP409" s="70">
        <v>-369.11000000000303</v>
      </c>
      <c r="AQ409" s="66"/>
      <c r="AR409" s="70" t="s">
        <v>780</v>
      </c>
      <c r="AS409" s="66"/>
      <c r="AT409" s="108">
        <v>14027.8</v>
      </c>
      <c r="AU409" s="109">
        <v>0</v>
      </c>
      <c r="AV409" s="109">
        <v>0</v>
      </c>
      <c r="AW409" s="109">
        <v>0</v>
      </c>
      <c r="AX409" s="110">
        <v>0</v>
      </c>
      <c r="AY409" s="110">
        <v>2499.75</v>
      </c>
    </row>
    <row r="410" spans="1:51" x14ac:dyDescent="0.25">
      <c r="A410" s="8" t="s">
        <v>489</v>
      </c>
      <c r="B410" s="5" t="s">
        <v>490</v>
      </c>
      <c r="C410" s="2">
        <v>0.77999999999999936</v>
      </c>
      <c r="D410" s="24">
        <v>1500</v>
      </c>
      <c r="E410" s="26">
        <f t="shared" si="170"/>
        <v>750</v>
      </c>
      <c r="F410" s="26">
        <v>1484</v>
      </c>
      <c r="G410" s="30">
        <f t="shared" si="171"/>
        <v>0.50539083557951481</v>
      </c>
      <c r="H410" s="11"/>
      <c r="I410" s="9">
        <v>563</v>
      </c>
      <c r="J410" s="3">
        <v>232</v>
      </c>
      <c r="K410" s="3">
        <v>0</v>
      </c>
      <c r="L410" s="3">
        <v>40</v>
      </c>
      <c r="M410" s="6">
        <v>182</v>
      </c>
      <c r="N410" s="6">
        <v>1388</v>
      </c>
      <c r="O410" s="13"/>
      <c r="P410" s="60">
        <f t="shared" si="184"/>
        <v>439.13999999999965</v>
      </c>
      <c r="Q410" s="61">
        <f t="shared" si="185"/>
        <v>180.95999999999987</v>
      </c>
      <c r="R410" s="61">
        <f t="shared" si="186"/>
        <v>0</v>
      </c>
      <c r="S410" s="62">
        <f t="shared" si="187"/>
        <v>31.199999999999974</v>
      </c>
      <c r="T410" s="63">
        <f t="shared" si="188"/>
        <v>141.95999999999989</v>
      </c>
      <c r="U410" s="63">
        <f t="shared" si="172"/>
        <v>1082.6399999999992</v>
      </c>
      <c r="V410" s="64"/>
      <c r="W410" s="60">
        <v>716</v>
      </c>
      <c r="X410" s="61">
        <v>1123</v>
      </c>
      <c r="Y410" s="61">
        <v>371</v>
      </c>
      <c r="Z410" s="61">
        <v>51</v>
      </c>
      <c r="AA410" s="65">
        <v>0</v>
      </c>
      <c r="AB410" s="65">
        <v>39</v>
      </c>
      <c r="AC410" s="66"/>
      <c r="AD410" s="67">
        <f t="shared" si="173"/>
        <v>0.48247978436657685</v>
      </c>
      <c r="AE410" s="67">
        <f t="shared" si="174"/>
        <v>0.75673854447439348</v>
      </c>
      <c r="AF410" s="67">
        <f t="shared" si="175"/>
        <v>0.25</v>
      </c>
      <c r="AG410" s="67">
        <f t="shared" si="176"/>
        <v>3.436657681940701E-2</v>
      </c>
      <c r="AH410" s="67">
        <f t="shared" si="177"/>
        <v>0</v>
      </c>
      <c r="AI410" s="67">
        <f t="shared" si="178"/>
        <v>2.6280323450134771E-2</v>
      </c>
      <c r="AJ410" s="66"/>
      <c r="AK410" s="68">
        <v>705.12000000000046</v>
      </c>
      <c r="AL410" s="69">
        <v>893.81999999999846</v>
      </c>
      <c r="AM410" s="69">
        <v>893.81999999999834</v>
      </c>
      <c r="AN410" s="69">
        <v>453.65999999999917</v>
      </c>
      <c r="AO410" s="70">
        <v>91.61</v>
      </c>
      <c r="AP410" s="70">
        <v>61.119999999999898</v>
      </c>
      <c r="AQ410" s="66"/>
      <c r="AR410" s="70" t="s">
        <v>780</v>
      </c>
      <c r="AS410" s="66"/>
      <c r="AT410" s="108">
        <v>4749.2299999999996</v>
      </c>
      <c r="AU410" s="109">
        <v>1993.3200000000002</v>
      </c>
      <c r="AV410" s="109">
        <v>0</v>
      </c>
      <c r="AW410" s="109">
        <v>350</v>
      </c>
      <c r="AX410" s="110">
        <v>1579.12</v>
      </c>
      <c r="AY410" s="110">
        <v>12233.880000000001</v>
      </c>
    </row>
    <row r="411" spans="1:51" x14ac:dyDescent="0.25">
      <c r="A411" s="8" t="s">
        <v>485</v>
      </c>
      <c r="B411" s="5" t="s">
        <v>486</v>
      </c>
      <c r="C411" s="2">
        <v>0.76000000000000156</v>
      </c>
      <c r="D411" s="24">
        <v>2036.8000000000002</v>
      </c>
      <c r="E411" s="26">
        <f t="shared" si="170"/>
        <v>1018.4000000000001</v>
      </c>
      <c r="F411" s="26">
        <v>10184</v>
      </c>
      <c r="G411" s="30">
        <f t="shared" si="171"/>
        <v>0.1</v>
      </c>
      <c r="H411" s="11"/>
      <c r="I411" s="9">
        <v>0</v>
      </c>
      <c r="J411" s="3">
        <v>0</v>
      </c>
      <c r="K411" s="3">
        <v>0</v>
      </c>
      <c r="L411" s="3">
        <v>0</v>
      </c>
      <c r="M411" s="6">
        <v>206</v>
      </c>
      <c r="N411" s="6">
        <v>0</v>
      </c>
      <c r="O411" s="13"/>
      <c r="P411" s="60">
        <f t="shared" si="184"/>
        <v>0</v>
      </c>
      <c r="Q411" s="61">
        <f t="shared" si="185"/>
        <v>0</v>
      </c>
      <c r="R411" s="61">
        <f t="shared" si="186"/>
        <v>0</v>
      </c>
      <c r="S411" s="62">
        <f t="shared" si="187"/>
        <v>0</v>
      </c>
      <c r="T411" s="63">
        <f t="shared" si="188"/>
        <v>156.56000000000031</v>
      </c>
      <c r="U411" s="63">
        <f t="shared" si="172"/>
        <v>0</v>
      </c>
      <c r="V411" s="64"/>
      <c r="W411" s="60">
        <v>0</v>
      </c>
      <c r="X411" s="61">
        <v>0</v>
      </c>
      <c r="Y411" s="61">
        <v>0</v>
      </c>
      <c r="Z411" s="61">
        <v>0</v>
      </c>
      <c r="AA411" s="65">
        <v>0</v>
      </c>
      <c r="AB411" s="65">
        <v>205</v>
      </c>
      <c r="AC411" s="66"/>
      <c r="AD411" s="67">
        <f t="shared" si="173"/>
        <v>0</v>
      </c>
      <c r="AE411" s="67">
        <f t="shared" si="174"/>
        <v>0</v>
      </c>
      <c r="AF411" s="67">
        <f t="shared" si="175"/>
        <v>0</v>
      </c>
      <c r="AG411" s="67">
        <f t="shared" si="176"/>
        <v>0</v>
      </c>
      <c r="AH411" s="67">
        <f t="shared" si="177"/>
        <v>0</v>
      </c>
      <c r="AI411" s="67">
        <f t="shared" si="178"/>
        <v>2.0129615082482327E-2</v>
      </c>
      <c r="AJ411" s="66"/>
      <c r="AK411" s="68">
        <v>0</v>
      </c>
      <c r="AL411" s="69">
        <v>0</v>
      </c>
      <c r="AM411" s="69">
        <v>0</v>
      </c>
      <c r="AN411" s="69">
        <v>0</v>
      </c>
      <c r="AO411" s="70">
        <v>0</v>
      </c>
      <c r="AP411" s="70">
        <v>172.96</v>
      </c>
      <c r="AQ411" s="66"/>
      <c r="AR411" s="70" t="s">
        <v>780</v>
      </c>
      <c r="AS411" s="66"/>
      <c r="AT411" s="108">
        <v>0</v>
      </c>
      <c r="AU411" s="109">
        <v>0</v>
      </c>
      <c r="AV411" s="109">
        <v>0</v>
      </c>
      <c r="AW411" s="109">
        <v>0</v>
      </c>
      <c r="AX411" s="110">
        <v>1724.22</v>
      </c>
      <c r="AY411" s="110">
        <v>0</v>
      </c>
    </row>
    <row r="412" spans="1:51" x14ac:dyDescent="0.25">
      <c r="A412" s="8">
        <v>5085</v>
      </c>
      <c r="B412" s="5" t="s">
        <v>470</v>
      </c>
      <c r="C412" s="2">
        <v>0.75999999999999979</v>
      </c>
      <c r="D412" s="24">
        <v>2003.2</v>
      </c>
      <c r="E412" s="26">
        <f t="shared" si="170"/>
        <v>1001.6</v>
      </c>
      <c r="F412" s="26">
        <v>1278</v>
      </c>
      <c r="G412" s="30">
        <f t="shared" si="171"/>
        <v>0.78372456964006265</v>
      </c>
      <c r="H412" s="11"/>
      <c r="I412" s="9">
        <v>1280</v>
      </c>
      <c r="J412" s="3">
        <v>0</v>
      </c>
      <c r="K412" s="3">
        <v>0</v>
      </c>
      <c r="L412" s="3">
        <v>0</v>
      </c>
      <c r="M412" s="6">
        <v>390</v>
      </c>
      <c r="N412" s="6">
        <v>2589</v>
      </c>
      <c r="O412" s="13"/>
      <c r="P412" s="60">
        <f t="shared" si="184"/>
        <v>972.79999999999973</v>
      </c>
      <c r="Q412" s="61">
        <f t="shared" si="185"/>
        <v>0</v>
      </c>
      <c r="R412" s="61">
        <f t="shared" si="186"/>
        <v>0</v>
      </c>
      <c r="S412" s="62">
        <f t="shared" si="187"/>
        <v>0</v>
      </c>
      <c r="T412" s="63">
        <f t="shared" si="188"/>
        <v>296.39999999999992</v>
      </c>
      <c r="U412" s="63">
        <f t="shared" si="172"/>
        <v>1967.6399999999994</v>
      </c>
      <c r="V412" s="64"/>
      <c r="W412" s="60">
        <v>295</v>
      </c>
      <c r="X412" s="61">
        <v>1666</v>
      </c>
      <c r="Y412" s="61">
        <v>874</v>
      </c>
      <c r="Z412" s="61">
        <v>1139</v>
      </c>
      <c r="AA412" s="65">
        <v>1034</v>
      </c>
      <c r="AB412" s="65">
        <v>595</v>
      </c>
      <c r="AC412" s="66"/>
      <c r="AD412" s="67">
        <f t="shared" si="173"/>
        <v>0.23082942097026604</v>
      </c>
      <c r="AE412" s="67">
        <f t="shared" si="174"/>
        <v>1.3035993740219092</v>
      </c>
      <c r="AF412" s="67">
        <f t="shared" si="175"/>
        <v>0.68388106416275429</v>
      </c>
      <c r="AG412" s="67">
        <f t="shared" si="176"/>
        <v>0.89123630672926446</v>
      </c>
      <c r="AH412" s="67">
        <f t="shared" si="177"/>
        <v>0.80907668231611896</v>
      </c>
      <c r="AI412" s="67">
        <f t="shared" si="178"/>
        <v>0.46557120500782473</v>
      </c>
      <c r="AJ412" s="66"/>
      <c r="AK412" s="68">
        <v>300.94</v>
      </c>
      <c r="AL412" s="69">
        <v>603.88999999999749</v>
      </c>
      <c r="AM412" s="69">
        <v>603.88999999999783</v>
      </c>
      <c r="AN412" s="69">
        <v>201.82999999999967</v>
      </c>
      <c r="AO412" s="70">
        <v>128.19</v>
      </c>
      <c r="AP412" s="70">
        <v>185.74999999999901</v>
      </c>
      <c r="AQ412" s="66"/>
      <c r="AR412" s="70" t="s">
        <v>780</v>
      </c>
      <c r="AS412" s="66"/>
      <c r="AT412" s="108">
        <v>9998.2800000000007</v>
      </c>
      <c r="AU412" s="109">
        <v>0</v>
      </c>
      <c r="AV412" s="109">
        <v>0</v>
      </c>
      <c r="AW412" s="109">
        <v>0</v>
      </c>
      <c r="AX412" s="110">
        <v>2999.3</v>
      </c>
      <c r="AY412" s="110">
        <v>19755.939999999999</v>
      </c>
    </row>
    <row r="413" spans="1:51" x14ac:dyDescent="0.25">
      <c r="A413" s="8">
        <v>5683</v>
      </c>
      <c r="B413" s="5" t="s">
        <v>447</v>
      </c>
      <c r="C413" s="2">
        <v>0.74000000000000021</v>
      </c>
      <c r="D413" s="24">
        <v>2500</v>
      </c>
      <c r="E413" s="26">
        <f t="shared" si="170"/>
        <v>1250</v>
      </c>
      <c r="F413" s="26">
        <v>1148</v>
      </c>
      <c r="G413" s="30">
        <f t="shared" si="171"/>
        <v>1.0888501742160279</v>
      </c>
      <c r="H413" s="11"/>
      <c r="I413" s="9">
        <v>0</v>
      </c>
      <c r="J413" s="3">
        <v>0</v>
      </c>
      <c r="K413" s="3">
        <v>0</v>
      </c>
      <c r="L413" s="3">
        <v>0</v>
      </c>
      <c r="M413" s="6">
        <v>500</v>
      </c>
      <c r="N413" s="6">
        <v>4288</v>
      </c>
      <c r="O413" s="13"/>
      <c r="P413" s="60">
        <f t="shared" si="184"/>
        <v>0</v>
      </c>
      <c r="Q413" s="61">
        <f t="shared" si="185"/>
        <v>0</v>
      </c>
      <c r="R413" s="61">
        <f t="shared" si="186"/>
        <v>0</v>
      </c>
      <c r="S413" s="62">
        <f t="shared" si="187"/>
        <v>0</v>
      </c>
      <c r="T413" s="63">
        <f t="shared" si="188"/>
        <v>370.00000000000011</v>
      </c>
      <c r="U413" s="63">
        <f t="shared" si="172"/>
        <v>3173.1200000000008</v>
      </c>
      <c r="V413" s="64"/>
      <c r="W413" s="60">
        <v>1013</v>
      </c>
      <c r="X413" s="61">
        <v>1602</v>
      </c>
      <c r="Y413" s="61">
        <v>1501</v>
      </c>
      <c r="Z413" s="61">
        <v>575</v>
      </c>
      <c r="AA413" s="65">
        <v>0</v>
      </c>
      <c r="AB413" s="65">
        <v>1109</v>
      </c>
      <c r="AC413" s="66"/>
      <c r="AD413" s="67">
        <f t="shared" si="173"/>
        <v>0.88240418118466901</v>
      </c>
      <c r="AE413" s="67">
        <f t="shared" si="174"/>
        <v>1.3954703832752613</v>
      </c>
      <c r="AF413" s="67">
        <f t="shared" si="175"/>
        <v>1.3074912891986064</v>
      </c>
      <c r="AG413" s="67">
        <f t="shared" si="176"/>
        <v>0.50087108013937287</v>
      </c>
      <c r="AH413" s="67">
        <f t="shared" si="177"/>
        <v>0</v>
      </c>
      <c r="AI413" s="67">
        <f t="shared" si="178"/>
        <v>0.96602787456445993</v>
      </c>
      <c r="AJ413" s="66"/>
      <c r="AK413" s="68">
        <v>923.6699999999995</v>
      </c>
      <c r="AL413" s="69">
        <v>1518.9199999999973</v>
      </c>
      <c r="AM413" s="69">
        <v>1518.9199999999971</v>
      </c>
      <c r="AN413" s="69">
        <v>1290.7699999999986</v>
      </c>
      <c r="AO413" s="70">
        <v>379.08</v>
      </c>
      <c r="AP413" s="70">
        <v>838.43999999999801</v>
      </c>
      <c r="AQ413" s="66"/>
      <c r="AR413" s="70" t="s">
        <v>779</v>
      </c>
      <c r="AS413" s="66"/>
      <c r="AT413" s="108">
        <v>0</v>
      </c>
      <c r="AU413" s="109">
        <v>0</v>
      </c>
      <c r="AV413" s="109">
        <v>0</v>
      </c>
      <c r="AW413" s="109">
        <v>0</v>
      </c>
      <c r="AX413" s="110">
        <v>3215</v>
      </c>
      <c r="AY413" s="110">
        <v>26410.48</v>
      </c>
    </row>
    <row r="414" spans="1:51" x14ac:dyDescent="0.25">
      <c r="A414" s="8">
        <v>5605</v>
      </c>
      <c r="B414" s="5" t="s">
        <v>479</v>
      </c>
      <c r="C414" s="2">
        <v>0.73999999999999932</v>
      </c>
      <c r="D414" s="24">
        <v>1500</v>
      </c>
      <c r="E414" s="26">
        <f t="shared" si="170"/>
        <v>750</v>
      </c>
      <c r="F414" s="26">
        <v>24858</v>
      </c>
      <c r="G414" s="30">
        <f t="shared" si="171"/>
        <v>3.017137340091721E-2</v>
      </c>
      <c r="H414" s="11"/>
      <c r="I414" s="9">
        <v>2082</v>
      </c>
      <c r="J414" s="3">
        <v>701</v>
      </c>
      <c r="K414" s="3">
        <v>0</v>
      </c>
      <c r="L414" s="3">
        <v>743</v>
      </c>
      <c r="M414" s="6">
        <v>2283</v>
      </c>
      <c r="N414" s="6">
        <v>1463</v>
      </c>
      <c r="O414" s="13"/>
      <c r="P414" s="60">
        <f t="shared" si="184"/>
        <v>1540.6799999999987</v>
      </c>
      <c r="Q414" s="61">
        <f t="shared" si="185"/>
        <v>518.73999999999955</v>
      </c>
      <c r="R414" s="61">
        <f t="shared" si="186"/>
        <v>0</v>
      </c>
      <c r="S414" s="62">
        <f t="shared" si="187"/>
        <v>549.81999999999948</v>
      </c>
      <c r="T414" s="63">
        <f t="shared" si="188"/>
        <v>1689.4199999999985</v>
      </c>
      <c r="U414" s="63">
        <f t="shared" si="172"/>
        <v>1082.619999999999</v>
      </c>
      <c r="V414" s="64"/>
      <c r="W414" s="60">
        <v>98</v>
      </c>
      <c r="X414" s="61">
        <v>1132</v>
      </c>
      <c r="Y414" s="61">
        <v>1274</v>
      </c>
      <c r="Z414" s="61">
        <v>556</v>
      </c>
      <c r="AA414" s="65">
        <v>606</v>
      </c>
      <c r="AB414" s="65">
        <v>1906</v>
      </c>
      <c r="AC414" s="66"/>
      <c r="AD414" s="67">
        <f t="shared" si="173"/>
        <v>3.9423927910531825E-3</v>
      </c>
      <c r="AE414" s="67">
        <f t="shared" si="174"/>
        <v>4.5538659586451043E-2</v>
      </c>
      <c r="AF414" s="67">
        <f t="shared" si="175"/>
        <v>5.1251106283691367E-2</v>
      </c>
      <c r="AG414" s="67">
        <f t="shared" si="176"/>
        <v>2.2367044814546624E-2</v>
      </c>
      <c r="AH414" s="67">
        <f t="shared" si="177"/>
        <v>2.4378469707941105E-2</v>
      </c>
      <c r="AI414" s="67">
        <f t="shared" si="178"/>
        <v>7.6675516936197605E-2</v>
      </c>
      <c r="AJ414" s="66"/>
      <c r="AK414" s="68">
        <v>128.22999999999999</v>
      </c>
      <c r="AL414" s="69">
        <v>1406.589999999999</v>
      </c>
      <c r="AM414" s="69">
        <v>1406.5899999999988</v>
      </c>
      <c r="AN414" s="69">
        <v>1061.0599999999981</v>
      </c>
      <c r="AO414" s="70">
        <v>494.38</v>
      </c>
      <c r="AP414" s="70">
        <v>1478.77</v>
      </c>
      <c r="AQ414" s="66"/>
      <c r="AR414" s="70" t="s">
        <v>780</v>
      </c>
      <c r="AS414" s="66"/>
      <c r="AT414" s="108">
        <v>16712.04</v>
      </c>
      <c r="AU414" s="109">
        <v>5643.05</v>
      </c>
      <c r="AV414" s="109">
        <v>0</v>
      </c>
      <c r="AW414" s="109">
        <v>5914.2800000000007</v>
      </c>
      <c r="AX414" s="110">
        <v>18104.879999999997</v>
      </c>
      <c r="AY414" s="110">
        <v>11479.33</v>
      </c>
    </row>
    <row r="415" spans="1:51" x14ac:dyDescent="0.25">
      <c r="A415" s="8" t="s">
        <v>658</v>
      </c>
      <c r="B415" s="5" t="s">
        <v>659</v>
      </c>
      <c r="C415" s="2">
        <v>0.73999999999999844</v>
      </c>
      <c r="D415" s="24">
        <v>280</v>
      </c>
      <c r="E415" s="26">
        <f t="shared" si="170"/>
        <v>140</v>
      </c>
      <c r="F415" s="26">
        <v>2559</v>
      </c>
      <c r="G415" s="30">
        <f t="shared" si="171"/>
        <v>5.4708870652598669E-2</v>
      </c>
      <c r="H415" s="11"/>
      <c r="I415" s="9">
        <v>506</v>
      </c>
      <c r="J415" s="3">
        <v>462</v>
      </c>
      <c r="K415" s="3">
        <v>0</v>
      </c>
      <c r="L415" s="3">
        <v>0</v>
      </c>
      <c r="M415" s="6"/>
      <c r="N415" s="6">
        <v>0</v>
      </c>
      <c r="O415" s="13"/>
      <c r="P415" s="60">
        <f t="shared" si="184"/>
        <v>374.4399999999992</v>
      </c>
      <c r="Q415" s="61">
        <f t="shared" si="185"/>
        <v>341.87999999999926</v>
      </c>
      <c r="R415" s="61">
        <f t="shared" si="186"/>
        <v>0</v>
      </c>
      <c r="S415" s="62">
        <f t="shared" si="187"/>
        <v>0</v>
      </c>
      <c r="T415" s="63">
        <f t="shared" si="188"/>
        <v>0</v>
      </c>
      <c r="U415" s="63">
        <f t="shared" si="172"/>
        <v>0</v>
      </c>
      <c r="V415" s="64"/>
      <c r="W415" s="60">
        <v>120</v>
      </c>
      <c r="X415" s="61">
        <v>99</v>
      </c>
      <c r="Y415" s="61">
        <v>164</v>
      </c>
      <c r="Z415" s="61">
        <v>93</v>
      </c>
      <c r="AA415" s="65">
        <v>109</v>
      </c>
      <c r="AB415" s="65">
        <v>242</v>
      </c>
      <c r="AC415" s="66"/>
      <c r="AD415" s="67">
        <f t="shared" si="173"/>
        <v>4.6893317702227433E-2</v>
      </c>
      <c r="AE415" s="67">
        <f t="shared" si="174"/>
        <v>3.8686987104337635E-2</v>
      </c>
      <c r="AF415" s="67">
        <f t="shared" si="175"/>
        <v>6.4087534193044152E-2</v>
      </c>
      <c r="AG415" s="67">
        <f t="shared" si="176"/>
        <v>3.6342321219226259E-2</v>
      </c>
      <c r="AH415" s="67">
        <f t="shared" si="177"/>
        <v>4.259476357952325E-2</v>
      </c>
      <c r="AI415" s="67">
        <f t="shared" si="178"/>
        <v>9.4568190699491989E-2</v>
      </c>
      <c r="AJ415" s="66"/>
      <c r="AK415" s="68">
        <v>1057.93</v>
      </c>
      <c r="AL415" s="69">
        <v>497.23999999999955</v>
      </c>
      <c r="AM415" s="69">
        <v>497.23999999999955</v>
      </c>
      <c r="AN415" s="69">
        <v>366.43999999999937</v>
      </c>
      <c r="AO415" s="70">
        <v>118.289999999999</v>
      </c>
      <c r="AP415" s="70">
        <v>183.02</v>
      </c>
      <c r="AQ415" s="66"/>
      <c r="AR415" s="70" t="s">
        <v>780</v>
      </c>
      <c r="AS415" s="66"/>
      <c r="AT415" s="108">
        <v>12117.119999999999</v>
      </c>
      <c r="AU415" s="109">
        <v>11143.82</v>
      </c>
      <c r="AV415" s="109">
        <v>0</v>
      </c>
      <c r="AW415" s="109">
        <v>0</v>
      </c>
      <c r="AX415" s="110">
        <v>0</v>
      </c>
      <c r="AY415" s="110">
        <v>0</v>
      </c>
    </row>
    <row r="416" spans="1:51" x14ac:dyDescent="0.25">
      <c r="A416" s="8" t="s">
        <v>584</v>
      </c>
      <c r="B416" s="5" t="s">
        <v>585</v>
      </c>
      <c r="C416" s="2">
        <v>0.73000000000000043</v>
      </c>
      <c r="D416" s="24">
        <v>800</v>
      </c>
      <c r="E416" s="26">
        <f t="shared" si="170"/>
        <v>400</v>
      </c>
      <c r="F416" s="26">
        <v>1361</v>
      </c>
      <c r="G416" s="30">
        <f t="shared" si="171"/>
        <v>0.29390154298310067</v>
      </c>
      <c r="H416" s="11"/>
      <c r="I416" s="9">
        <v>600</v>
      </c>
      <c r="J416" s="3">
        <v>730</v>
      </c>
      <c r="K416" s="3">
        <v>50</v>
      </c>
      <c r="L416" s="3">
        <v>0</v>
      </c>
      <c r="M416" s="6"/>
      <c r="N416" s="6">
        <v>0</v>
      </c>
      <c r="O416" s="13"/>
      <c r="P416" s="60">
        <f t="shared" si="184"/>
        <v>438.00000000000023</v>
      </c>
      <c r="Q416" s="61">
        <f t="shared" si="185"/>
        <v>532.90000000000032</v>
      </c>
      <c r="R416" s="61">
        <f t="shared" si="186"/>
        <v>36.500000000000021</v>
      </c>
      <c r="S416" s="62">
        <f t="shared" si="187"/>
        <v>0</v>
      </c>
      <c r="T416" s="63">
        <f t="shared" si="188"/>
        <v>0</v>
      </c>
      <c r="U416" s="63">
        <f t="shared" si="172"/>
        <v>0</v>
      </c>
      <c r="V416" s="64"/>
      <c r="W416" s="60">
        <v>174</v>
      </c>
      <c r="X416" s="61">
        <v>181</v>
      </c>
      <c r="Y416" s="61">
        <v>316</v>
      </c>
      <c r="Z416" s="61">
        <v>286</v>
      </c>
      <c r="AA416" s="65">
        <v>465</v>
      </c>
      <c r="AB416" s="65">
        <v>278</v>
      </c>
      <c r="AC416" s="66"/>
      <c r="AD416" s="67">
        <f t="shared" si="173"/>
        <v>0.1278471711976488</v>
      </c>
      <c r="AE416" s="67">
        <f t="shared" si="174"/>
        <v>0.13299044819985306</v>
      </c>
      <c r="AF416" s="67">
        <f t="shared" si="175"/>
        <v>0.23218221895664953</v>
      </c>
      <c r="AG416" s="67">
        <f t="shared" si="176"/>
        <v>0.21013960323291697</v>
      </c>
      <c r="AH416" s="67">
        <f t="shared" si="177"/>
        <v>0.34166054371785454</v>
      </c>
      <c r="AI416" s="67">
        <f t="shared" si="178"/>
        <v>0.20426157237325496</v>
      </c>
      <c r="AJ416" s="66"/>
      <c r="AK416" s="68">
        <v>113.36</v>
      </c>
      <c r="AL416" s="69">
        <v>149.86999999999998</v>
      </c>
      <c r="AM416" s="69">
        <v>149.87</v>
      </c>
      <c r="AN416" s="69">
        <v>444.67999999999944</v>
      </c>
      <c r="AO416" s="70">
        <v>263.45</v>
      </c>
      <c r="AP416" s="70">
        <v>167.97</v>
      </c>
      <c r="AQ416" s="66"/>
      <c r="AR416" s="70" t="s">
        <v>780</v>
      </c>
      <c r="AS416" s="66"/>
      <c r="AT416" s="108">
        <v>7617.3</v>
      </c>
      <c r="AU416" s="109">
        <v>9556.7999999999993</v>
      </c>
      <c r="AV416" s="109">
        <v>655</v>
      </c>
      <c r="AW416" s="109">
        <v>0</v>
      </c>
      <c r="AX416" s="110">
        <v>0</v>
      </c>
      <c r="AY416" s="110">
        <v>0</v>
      </c>
    </row>
    <row r="417" spans="1:51" x14ac:dyDescent="0.25">
      <c r="A417" s="8">
        <v>5170</v>
      </c>
      <c r="B417" s="5" t="s">
        <v>440</v>
      </c>
      <c r="C417" s="2">
        <v>0.71999999999999975</v>
      </c>
      <c r="D417" s="24">
        <v>100</v>
      </c>
      <c r="E417" s="26">
        <f t="shared" si="170"/>
        <v>50</v>
      </c>
      <c r="F417" s="26">
        <v>60</v>
      </c>
      <c r="G417" s="30">
        <f t="shared" si="171"/>
        <v>0.83333333333333337</v>
      </c>
      <c r="H417" s="11"/>
      <c r="I417" s="9">
        <v>922</v>
      </c>
      <c r="J417" s="3">
        <v>636</v>
      </c>
      <c r="K417" s="3">
        <v>0</v>
      </c>
      <c r="L417" s="3">
        <v>0</v>
      </c>
      <c r="M417" s="6"/>
      <c r="N417" s="6">
        <v>0</v>
      </c>
      <c r="O417" s="13"/>
      <c r="P417" s="60">
        <f t="shared" si="184"/>
        <v>663.8399999999998</v>
      </c>
      <c r="Q417" s="61">
        <f t="shared" si="185"/>
        <v>457.91999999999985</v>
      </c>
      <c r="R417" s="61">
        <f t="shared" si="186"/>
        <v>0</v>
      </c>
      <c r="S417" s="62">
        <f t="shared" si="187"/>
        <v>0</v>
      </c>
      <c r="T417" s="63">
        <f t="shared" si="188"/>
        <v>0</v>
      </c>
      <c r="U417" s="63">
        <f t="shared" si="172"/>
        <v>0</v>
      </c>
      <c r="V417" s="64"/>
      <c r="W417" s="60">
        <v>59</v>
      </c>
      <c r="X417" s="61">
        <v>119</v>
      </c>
      <c r="Y417" s="61">
        <v>71</v>
      </c>
      <c r="Z417" s="61">
        <v>44</v>
      </c>
      <c r="AA417" s="65">
        <v>208</v>
      </c>
      <c r="AB417" s="65">
        <v>187</v>
      </c>
      <c r="AC417" s="66"/>
      <c r="AD417" s="67">
        <f t="shared" si="173"/>
        <v>0.98333333333333328</v>
      </c>
      <c r="AE417" s="67">
        <f t="shared" si="174"/>
        <v>1.9833333333333334</v>
      </c>
      <c r="AF417" s="67">
        <f t="shared" si="175"/>
        <v>1.1833333333333333</v>
      </c>
      <c r="AG417" s="67">
        <f t="shared" si="176"/>
        <v>0.73333333333333328</v>
      </c>
      <c r="AH417" s="67">
        <f t="shared" si="177"/>
        <v>3.4666666666666668</v>
      </c>
      <c r="AI417" s="67">
        <f t="shared" si="178"/>
        <v>3.1166666666666667</v>
      </c>
      <c r="AJ417" s="66"/>
      <c r="AK417" s="68">
        <v>69.33</v>
      </c>
      <c r="AL417" s="69">
        <v>139.32</v>
      </c>
      <c r="AM417" s="69">
        <v>139.31999999999996</v>
      </c>
      <c r="AN417" s="69">
        <v>288.57999999999987</v>
      </c>
      <c r="AO417" s="70">
        <v>46.18</v>
      </c>
      <c r="AP417" s="70">
        <v>133.93</v>
      </c>
      <c r="AQ417" s="66"/>
      <c r="AR417" s="70" t="s">
        <v>779</v>
      </c>
      <c r="AS417" s="66"/>
      <c r="AT417" s="108">
        <v>5522.2800000000007</v>
      </c>
      <c r="AU417" s="109">
        <v>3839.86</v>
      </c>
      <c r="AV417" s="109">
        <v>0</v>
      </c>
      <c r="AW417" s="109">
        <v>0</v>
      </c>
      <c r="AX417" s="110">
        <v>0</v>
      </c>
      <c r="AY417" s="110">
        <v>0</v>
      </c>
    </row>
    <row r="418" spans="1:51" x14ac:dyDescent="0.25">
      <c r="A418" s="8" t="s">
        <v>652</v>
      </c>
      <c r="B418" s="5" t="s">
        <v>653</v>
      </c>
      <c r="C418" s="2">
        <v>0.71999999999999886</v>
      </c>
      <c r="D418" s="24">
        <v>1500</v>
      </c>
      <c r="E418" s="26">
        <f t="shared" si="170"/>
        <v>750</v>
      </c>
      <c r="F418" s="26">
        <v>3204</v>
      </c>
      <c r="G418" s="30">
        <f t="shared" si="171"/>
        <v>0.23408239700374531</v>
      </c>
      <c r="H418" s="11"/>
      <c r="I418" s="9">
        <v>541</v>
      </c>
      <c r="J418" s="3">
        <v>376</v>
      </c>
      <c r="K418" s="3">
        <v>670</v>
      </c>
      <c r="L418" s="3">
        <v>542</v>
      </c>
      <c r="M418" s="6">
        <v>525</v>
      </c>
      <c r="N418" s="6">
        <v>245</v>
      </c>
      <c r="O418" s="13"/>
      <c r="P418" s="60">
        <f t="shared" si="184"/>
        <v>389.51999999999941</v>
      </c>
      <c r="Q418" s="61">
        <f t="shared" si="185"/>
        <v>270.71999999999957</v>
      </c>
      <c r="R418" s="61">
        <f t="shared" si="186"/>
        <v>482.39999999999924</v>
      </c>
      <c r="S418" s="62">
        <f t="shared" si="187"/>
        <v>390.23999999999938</v>
      </c>
      <c r="T418" s="63">
        <f t="shared" si="188"/>
        <v>377.99999999999943</v>
      </c>
      <c r="U418" s="63">
        <f t="shared" si="172"/>
        <v>176.39999999999972</v>
      </c>
      <c r="V418" s="64"/>
      <c r="W418" s="60">
        <v>711</v>
      </c>
      <c r="X418" s="61">
        <v>423</v>
      </c>
      <c r="Y418" s="61">
        <v>529</v>
      </c>
      <c r="Z418" s="61">
        <v>557</v>
      </c>
      <c r="AA418" s="65">
        <v>325</v>
      </c>
      <c r="AB418" s="65">
        <v>465</v>
      </c>
      <c r="AC418" s="66"/>
      <c r="AD418" s="67">
        <f t="shared" si="173"/>
        <v>0.22191011235955055</v>
      </c>
      <c r="AE418" s="67">
        <f t="shared" si="174"/>
        <v>0.13202247191011235</v>
      </c>
      <c r="AF418" s="67">
        <f t="shared" si="175"/>
        <v>0.16510611735330835</v>
      </c>
      <c r="AG418" s="67">
        <f t="shared" si="176"/>
        <v>0.17384519350811486</v>
      </c>
      <c r="AH418" s="67">
        <f t="shared" si="177"/>
        <v>0.10143570536828964</v>
      </c>
      <c r="AI418" s="67">
        <f t="shared" si="178"/>
        <v>0.14513108614232209</v>
      </c>
      <c r="AJ418" s="66"/>
      <c r="AK418" s="68">
        <v>310.97999999999979</v>
      </c>
      <c r="AL418" s="69">
        <v>467.51999999999947</v>
      </c>
      <c r="AM418" s="69">
        <v>467.51999999999953</v>
      </c>
      <c r="AN418" s="69">
        <v>495.87999999999954</v>
      </c>
      <c r="AO418" s="70">
        <v>774.85000000000298</v>
      </c>
      <c r="AP418" s="70">
        <v>364</v>
      </c>
      <c r="AQ418" s="66"/>
      <c r="AR418" s="70" t="s">
        <v>780</v>
      </c>
      <c r="AS418" s="66"/>
      <c r="AT418" s="108">
        <v>11819.480000000001</v>
      </c>
      <c r="AU418" s="109">
        <v>8156.56</v>
      </c>
      <c r="AV418" s="109">
        <v>14326.48</v>
      </c>
      <c r="AW418" s="109">
        <v>11501.02</v>
      </c>
      <c r="AX418" s="110">
        <v>11235.09</v>
      </c>
      <c r="AY418" s="110">
        <v>5276.03</v>
      </c>
    </row>
    <row r="419" spans="1:51" x14ac:dyDescent="0.25">
      <c r="A419" s="8">
        <v>1103</v>
      </c>
      <c r="B419" s="5" t="s">
        <v>662</v>
      </c>
      <c r="C419" s="2">
        <v>0.71999999999999886</v>
      </c>
      <c r="D419" s="24">
        <v>1700</v>
      </c>
      <c r="E419" s="26">
        <f t="shared" si="170"/>
        <v>850</v>
      </c>
      <c r="F419" s="26">
        <v>6408</v>
      </c>
      <c r="G419" s="30">
        <f t="shared" si="171"/>
        <v>0.13264669163545567</v>
      </c>
      <c r="H419" s="11"/>
      <c r="I419" s="9">
        <v>1066</v>
      </c>
      <c r="J419" s="3">
        <v>1951</v>
      </c>
      <c r="K419" s="3">
        <v>2789</v>
      </c>
      <c r="L419" s="3">
        <v>1031</v>
      </c>
      <c r="M419" s="6">
        <v>220</v>
      </c>
      <c r="N419" s="6">
        <v>0</v>
      </c>
      <c r="O419" s="13"/>
      <c r="P419" s="60">
        <f t="shared" si="184"/>
        <v>767.51999999999884</v>
      </c>
      <c r="Q419" s="61">
        <f t="shared" si="185"/>
        <v>1404.7199999999978</v>
      </c>
      <c r="R419" s="61">
        <f t="shared" si="186"/>
        <v>2008.0799999999967</v>
      </c>
      <c r="S419" s="62">
        <f t="shared" si="187"/>
        <v>742.3199999999988</v>
      </c>
      <c r="T419" s="63">
        <f t="shared" si="188"/>
        <v>158.39999999999975</v>
      </c>
      <c r="U419" s="63">
        <f t="shared" si="172"/>
        <v>0</v>
      </c>
      <c r="V419" s="64"/>
      <c r="W419" s="60">
        <v>97</v>
      </c>
      <c r="X419" s="61">
        <v>1037</v>
      </c>
      <c r="Y419" s="61">
        <v>1461</v>
      </c>
      <c r="Z419" s="61">
        <v>802</v>
      </c>
      <c r="AA419" s="65">
        <v>991</v>
      </c>
      <c r="AB419" s="65">
        <v>1146</v>
      </c>
      <c r="AC419" s="66"/>
      <c r="AD419" s="67">
        <f t="shared" si="173"/>
        <v>1.5137328339575531E-2</v>
      </c>
      <c r="AE419" s="67">
        <f t="shared" si="174"/>
        <v>0.16182896379525594</v>
      </c>
      <c r="AF419" s="67">
        <f t="shared" si="175"/>
        <v>0.22799625468164794</v>
      </c>
      <c r="AG419" s="67">
        <f t="shared" si="176"/>
        <v>0.12515605493133583</v>
      </c>
      <c r="AH419" s="67">
        <f t="shared" si="177"/>
        <v>0.15465043695380773</v>
      </c>
      <c r="AI419" s="67">
        <f t="shared" si="178"/>
        <v>0.17883895131086142</v>
      </c>
      <c r="AJ419" s="66"/>
      <c r="AK419" s="68">
        <v>1529.95</v>
      </c>
      <c r="AL419" s="69">
        <v>18380.87999999999</v>
      </c>
      <c r="AM419" s="69">
        <v>18380.87999999999</v>
      </c>
      <c r="AN419" s="69">
        <v>23775.999999999985</v>
      </c>
      <c r="AO419" s="70">
        <v>12026.82</v>
      </c>
      <c r="AP419" s="70">
        <v>1855.0899999999899</v>
      </c>
      <c r="AQ419" s="66"/>
      <c r="AR419" s="70" t="s">
        <v>780</v>
      </c>
      <c r="AS419" s="66"/>
      <c r="AT419" s="108">
        <v>26353.03</v>
      </c>
      <c r="AU419" s="109">
        <v>49253.45</v>
      </c>
      <c r="AV419" s="109">
        <v>83364.98</v>
      </c>
      <c r="AW419" s="109">
        <v>25735.42</v>
      </c>
      <c r="AX419" s="110">
        <v>5401.9</v>
      </c>
      <c r="AY419" s="110">
        <v>0</v>
      </c>
    </row>
    <row r="420" spans="1:51" x14ac:dyDescent="0.25">
      <c r="A420" s="8" t="s">
        <v>690</v>
      </c>
      <c r="B420" s="5" t="s">
        <v>691</v>
      </c>
      <c r="C420" s="2">
        <v>0.70000000000000284</v>
      </c>
      <c r="D420" s="24">
        <v>400</v>
      </c>
      <c r="E420" s="26">
        <f t="shared" si="170"/>
        <v>200</v>
      </c>
      <c r="F420" s="26">
        <v>777</v>
      </c>
      <c r="G420" s="30">
        <f t="shared" si="171"/>
        <v>0.2574002574002574</v>
      </c>
      <c r="H420" s="11"/>
      <c r="I420" s="9">
        <v>50</v>
      </c>
      <c r="J420" s="3">
        <v>0</v>
      </c>
      <c r="K420" s="3">
        <v>78</v>
      </c>
      <c r="L420" s="3">
        <v>0</v>
      </c>
      <c r="M420" s="6">
        <v>77</v>
      </c>
      <c r="N420" s="6">
        <v>87</v>
      </c>
      <c r="O420" s="13"/>
      <c r="P420" s="60">
        <f t="shared" si="184"/>
        <v>35.000000000000142</v>
      </c>
      <c r="Q420" s="61">
        <f t="shared" si="185"/>
        <v>0</v>
      </c>
      <c r="R420" s="61">
        <f t="shared" si="186"/>
        <v>54.600000000000222</v>
      </c>
      <c r="S420" s="62">
        <f t="shared" si="187"/>
        <v>0</v>
      </c>
      <c r="T420" s="63">
        <f t="shared" si="188"/>
        <v>53.900000000000219</v>
      </c>
      <c r="U420" s="63">
        <f t="shared" si="172"/>
        <v>60.900000000000247</v>
      </c>
      <c r="V420" s="64"/>
      <c r="W420" s="60">
        <v>111</v>
      </c>
      <c r="X420" s="61">
        <v>155</v>
      </c>
      <c r="Y420" s="61">
        <v>248</v>
      </c>
      <c r="Z420" s="61">
        <v>126</v>
      </c>
      <c r="AA420" s="65">
        <v>109</v>
      </c>
      <c r="AB420" s="65">
        <v>66</v>
      </c>
      <c r="AC420" s="66"/>
      <c r="AD420" s="67">
        <f t="shared" si="173"/>
        <v>0.14285714285714285</v>
      </c>
      <c r="AE420" s="67">
        <f t="shared" si="174"/>
        <v>0.19948519948519949</v>
      </c>
      <c r="AF420" s="67">
        <f t="shared" si="175"/>
        <v>0.31917631917631917</v>
      </c>
      <c r="AG420" s="67">
        <f t="shared" si="176"/>
        <v>0.16216216216216217</v>
      </c>
      <c r="AH420" s="67">
        <f t="shared" si="177"/>
        <v>0.14028314028314029</v>
      </c>
      <c r="AI420" s="67">
        <f t="shared" si="178"/>
        <v>8.4942084942084939E-2</v>
      </c>
      <c r="AJ420" s="66"/>
      <c r="AK420" s="68">
        <v>268.27999999999997</v>
      </c>
      <c r="AL420" s="69">
        <v>362.11</v>
      </c>
      <c r="AM420" s="69">
        <v>362.11</v>
      </c>
      <c r="AN420" s="69">
        <v>169.34999999999997</v>
      </c>
      <c r="AO420" s="70">
        <v>15.909999999999901</v>
      </c>
      <c r="AP420" s="70">
        <v>12.579999999999901</v>
      </c>
      <c r="AQ420" s="66"/>
      <c r="AR420" s="70" t="s">
        <v>780</v>
      </c>
      <c r="AS420" s="66"/>
      <c r="AT420" s="108">
        <v>1969</v>
      </c>
      <c r="AU420" s="109">
        <v>0</v>
      </c>
      <c r="AV420" s="109">
        <v>3105.96</v>
      </c>
      <c r="AW420" s="109">
        <v>0</v>
      </c>
      <c r="AX420" s="110">
        <v>2964.5</v>
      </c>
      <c r="AY420" s="110">
        <v>3336.2</v>
      </c>
    </row>
    <row r="421" spans="1:51" x14ac:dyDescent="0.25">
      <c r="A421" s="8">
        <v>5055</v>
      </c>
      <c r="B421" s="5" t="s">
        <v>456</v>
      </c>
      <c r="C421" s="2">
        <v>0.70000000000000018</v>
      </c>
      <c r="D421" s="24">
        <v>600</v>
      </c>
      <c r="E421" s="26">
        <f t="shared" si="170"/>
        <v>300</v>
      </c>
      <c r="F421" s="26">
        <v>2543</v>
      </c>
      <c r="G421" s="30">
        <f t="shared" si="171"/>
        <v>0.11797090051120723</v>
      </c>
      <c r="H421" s="11"/>
      <c r="I421" s="9">
        <v>5016</v>
      </c>
      <c r="J421" s="3">
        <v>0</v>
      </c>
      <c r="K421" s="3">
        <v>0</v>
      </c>
      <c r="L421" s="3">
        <v>0</v>
      </c>
      <c r="M421" s="6"/>
      <c r="N421" s="6">
        <v>0</v>
      </c>
      <c r="O421" s="13"/>
      <c r="P421" s="60">
        <f t="shared" si="184"/>
        <v>3511.2000000000007</v>
      </c>
      <c r="Q421" s="61">
        <f t="shared" si="185"/>
        <v>0</v>
      </c>
      <c r="R421" s="61">
        <f t="shared" si="186"/>
        <v>0</v>
      </c>
      <c r="S421" s="62">
        <f t="shared" si="187"/>
        <v>0</v>
      </c>
      <c r="T421" s="63">
        <f t="shared" si="188"/>
        <v>0</v>
      </c>
      <c r="U421" s="63">
        <f t="shared" si="172"/>
        <v>0</v>
      </c>
      <c r="V421" s="64"/>
      <c r="W421" s="60">
        <v>330</v>
      </c>
      <c r="X421" s="61">
        <v>596</v>
      </c>
      <c r="Y421" s="61">
        <v>1342</v>
      </c>
      <c r="Z421" s="61">
        <v>2398</v>
      </c>
      <c r="AA421" s="65">
        <v>1383</v>
      </c>
      <c r="AB421" s="65">
        <v>1554</v>
      </c>
      <c r="AC421" s="66"/>
      <c r="AD421" s="67">
        <f t="shared" si="173"/>
        <v>0.12976799056232796</v>
      </c>
      <c r="AE421" s="67">
        <f t="shared" si="174"/>
        <v>0.23436885568226504</v>
      </c>
      <c r="AF421" s="67">
        <f t="shared" si="175"/>
        <v>0.52772316162013366</v>
      </c>
      <c r="AG421" s="67">
        <f t="shared" si="176"/>
        <v>0.94298073141958316</v>
      </c>
      <c r="AH421" s="67">
        <f t="shared" si="177"/>
        <v>0.54384585135666541</v>
      </c>
      <c r="AI421" s="67">
        <f t="shared" si="178"/>
        <v>0.61108926464805347</v>
      </c>
      <c r="AJ421" s="66"/>
      <c r="AK421" s="68">
        <v>192.9</v>
      </c>
      <c r="AL421" s="69">
        <v>344.36999999999944</v>
      </c>
      <c r="AM421" s="69">
        <v>344.36999999999955</v>
      </c>
      <c r="AN421" s="69">
        <v>699.31999999999948</v>
      </c>
      <c r="AO421" s="70">
        <v>1130.1699999999901</v>
      </c>
      <c r="AP421" s="70">
        <v>623.54</v>
      </c>
      <c r="AQ421" s="66"/>
      <c r="AR421" s="70" t="s">
        <v>780</v>
      </c>
      <c r="AS421" s="66"/>
      <c r="AT421" s="108">
        <v>32854.799999999996</v>
      </c>
      <c r="AU421" s="109">
        <v>0</v>
      </c>
      <c r="AV421" s="109">
        <v>0</v>
      </c>
      <c r="AW421" s="109">
        <v>0</v>
      </c>
      <c r="AX421" s="110">
        <v>0</v>
      </c>
      <c r="AY421" s="110">
        <v>0</v>
      </c>
    </row>
    <row r="422" spans="1:51" x14ac:dyDescent="0.25">
      <c r="A422" s="8" t="s">
        <v>432</v>
      </c>
      <c r="B422" s="5" t="s">
        <v>433</v>
      </c>
      <c r="C422" s="2">
        <v>0.70000000000000018</v>
      </c>
      <c r="D422" s="24">
        <v>2000</v>
      </c>
      <c r="E422" s="26">
        <f t="shared" si="170"/>
        <v>1000</v>
      </c>
      <c r="F422" s="26">
        <v>376</v>
      </c>
      <c r="G422" s="30">
        <f t="shared" si="171"/>
        <v>2.6595744680851063</v>
      </c>
      <c r="H422" s="11"/>
      <c r="I422" s="9">
        <v>827</v>
      </c>
      <c r="J422" s="3">
        <v>0</v>
      </c>
      <c r="K422" s="3">
        <v>135</v>
      </c>
      <c r="L422" s="3">
        <v>160</v>
      </c>
      <c r="M422" s="6">
        <v>530</v>
      </c>
      <c r="N422" s="6">
        <v>1320</v>
      </c>
      <c r="O422" s="13"/>
      <c r="P422" s="60">
        <f t="shared" si="184"/>
        <v>578.90000000000009</v>
      </c>
      <c r="Q422" s="61">
        <f t="shared" si="185"/>
        <v>0</v>
      </c>
      <c r="R422" s="61">
        <f t="shared" si="186"/>
        <v>94.500000000000028</v>
      </c>
      <c r="S422" s="62">
        <f t="shared" si="187"/>
        <v>112.00000000000003</v>
      </c>
      <c r="T422" s="63">
        <f t="shared" si="188"/>
        <v>371.00000000000011</v>
      </c>
      <c r="U422" s="63">
        <f t="shared" si="172"/>
        <v>924.00000000000023</v>
      </c>
      <c r="V422" s="64"/>
      <c r="W422" s="60">
        <v>543</v>
      </c>
      <c r="X422" s="61">
        <v>1291</v>
      </c>
      <c r="Y422" s="61">
        <v>227</v>
      </c>
      <c r="Z422" s="61">
        <v>32</v>
      </c>
      <c r="AA422" s="65">
        <v>358</v>
      </c>
      <c r="AB422" s="65">
        <v>317</v>
      </c>
      <c r="AC422" s="66"/>
      <c r="AD422" s="67">
        <f t="shared" si="173"/>
        <v>1.4441489361702127</v>
      </c>
      <c r="AE422" s="67">
        <f t="shared" si="174"/>
        <v>3.4335106382978724</v>
      </c>
      <c r="AF422" s="67">
        <f t="shared" si="175"/>
        <v>0.60372340425531912</v>
      </c>
      <c r="AG422" s="67">
        <f t="shared" si="176"/>
        <v>8.5106382978723402E-2</v>
      </c>
      <c r="AH422" s="67">
        <f t="shared" si="177"/>
        <v>0.9521276595744681</v>
      </c>
      <c r="AI422" s="67">
        <f t="shared" si="178"/>
        <v>0.84308510638297873</v>
      </c>
      <c r="AJ422" s="66"/>
      <c r="AK422" s="68">
        <v>523.06000000000017</v>
      </c>
      <c r="AL422" s="69">
        <v>1183.3799999999994</v>
      </c>
      <c r="AM422" s="69">
        <v>1183.3799999999997</v>
      </c>
      <c r="AN422" s="69">
        <v>272.53999999999979</v>
      </c>
      <c r="AO422" s="70">
        <v>64.97</v>
      </c>
      <c r="AP422" s="70">
        <v>200.6</v>
      </c>
      <c r="AQ422" s="66"/>
      <c r="AR422" s="70" t="s">
        <v>779</v>
      </c>
      <c r="AS422" s="66"/>
      <c r="AT422" s="108">
        <v>4671.87</v>
      </c>
      <c r="AU422" s="109">
        <v>0</v>
      </c>
      <c r="AV422" s="109">
        <v>745.2</v>
      </c>
      <c r="AW422" s="109">
        <v>913.4</v>
      </c>
      <c r="AX422" s="110">
        <v>3060.7</v>
      </c>
      <c r="AY422" s="110">
        <v>7563.6</v>
      </c>
    </row>
    <row r="423" spans="1:51" x14ac:dyDescent="0.25">
      <c r="A423" s="8" t="s">
        <v>675</v>
      </c>
      <c r="B423" s="5" t="s">
        <v>676</v>
      </c>
      <c r="C423" s="2">
        <v>0.68999999999999773</v>
      </c>
      <c r="D423" s="24">
        <v>2000</v>
      </c>
      <c r="E423" s="26">
        <f t="shared" si="170"/>
        <v>1000</v>
      </c>
      <c r="F423" s="26">
        <v>9368</v>
      </c>
      <c r="G423" s="30">
        <f t="shared" si="171"/>
        <v>0.1067463706233988</v>
      </c>
      <c r="H423" s="11"/>
      <c r="I423" s="9">
        <v>316</v>
      </c>
      <c r="J423" s="3">
        <v>0</v>
      </c>
      <c r="K423" s="3">
        <v>0</v>
      </c>
      <c r="L423" s="3">
        <v>0</v>
      </c>
      <c r="M423" s="6"/>
      <c r="N423" s="6">
        <v>0</v>
      </c>
      <c r="O423" s="13"/>
      <c r="P423" s="60">
        <f t="shared" si="184"/>
        <v>218.03999999999928</v>
      </c>
      <c r="Q423" s="61">
        <f t="shared" si="185"/>
        <v>0</v>
      </c>
      <c r="R423" s="61">
        <f t="shared" si="186"/>
        <v>0</v>
      </c>
      <c r="S423" s="62">
        <f t="shared" si="187"/>
        <v>0</v>
      </c>
      <c r="T423" s="63">
        <f t="shared" si="188"/>
        <v>0</v>
      </c>
      <c r="U423" s="63">
        <f t="shared" si="172"/>
        <v>0</v>
      </c>
      <c r="V423" s="64"/>
      <c r="W423" s="60">
        <v>0</v>
      </c>
      <c r="X423" s="61">
        <v>0</v>
      </c>
      <c r="Y423" s="61">
        <v>0</v>
      </c>
      <c r="Z423" s="61">
        <v>0</v>
      </c>
      <c r="AA423" s="65">
        <v>0</v>
      </c>
      <c r="AB423" s="65">
        <v>0</v>
      </c>
      <c r="AC423" s="66"/>
      <c r="AD423" s="67">
        <f t="shared" si="173"/>
        <v>0</v>
      </c>
      <c r="AE423" s="67">
        <f t="shared" si="174"/>
        <v>0</v>
      </c>
      <c r="AF423" s="67">
        <f t="shared" si="175"/>
        <v>0</v>
      </c>
      <c r="AG423" s="67">
        <f t="shared" si="176"/>
        <v>0</v>
      </c>
      <c r="AH423" s="67">
        <f t="shared" si="177"/>
        <v>0</v>
      </c>
      <c r="AI423" s="67">
        <f t="shared" si="178"/>
        <v>0</v>
      </c>
      <c r="AJ423" s="66"/>
      <c r="AK423" s="68">
        <v>0</v>
      </c>
      <c r="AL423" s="69">
        <v>0</v>
      </c>
      <c r="AM423" s="69">
        <v>0</v>
      </c>
      <c r="AN423" s="69">
        <v>0</v>
      </c>
      <c r="AO423" s="70">
        <v>0</v>
      </c>
      <c r="AP423" s="70">
        <v>0</v>
      </c>
      <c r="AQ423" s="66"/>
      <c r="AR423" s="70" t="s">
        <v>780</v>
      </c>
      <c r="AS423" s="66"/>
      <c r="AT423" s="108">
        <v>9227.2000000000007</v>
      </c>
      <c r="AU423" s="109">
        <v>0</v>
      </c>
      <c r="AV423" s="109">
        <v>0</v>
      </c>
      <c r="AW423" s="109">
        <v>0</v>
      </c>
      <c r="AX423" s="110">
        <v>0</v>
      </c>
      <c r="AY423" s="110">
        <v>0</v>
      </c>
    </row>
    <row r="424" spans="1:51" x14ac:dyDescent="0.25">
      <c r="A424" s="8" t="s">
        <v>685</v>
      </c>
      <c r="B424" s="5" t="s">
        <v>686</v>
      </c>
      <c r="C424" s="2">
        <v>0.68999999999999773</v>
      </c>
      <c r="D424" s="24">
        <v>3000</v>
      </c>
      <c r="E424" s="26">
        <f t="shared" si="170"/>
        <v>1500</v>
      </c>
      <c r="F424" s="26">
        <v>36542</v>
      </c>
      <c r="G424" s="30">
        <f t="shared" si="171"/>
        <v>4.1048656340649116E-2</v>
      </c>
      <c r="H424" s="11"/>
      <c r="I424" s="9">
        <v>2025</v>
      </c>
      <c r="J424" s="3">
        <v>940</v>
      </c>
      <c r="K424" s="3">
        <v>872</v>
      </c>
      <c r="L424" s="3">
        <v>1654</v>
      </c>
      <c r="M424" s="6">
        <v>1163</v>
      </c>
      <c r="N424" s="6">
        <v>478</v>
      </c>
      <c r="O424" s="13"/>
      <c r="P424" s="60">
        <f t="shared" si="184"/>
        <v>1397.2499999999955</v>
      </c>
      <c r="Q424" s="61">
        <f t="shared" si="185"/>
        <v>648.59999999999786</v>
      </c>
      <c r="R424" s="61">
        <f t="shared" si="186"/>
        <v>601.67999999999802</v>
      </c>
      <c r="S424" s="62">
        <f t="shared" si="187"/>
        <v>1141.2599999999961</v>
      </c>
      <c r="T424" s="63">
        <f t="shared" si="188"/>
        <v>802.4699999999973</v>
      </c>
      <c r="U424" s="63">
        <f t="shared" si="172"/>
        <v>329.81999999999891</v>
      </c>
      <c r="V424" s="64"/>
      <c r="W424" s="60">
        <v>1492</v>
      </c>
      <c r="X424" s="61">
        <v>1235</v>
      </c>
      <c r="Y424" s="61">
        <v>2275</v>
      </c>
      <c r="Z424" s="61">
        <v>754</v>
      </c>
      <c r="AA424" s="65">
        <v>362</v>
      </c>
      <c r="AB424" s="65">
        <v>1855</v>
      </c>
      <c r="AC424" s="66"/>
      <c r="AD424" s="67">
        <f t="shared" si="173"/>
        <v>4.0829730173498988E-2</v>
      </c>
      <c r="AE424" s="67">
        <f t="shared" si="174"/>
        <v>3.3796727053801108E-2</v>
      </c>
      <c r="AF424" s="67">
        <f t="shared" si="175"/>
        <v>6.2257128783317829E-2</v>
      </c>
      <c r="AG424" s="67">
        <f t="shared" si="176"/>
        <v>2.0633791253899622E-2</v>
      </c>
      <c r="AH424" s="67">
        <f t="shared" si="177"/>
        <v>9.9064090635433196E-3</v>
      </c>
      <c r="AI424" s="67">
        <f t="shared" si="178"/>
        <v>5.0763505007936076E-2</v>
      </c>
      <c r="AJ424" s="66"/>
      <c r="AK424" s="68">
        <v>1850.5399999999991</v>
      </c>
      <c r="AL424" s="69">
        <v>1054.9499999999996</v>
      </c>
      <c r="AM424" s="69">
        <v>1054.9499999999996</v>
      </c>
      <c r="AN424" s="69">
        <v>1319.6699999999978</v>
      </c>
      <c r="AO424" s="70">
        <v>480.42999999999898</v>
      </c>
      <c r="AP424" s="70">
        <v>902.06</v>
      </c>
      <c r="AQ424" s="66"/>
      <c r="AR424" s="70" t="s">
        <v>780</v>
      </c>
      <c r="AS424" s="66"/>
      <c r="AT424" s="108">
        <v>70253.72</v>
      </c>
      <c r="AU424" s="109">
        <v>32646.05</v>
      </c>
      <c r="AV424" s="109">
        <v>30202.739999999998</v>
      </c>
      <c r="AW424" s="109">
        <v>57162.950000000004</v>
      </c>
      <c r="AX424" s="110">
        <v>42346.450000000004</v>
      </c>
      <c r="AY424" s="110">
        <v>16301.259999999998</v>
      </c>
    </row>
    <row r="425" spans="1:51" x14ac:dyDescent="0.25">
      <c r="A425" s="8">
        <v>465</v>
      </c>
      <c r="B425" s="5" t="s">
        <v>634</v>
      </c>
      <c r="C425" s="2">
        <v>0.67999999999999972</v>
      </c>
      <c r="D425" s="24">
        <v>5000</v>
      </c>
      <c r="E425" s="26">
        <f t="shared" si="170"/>
        <v>2500</v>
      </c>
      <c r="F425" s="26">
        <v>10360</v>
      </c>
      <c r="G425" s="30">
        <f t="shared" si="171"/>
        <v>0.2413127413127413</v>
      </c>
      <c r="H425" s="11"/>
      <c r="I425" s="9">
        <v>0</v>
      </c>
      <c r="J425" s="3">
        <v>0</v>
      </c>
      <c r="K425" s="3">
        <v>0</v>
      </c>
      <c r="L425" s="3">
        <v>1000</v>
      </c>
      <c r="M425" s="6">
        <v>1117</v>
      </c>
      <c r="N425" s="6">
        <v>0</v>
      </c>
      <c r="O425" s="13"/>
      <c r="P425" s="60">
        <f t="shared" si="184"/>
        <v>0</v>
      </c>
      <c r="Q425" s="61">
        <f t="shared" si="185"/>
        <v>0</v>
      </c>
      <c r="R425" s="61">
        <f t="shared" si="186"/>
        <v>0</v>
      </c>
      <c r="S425" s="62">
        <f t="shared" si="187"/>
        <v>679.99999999999977</v>
      </c>
      <c r="T425" s="63">
        <f t="shared" si="188"/>
        <v>759.55999999999972</v>
      </c>
      <c r="U425" s="63">
        <f t="shared" si="172"/>
        <v>0</v>
      </c>
      <c r="V425" s="64"/>
      <c r="W425" s="60">
        <v>0</v>
      </c>
      <c r="X425" s="61">
        <v>0</v>
      </c>
      <c r="Y425" s="61">
        <v>0</v>
      </c>
      <c r="Z425" s="61">
        <v>0</v>
      </c>
      <c r="AA425" s="65">
        <v>371</v>
      </c>
      <c r="AB425" s="65">
        <v>1937</v>
      </c>
      <c r="AC425" s="66"/>
      <c r="AD425" s="67">
        <f t="shared" si="173"/>
        <v>0</v>
      </c>
      <c r="AE425" s="67">
        <f t="shared" si="174"/>
        <v>0</v>
      </c>
      <c r="AF425" s="67">
        <f t="shared" si="175"/>
        <v>0</v>
      </c>
      <c r="AG425" s="67">
        <f t="shared" si="176"/>
        <v>0</v>
      </c>
      <c r="AH425" s="67">
        <f t="shared" si="177"/>
        <v>3.5810810810810813E-2</v>
      </c>
      <c r="AI425" s="67">
        <f t="shared" si="178"/>
        <v>0.18696911196911198</v>
      </c>
      <c r="AJ425" s="66"/>
      <c r="AK425" s="68">
        <v>0</v>
      </c>
      <c r="AL425" s="69">
        <v>0</v>
      </c>
      <c r="AM425" s="69">
        <v>0</v>
      </c>
      <c r="AN425" s="69">
        <v>0</v>
      </c>
      <c r="AO425" s="70">
        <v>252.27999999999989</v>
      </c>
      <c r="AP425" s="70">
        <v>1512.3299999999699</v>
      </c>
      <c r="AQ425" s="66"/>
      <c r="AR425" s="70" t="s">
        <v>780</v>
      </c>
      <c r="AS425" s="66"/>
      <c r="AT425" s="108">
        <v>0</v>
      </c>
      <c r="AU425" s="109">
        <v>0</v>
      </c>
      <c r="AV425" s="109">
        <v>0</v>
      </c>
      <c r="AW425" s="109">
        <v>17050</v>
      </c>
      <c r="AX425" s="110">
        <v>18698.579999999998</v>
      </c>
      <c r="AY425" s="110">
        <v>0</v>
      </c>
    </row>
    <row r="426" spans="1:51" x14ac:dyDescent="0.25">
      <c r="A426" s="8" t="s">
        <v>513</v>
      </c>
      <c r="B426" s="5" t="s">
        <v>514</v>
      </c>
      <c r="C426" s="2">
        <v>0.67999999999999972</v>
      </c>
      <c r="D426" s="24">
        <v>3000</v>
      </c>
      <c r="E426" s="26">
        <f t="shared" si="170"/>
        <v>1500</v>
      </c>
      <c r="F426" s="26">
        <v>4624</v>
      </c>
      <c r="G426" s="30">
        <f t="shared" si="171"/>
        <v>0.32439446366782004</v>
      </c>
      <c r="H426" s="11"/>
      <c r="I426" s="9">
        <v>0</v>
      </c>
      <c r="J426" s="3">
        <v>0</v>
      </c>
      <c r="K426" s="3">
        <v>0</v>
      </c>
      <c r="L426" s="3">
        <v>0</v>
      </c>
      <c r="M426" s="6">
        <v>400</v>
      </c>
      <c r="N426" s="6">
        <v>496</v>
      </c>
      <c r="O426" s="13"/>
      <c r="P426" s="60">
        <f t="shared" si="184"/>
        <v>0</v>
      </c>
      <c r="Q426" s="61">
        <f t="shared" si="185"/>
        <v>0</v>
      </c>
      <c r="R426" s="61">
        <f t="shared" si="186"/>
        <v>0</v>
      </c>
      <c r="S426" s="62">
        <f t="shared" si="187"/>
        <v>0</v>
      </c>
      <c r="T426" s="63">
        <f t="shared" si="188"/>
        <v>271.99999999999989</v>
      </c>
      <c r="U426" s="63">
        <f t="shared" si="172"/>
        <v>337.27999999999986</v>
      </c>
      <c r="V426" s="64"/>
      <c r="W426" s="60">
        <v>1106</v>
      </c>
      <c r="X426" s="61">
        <v>1312</v>
      </c>
      <c r="Y426" s="61">
        <v>1054</v>
      </c>
      <c r="Z426" s="61">
        <v>1138</v>
      </c>
      <c r="AA426" s="65">
        <v>1358</v>
      </c>
      <c r="AB426" s="65">
        <v>1202</v>
      </c>
      <c r="AC426" s="66"/>
      <c r="AD426" s="67">
        <f t="shared" si="173"/>
        <v>0.23918685121107267</v>
      </c>
      <c r="AE426" s="67">
        <f t="shared" si="174"/>
        <v>0.2837370242214533</v>
      </c>
      <c r="AF426" s="67">
        <f t="shared" si="175"/>
        <v>0.22794117647058823</v>
      </c>
      <c r="AG426" s="67">
        <f t="shared" si="176"/>
        <v>0.24610726643598616</v>
      </c>
      <c r="AH426" s="67">
        <f t="shared" si="177"/>
        <v>0.29368512110726641</v>
      </c>
      <c r="AI426" s="67">
        <f t="shared" si="178"/>
        <v>0.25994809688581316</v>
      </c>
      <c r="AJ426" s="66"/>
      <c r="AK426" s="68">
        <v>767.12000000000012</v>
      </c>
      <c r="AL426" s="69">
        <v>454.93999999999988</v>
      </c>
      <c r="AM426" s="69">
        <v>454.93999999999983</v>
      </c>
      <c r="AN426" s="69">
        <v>154.87999999999974</v>
      </c>
      <c r="AO426" s="70">
        <v>262.91999999999899</v>
      </c>
      <c r="AP426" s="70">
        <v>312.20999999999799</v>
      </c>
      <c r="AQ426" s="66"/>
      <c r="AR426" s="70" t="s">
        <v>780</v>
      </c>
      <c r="AS426" s="66"/>
      <c r="AT426" s="108">
        <v>0</v>
      </c>
      <c r="AU426" s="109">
        <v>0</v>
      </c>
      <c r="AV426" s="109">
        <v>0</v>
      </c>
      <c r="AW426" s="109">
        <v>0</v>
      </c>
      <c r="AX426" s="110">
        <v>2920</v>
      </c>
      <c r="AY426" s="110">
        <v>3628.6400000000003</v>
      </c>
    </row>
    <row r="427" spans="1:51" x14ac:dyDescent="0.25">
      <c r="A427" s="8" t="s">
        <v>223</v>
      </c>
      <c r="B427" s="5" t="s">
        <v>224</v>
      </c>
      <c r="C427" s="2">
        <v>0.66000000000000014</v>
      </c>
      <c r="D427" s="24">
        <v>3000</v>
      </c>
      <c r="E427" s="26">
        <f t="shared" si="170"/>
        <v>1500</v>
      </c>
      <c r="F427" s="26">
        <v>31761</v>
      </c>
      <c r="G427" s="30">
        <f t="shared" si="171"/>
        <v>4.7227732124303388E-2</v>
      </c>
      <c r="H427" s="11"/>
      <c r="I427" s="9">
        <v>1980</v>
      </c>
      <c r="J427" s="3">
        <v>648</v>
      </c>
      <c r="K427" s="3">
        <v>815</v>
      </c>
      <c r="L427" s="3">
        <v>558</v>
      </c>
      <c r="M427" s="6">
        <v>244</v>
      </c>
      <c r="N427" s="6">
        <v>616</v>
      </c>
      <c r="O427" s="13"/>
      <c r="P427" s="60">
        <f t="shared" si="184"/>
        <v>1306.8000000000002</v>
      </c>
      <c r="Q427" s="61">
        <f t="shared" si="185"/>
        <v>427.68000000000006</v>
      </c>
      <c r="R427" s="61">
        <f t="shared" si="186"/>
        <v>537.90000000000009</v>
      </c>
      <c r="S427" s="62">
        <f t="shared" si="187"/>
        <v>368.28000000000009</v>
      </c>
      <c r="T427" s="63">
        <f t="shared" si="188"/>
        <v>161.04000000000002</v>
      </c>
      <c r="U427" s="63">
        <f t="shared" si="172"/>
        <v>406.56000000000006</v>
      </c>
      <c r="V427" s="64"/>
      <c r="W427" s="60">
        <v>1248</v>
      </c>
      <c r="X427" s="61">
        <v>2203</v>
      </c>
      <c r="Y427" s="61">
        <v>722</v>
      </c>
      <c r="Z427" s="61">
        <v>732</v>
      </c>
      <c r="AA427" s="65">
        <v>642</v>
      </c>
      <c r="AB427" s="65">
        <v>237</v>
      </c>
      <c r="AC427" s="66"/>
      <c r="AD427" s="67">
        <f t="shared" si="173"/>
        <v>3.9293473127420424E-2</v>
      </c>
      <c r="AE427" s="67">
        <f t="shared" si="174"/>
        <v>6.9361795913226915E-2</v>
      </c>
      <c r="AF427" s="67">
        <f t="shared" si="175"/>
        <v>2.2732281729164697E-2</v>
      </c>
      <c r="AG427" s="67">
        <f t="shared" si="176"/>
        <v>2.3047133276660053E-2</v>
      </c>
      <c r="AH427" s="67">
        <f t="shared" si="177"/>
        <v>2.0213469349201853E-2</v>
      </c>
      <c r="AI427" s="67">
        <f t="shared" si="178"/>
        <v>7.4619816756399358E-3</v>
      </c>
      <c r="AJ427" s="66"/>
      <c r="AK427" s="68">
        <v>751.21000000000015</v>
      </c>
      <c r="AL427" s="69">
        <v>998.65999999999735</v>
      </c>
      <c r="AM427" s="69">
        <v>998.65999999999713</v>
      </c>
      <c r="AN427" s="69">
        <v>457.6499999999989</v>
      </c>
      <c r="AO427" s="70">
        <v>447.849999999999</v>
      </c>
      <c r="AP427" s="70">
        <v>116.62</v>
      </c>
      <c r="AQ427" s="66"/>
      <c r="AR427" s="70" t="s">
        <v>779</v>
      </c>
      <c r="AS427" s="66"/>
      <c r="AT427" s="108">
        <v>3563.19</v>
      </c>
      <c r="AU427" s="109">
        <v>1122.68</v>
      </c>
      <c r="AV427" s="109">
        <v>1479.5900000000001</v>
      </c>
      <c r="AW427" s="109">
        <v>946.66000000000008</v>
      </c>
      <c r="AX427" s="110">
        <v>443.24</v>
      </c>
      <c r="AY427" s="110">
        <v>1121.28</v>
      </c>
    </row>
    <row r="428" spans="1:51" x14ac:dyDescent="0.25">
      <c r="A428" s="8" t="s">
        <v>814</v>
      </c>
      <c r="B428" s="5" t="s">
        <v>857</v>
      </c>
      <c r="C428" s="2">
        <v>0.65941639813820174</v>
      </c>
      <c r="D428" s="24">
        <v>1000</v>
      </c>
      <c r="E428" s="26">
        <f t="shared" si="170"/>
        <v>500</v>
      </c>
      <c r="F428" s="26">
        <v>7298</v>
      </c>
      <c r="G428" s="30">
        <f t="shared" si="171"/>
        <v>6.8511921074266929E-2</v>
      </c>
      <c r="H428" s="11"/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6">
        <v>2193</v>
      </c>
      <c r="O428" s="13"/>
      <c r="P428" s="60"/>
      <c r="Q428" s="61"/>
      <c r="R428" s="61"/>
      <c r="S428" s="62"/>
      <c r="T428" s="63"/>
      <c r="U428" s="63">
        <f t="shared" si="172"/>
        <v>1446.1001611170764</v>
      </c>
      <c r="V428" s="64"/>
      <c r="W428" s="60"/>
      <c r="X428" s="61"/>
      <c r="Y428" s="61"/>
      <c r="Z428" s="61"/>
      <c r="AA428" s="65"/>
      <c r="AB428" s="65"/>
      <c r="AC428" s="66"/>
      <c r="AD428" s="67">
        <f t="shared" si="173"/>
        <v>0</v>
      </c>
      <c r="AE428" s="67">
        <f t="shared" si="174"/>
        <v>0</v>
      </c>
      <c r="AF428" s="67">
        <f t="shared" si="175"/>
        <v>0</v>
      </c>
      <c r="AG428" s="67">
        <f t="shared" si="176"/>
        <v>0</v>
      </c>
      <c r="AH428" s="67">
        <f t="shared" si="177"/>
        <v>0</v>
      </c>
      <c r="AI428" s="67">
        <f t="shared" si="178"/>
        <v>0</v>
      </c>
      <c r="AJ428" s="66"/>
      <c r="AK428" s="68"/>
      <c r="AL428" s="69"/>
      <c r="AM428" s="69"/>
      <c r="AN428" s="69"/>
      <c r="AO428" s="70"/>
      <c r="AP428" s="70"/>
      <c r="AQ428" s="66"/>
      <c r="AR428" s="70" t="s">
        <v>780</v>
      </c>
      <c r="AS428" s="66"/>
      <c r="AT428" s="108">
        <v>2929</v>
      </c>
      <c r="AU428" s="109">
        <v>44801.599999999999</v>
      </c>
      <c r="AV428" s="109">
        <v>174337.90999999997</v>
      </c>
      <c r="AW428" s="109">
        <v>156581.09000000003</v>
      </c>
      <c r="AX428" s="110">
        <v>94974.99</v>
      </c>
      <c r="AY428" s="110">
        <v>62235.11</v>
      </c>
    </row>
    <row r="429" spans="1:51" x14ac:dyDescent="0.25">
      <c r="A429" s="8" t="s">
        <v>586</v>
      </c>
      <c r="B429" s="5" t="s">
        <v>587</v>
      </c>
      <c r="C429" s="2">
        <v>0.65000000000000036</v>
      </c>
      <c r="D429" s="24">
        <v>605.20000000000005</v>
      </c>
      <c r="E429" s="26">
        <f t="shared" si="170"/>
        <v>302.60000000000002</v>
      </c>
      <c r="F429" s="26">
        <v>812</v>
      </c>
      <c r="G429" s="30">
        <f t="shared" si="171"/>
        <v>0.37266009852216753</v>
      </c>
      <c r="H429" s="11"/>
      <c r="I429" s="9">
        <v>1432</v>
      </c>
      <c r="J429" s="3">
        <v>0</v>
      </c>
      <c r="K429" s="3">
        <v>0</v>
      </c>
      <c r="L429" s="3">
        <v>0</v>
      </c>
      <c r="M429" s="6"/>
      <c r="N429" s="6">
        <v>0</v>
      </c>
      <c r="O429" s="13"/>
      <c r="P429" s="60">
        <f t="shared" ref="P429:P473" si="189">+I429*C429</f>
        <v>930.80000000000052</v>
      </c>
      <c r="Q429" s="61">
        <f t="shared" ref="Q429:Q473" si="190">+J429*C429</f>
        <v>0</v>
      </c>
      <c r="R429" s="61">
        <f t="shared" ref="R429:R473" si="191">+K429*C429</f>
        <v>0</v>
      </c>
      <c r="S429" s="62">
        <f t="shared" ref="S429:S473" si="192">+L429*C429</f>
        <v>0</v>
      </c>
      <c r="T429" s="63">
        <f t="shared" ref="T429:T473" si="193">+M429*C429</f>
        <v>0</v>
      </c>
      <c r="U429" s="63">
        <f t="shared" si="172"/>
        <v>0</v>
      </c>
      <c r="V429" s="64"/>
      <c r="W429" s="60">
        <v>314</v>
      </c>
      <c r="X429" s="61">
        <v>310</v>
      </c>
      <c r="Y429" s="61">
        <v>289</v>
      </c>
      <c r="Z429" s="61">
        <v>310</v>
      </c>
      <c r="AA429" s="65">
        <v>290</v>
      </c>
      <c r="AB429" s="65">
        <v>327</v>
      </c>
      <c r="AC429" s="66"/>
      <c r="AD429" s="67">
        <f t="shared" si="173"/>
        <v>0.38669950738916259</v>
      </c>
      <c r="AE429" s="67">
        <f t="shared" si="174"/>
        <v>0.3817733990147783</v>
      </c>
      <c r="AF429" s="67">
        <f t="shared" si="175"/>
        <v>0.35591133004926107</v>
      </c>
      <c r="AG429" s="67">
        <f t="shared" si="176"/>
        <v>0.3817733990147783</v>
      </c>
      <c r="AH429" s="67">
        <f t="shared" si="177"/>
        <v>0.35714285714285715</v>
      </c>
      <c r="AI429" s="67">
        <f t="shared" si="178"/>
        <v>0.40270935960591131</v>
      </c>
      <c r="AJ429" s="66"/>
      <c r="AK429" s="68">
        <v>2232.4699999999998</v>
      </c>
      <c r="AL429" s="69">
        <v>1586.239999999998</v>
      </c>
      <c r="AM429" s="69">
        <v>1586.2399999999977</v>
      </c>
      <c r="AN429" s="69">
        <v>1039.8199999999997</v>
      </c>
      <c r="AO429" s="70">
        <v>632.11999999999796</v>
      </c>
      <c r="AP429" s="70">
        <v>181.79</v>
      </c>
      <c r="AQ429" s="66"/>
      <c r="AR429" s="70" t="s">
        <v>780</v>
      </c>
      <c r="AS429" s="66"/>
      <c r="AT429" s="108">
        <v>17366.850000000002</v>
      </c>
      <c r="AU429" s="109">
        <v>0</v>
      </c>
      <c r="AV429" s="109">
        <v>0</v>
      </c>
      <c r="AW429" s="109">
        <v>0</v>
      </c>
      <c r="AX429" s="110">
        <v>0</v>
      </c>
      <c r="AY429" s="110">
        <v>0</v>
      </c>
    </row>
    <row r="430" spans="1:51" x14ac:dyDescent="0.25">
      <c r="A430" s="8">
        <v>6026</v>
      </c>
      <c r="B430" s="5" t="s">
        <v>465</v>
      </c>
      <c r="C430" s="2">
        <v>0.64999999999999947</v>
      </c>
      <c r="D430" s="24">
        <v>3000</v>
      </c>
      <c r="E430" s="26">
        <f t="shared" si="170"/>
        <v>1500</v>
      </c>
      <c r="F430" s="26">
        <v>68433</v>
      </c>
      <c r="G430" s="30">
        <f t="shared" si="171"/>
        <v>2.1919249484897638E-2</v>
      </c>
      <c r="H430" s="11"/>
      <c r="I430" s="9">
        <v>197</v>
      </c>
      <c r="J430" s="3">
        <v>0</v>
      </c>
      <c r="K430" s="3">
        <v>0</v>
      </c>
      <c r="L430" s="3">
        <v>99</v>
      </c>
      <c r="M430" s="6"/>
      <c r="N430" s="6">
        <v>72</v>
      </c>
      <c r="O430" s="13"/>
      <c r="P430" s="60">
        <f t="shared" si="189"/>
        <v>128.0499999999999</v>
      </c>
      <c r="Q430" s="61">
        <f t="shared" si="190"/>
        <v>0</v>
      </c>
      <c r="R430" s="61">
        <f t="shared" si="191"/>
        <v>0</v>
      </c>
      <c r="S430" s="62">
        <f t="shared" si="192"/>
        <v>64.349999999999952</v>
      </c>
      <c r="T430" s="63">
        <f t="shared" si="193"/>
        <v>0</v>
      </c>
      <c r="U430" s="63">
        <f t="shared" si="172"/>
        <v>46.799999999999962</v>
      </c>
      <c r="V430" s="64"/>
      <c r="W430" s="60">
        <v>500</v>
      </c>
      <c r="X430" s="61">
        <v>195</v>
      </c>
      <c r="Y430" s="61">
        <v>498</v>
      </c>
      <c r="Z430" s="61">
        <v>0</v>
      </c>
      <c r="AA430" s="65">
        <v>93</v>
      </c>
      <c r="AB430" s="65">
        <v>0</v>
      </c>
      <c r="AC430" s="66"/>
      <c r="AD430" s="67">
        <f t="shared" si="173"/>
        <v>7.3064164949658787E-3</v>
      </c>
      <c r="AE430" s="67">
        <f t="shared" si="174"/>
        <v>2.8495024330366927E-3</v>
      </c>
      <c r="AF430" s="67">
        <f t="shared" si="175"/>
        <v>7.2771908289860155E-3</v>
      </c>
      <c r="AG430" s="67">
        <f t="shared" si="176"/>
        <v>0</v>
      </c>
      <c r="AH430" s="67">
        <f t="shared" si="177"/>
        <v>1.3589934680636536E-3</v>
      </c>
      <c r="AI430" s="67">
        <f t="shared" si="178"/>
        <v>0</v>
      </c>
      <c r="AJ430" s="66"/>
      <c r="AK430" s="68">
        <v>94.74</v>
      </c>
      <c r="AL430" s="69">
        <v>155.42000000000002</v>
      </c>
      <c r="AM430" s="69">
        <v>155.42000000000002</v>
      </c>
      <c r="AN430" s="69">
        <v>282.27999999999997</v>
      </c>
      <c r="AO430" s="70">
        <v>60.449999999999953</v>
      </c>
      <c r="AP430" s="70">
        <v>0</v>
      </c>
      <c r="AQ430" s="66"/>
      <c r="AR430" s="70" t="s">
        <v>780</v>
      </c>
      <c r="AS430" s="66"/>
      <c r="AT430" s="108">
        <v>1298.23</v>
      </c>
      <c r="AU430" s="109">
        <v>0</v>
      </c>
      <c r="AV430" s="109">
        <v>0</v>
      </c>
      <c r="AW430" s="109">
        <v>630.63</v>
      </c>
      <c r="AX430" s="110">
        <v>0</v>
      </c>
      <c r="AY430" s="110">
        <v>459.36</v>
      </c>
    </row>
    <row r="431" spans="1:51" x14ac:dyDescent="0.25">
      <c r="A431" s="8" t="s">
        <v>471</v>
      </c>
      <c r="B431" s="5" t="s">
        <v>472</v>
      </c>
      <c r="C431" s="2">
        <v>0.64000000000000057</v>
      </c>
      <c r="D431" s="24">
        <v>400</v>
      </c>
      <c r="E431" s="26">
        <f t="shared" si="170"/>
        <v>200</v>
      </c>
      <c r="F431" s="26">
        <v>5357</v>
      </c>
      <c r="G431" s="30">
        <f t="shared" si="171"/>
        <v>3.7334328915437746E-2</v>
      </c>
      <c r="H431" s="11"/>
      <c r="I431" s="9">
        <v>200</v>
      </c>
      <c r="J431" s="3">
        <v>0</v>
      </c>
      <c r="K431" s="3">
        <v>0</v>
      </c>
      <c r="L431" s="3">
        <v>0</v>
      </c>
      <c r="M431" s="6"/>
      <c r="N431" s="6">
        <v>0</v>
      </c>
      <c r="O431" s="13"/>
      <c r="P431" s="60">
        <f t="shared" si="189"/>
        <v>128.00000000000011</v>
      </c>
      <c r="Q431" s="61">
        <f t="shared" si="190"/>
        <v>0</v>
      </c>
      <c r="R431" s="61">
        <f t="shared" si="191"/>
        <v>0</v>
      </c>
      <c r="S431" s="62">
        <f t="shared" si="192"/>
        <v>0</v>
      </c>
      <c r="T431" s="63">
        <f t="shared" si="193"/>
        <v>0</v>
      </c>
      <c r="U431" s="63">
        <f t="shared" si="172"/>
        <v>0</v>
      </c>
      <c r="V431" s="64"/>
      <c r="W431" s="60">
        <v>-16</v>
      </c>
      <c r="X431" s="61">
        <v>0</v>
      </c>
      <c r="Y431" s="61">
        <v>0</v>
      </c>
      <c r="Z431" s="61">
        <v>0</v>
      </c>
      <c r="AA431" s="65">
        <v>61</v>
      </c>
      <c r="AB431" s="65">
        <v>52</v>
      </c>
      <c r="AC431" s="66"/>
      <c r="AD431" s="67">
        <f t="shared" si="173"/>
        <v>-2.9867463132350197E-3</v>
      </c>
      <c r="AE431" s="67">
        <f t="shared" si="174"/>
        <v>0</v>
      </c>
      <c r="AF431" s="67">
        <f t="shared" si="175"/>
        <v>0</v>
      </c>
      <c r="AG431" s="67">
        <f t="shared" si="176"/>
        <v>0</v>
      </c>
      <c r="AH431" s="67">
        <f t="shared" si="177"/>
        <v>1.1386970319208512E-2</v>
      </c>
      <c r="AI431" s="67">
        <f t="shared" si="178"/>
        <v>9.7069255180138141E-3</v>
      </c>
      <c r="AJ431" s="66"/>
      <c r="AK431" s="68">
        <v>5.08</v>
      </c>
      <c r="AL431" s="69">
        <v>0</v>
      </c>
      <c r="AM431" s="69">
        <v>0</v>
      </c>
      <c r="AN431" s="69">
        <v>0</v>
      </c>
      <c r="AO431" s="70">
        <v>39.040000000000035</v>
      </c>
      <c r="AP431" s="70">
        <v>40.950000000000003</v>
      </c>
      <c r="AQ431" s="66"/>
      <c r="AR431" s="70" t="s">
        <v>780</v>
      </c>
      <c r="AS431" s="66"/>
      <c r="AT431" s="108">
        <v>1250.5</v>
      </c>
      <c r="AU431" s="109">
        <v>0</v>
      </c>
      <c r="AV431" s="109">
        <v>0</v>
      </c>
      <c r="AW431" s="109">
        <v>0</v>
      </c>
      <c r="AX431" s="110">
        <v>0</v>
      </c>
      <c r="AY431" s="110">
        <v>0</v>
      </c>
    </row>
    <row r="432" spans="1:51" x14ac:dyDescent="0.25">
      <c r="A432" s="8">
        <v>5993</v>
      </c>
      <c r="B432" s="5" t="s">
        <v>347</v>
      </c>
      <c r="C432" s="2">
        <v>0.61999999999999966</v>
      </c>
      <c r="D432" s="24">
        <v>4000</v>
      </c>
      <c r="E432" s="26">
        <f t="shared" si="170"/>
        <v>2000</v>
      </c>
      <c r="F432" s="26">
        <v>3658</v>
      </c>
      <c r="G432" s="30">
        <f t="shared" si="171"/>
        <v>0.54674685620557684</v>
      </c>
      <c r="H432" s="11"/>
      <c r="I432" s="9">
        <v>898</v>
      </c>
      <c r="J432" s="3">
        <v>350</v>
      </c>
      <c r="K432" s="3">
        <v>352</v>
      </c>
      <c r="L432" s="3">
        <v>0</v>
      </c>
      <c r="M432" s="6">
        <v>370</v>
      </c>
      <c r="N432" s="6">
        <v>2233</v>
      </c>
      <c r="O432" s="13"/>
      <c r="P432" s="60">
        <f t="shared" si="189"/>
        <v>556.75999999999965</v>
      </c>
      <c r="Q432" s="61">
        <f t="shared" si="190"/>
        <v>216.99999999999989</v>
      </c>
      <c r="R432" s="61">
        <f t="shared" si="191"/>
        <v>218.2399999999999</v>
      </c>
      <c r="S432" s="62">
        <f t="shared" si="192"/>
        <v>0</v>
      </c>
      <c r="T432" s="63">
        <f t="shared" si="193"/>
        <v>229.39999999999986</v>
      </c>
      <c r="U432" s="63">
        <f t="shared" si="172"/>
        <v>1384.4599999999994</v>
      </c>
      <c r="V432" s="64"/>
      <c r="W432" s="60">
        <v>2507</v>
      </c>
      <c r="X432" s="61">
        <v>1153</v>
      </c>
      <c r="Y432" s="61">
        <v>2895</v>
      </c>
      <c r="Z432" s="61">
        <v>1310</v>
      </c>
      <c r="AA432" s="65">
        <v>2002</v>
      </c>
      <c r="AB432" s="65">
        <v>822</v>
      </c>
      <c r="AC432" s="66"/>
      <c r="AD432" s="67">
        <f t="shared" si="173"/>
        <v>0.68534718425369057</v>
      </c>
      <c r="AE432" s="67">
        <f t="shared" si="174"/>
        <v>0.31519956260251503</v>
      </c>
      <c r="AF432" s="67">
        <f t="shared" si="175"/>
        <v>0.79141607435757244</v>
      </c>
      <c r="AG432" s="67">
        <f t="shared" si="176"/>
        <v>0.35811919081465282</v>
      </c>
      <c r="AH432" s="67">
        <f t="shared" si="177"/>
        <v>0.54729360306178243</v>
      </c>
      <c r="AI432" s="67">
        <f t="shared" si="178"/>
        <v>0.22471295790049206</v>
      </c>
      <c r="AJ432" s="66"/>
      <c r="AK432" s="68">
        <v>614.88000000000022</v>
      </c>
      <c r="AL432" s="69">
        <v>712.70999999999947</v>
      </c>
      <c r="AM432" s="69">
        <v>712.70999999999935</v>
      </c>
      <c r="AN432" s="69">
        <v>1790.8699999999974</v>
      </c>
      <c r="AO432" s="70">
        <v>581.86000000000297</v>
      </c>
      <c r="AP432" s="70">
        <v>467.87000000000103</v>
      </c>
      <c r="AQ432" s="66"/>
      <c r="AR432" s="70" t="s">
        <v>779</v>
      </c>
      <c r="AS432" s="66"/>
      <c r="AT432" s="108">
        <v>2963.4</v>
      </c>
      <c r="AU432" s="109">
        <v>1155.5</v>
      </c>
      <c r="AV432" s="109">
        <v>1122.8800000000001</v>
      </c>
      <c r="AW432" s="109">
        <v>0</v>
      </c>
      <c r="AX432" s="110">
        <v>1172.9000000000001</v>
      </c>
      <c r="AY432" s="110">
        <v>7201.6200000000008</v>
      </c>
    </row>
    <row r="433" spans="1:51" x14ac:dyDescent="0.25">
      <c r="A433" s="8">
        <v>5593</v>
      </c>
      <c r="B433" s="5" t="s">
        <v>374</v>
      </c>
      <c r="C433" s="2">
        <v>0.61000000000000032</v>
      </c>
      <c r="D433" s="24">
        <v>1200</v>
      </c>
      <c r="E433" s="26">
        <f t="shared" si="170"/>
        <v>600</v>
      </c>
      <c r="F433" s="26">
        <v>3107</v>
      </c>
      <c r="G433" s="30">
        <f t="shared" si="171"/>
        <v>0.19311232700354039</v>
      </c>
      <c r="H433" s="11"/>
      <c r="I433" s="9">
        <v>45</v>
      </c>
      <c r="J433" s="3">
        <v>59</v>
      </c>
      <c r="K433" s="3">
        <v>162</v>
      </c>
      <c r="L433" s="3">
        <v>323</v>
      </c>
      <c r="M433" s="6">
        <v>354</v>
      </c>
      <c r="N433" s="6">
        <v>270</v>
      </c>
      <c r="O433" s="13"/>
      <c r="P433" s="60">
        <f t="shared" si="189"/>
        <v>27.450000000000014</v>
      </c>
      <c r="Q433" s="61">
        <f t="shared" si="190"/>
        <v>35.990000000000016</v>
      </c>
      <c r="R433" s="61">
        <f t="shared" si="191"/>
        <v>98.82000000000005</v>
      </c>
      <c r="S433" s="62">
        <f t="shared" si="192"/>
        <v>197.03000000000011</v>
      </c>
      <c r="T433" s="63">
        <f t="shared" si="193"/>
        <v>215.94000000000011</v>
      </c>
      <c r="U433" s="63">
        <f t="shared" si="172"/>
        <v>164.70000000000007</v>
      </c>
      <c r="V433" s="64"/>
      <c r="W433" s="60">
        <v>199</v>
      </c>
      <c r="X433" s="61">
        <v>0</v>
      </c>
      <c r="Y433" s="61">
        <v>101</v>
      </c>
      <c r="Z433" s="61">
        <v>176</v>
      </c>
      <c r="AA433" s="65">
        <v>298</v>
      </c>
      <c r="AB433" s="65">
        <v>353</v>
      </c>
      <c r="AC433" s="66"/>
      <c r="AD433" s="67">
        <f t="shared" si="173"/>
        <v>6.4048921789507565E-2</v>
      </c>
      <c r="AE433" s="67">
        <f t="shared" si="174"/>
        <v>0</v>
      </c>
      <c r="AF433" s="67">
        <f t="shared" si="175"/>
        <v>3.250724171226263E-2</v>
      </c>
      <c r="AG433" s="67">
        <f t="shared" si="176"/>
        <v>5.6646282587705182E-2</v>
      </c>
      <c r="AH433" s="67">
        <f t="shared" si="177"/>
        <v>9.5912455745091732E-2</v>
      </c>
      <c r="AI433" s="67">
        <f t="shared" si="178"/>
        <v>0.1136144190537496</v>
      </c>
      <c r="AJ433" s="66"/>
      <c r="AK433" s="68">
        <v>103.75</v>
      </c>
      <c r="AL433" s="69">
        <v>0</v>
      </c>
      <c r="AM433" s="69">
        <v>61.610000000000035</v>
      </c>
      <c r="AN433" s="69">
        <v>49.719999999999992</v>
      </c>
      <c r="AO433" s="70">
        <v>65.38</v>
      </c>
      <c r="AP433" s="70">
        <v>271.22000000000003</v>
      </c>
      <c r="AQ433" s="66"/>
      <c r="AR433" s="70" t="s">
        <v>779</v>
      </c>
      <c r="AS433" s="66"/>
      <c r="AT433" s="108">
        <v>164.7</v>
      </c>
      <c r="AU433" s="109">
        <v>211.22</v>
      </c>
      <c r="AV433" s="109">
        <v>579.26</v>
      </c>
      <c r="AW433" s="109">
        <v>1156.3500000000001</v>
      </c>
      <c r="AX433" s="110">
        <v>1273.3899999999999</v>
      </c>
      <c r="AY433" s="110">
        <v>976.86999999999989</v>
      </c>
    </row>
    <row r="434" spans="1:51" x14ac:dyDescent="0.25">
      <c r="A434" s="8" t="s">
        <v>314</v>
      </c>
      <c r="B434" s="5" t="s">
        <v>315</v>
      </c>
      <c r="C434" s="2">
        <v>0.59999999999999964</v>
      </c>
      <c r="D434" s="24">
        <v>1000</v>
      </c>
      <c r="E434" s="26">
        <f t="shared" si="170"/>
        <v>500</v>
      </c>
      <c r="F434" s="26">
        <v>4290</v>
      </c>
      <c r="G434" s="30">
        <f t="shared" si="171"/>
        <v>0.11655011655011654</v>
      </c>
      <c r="H434" s="11"/>
      <c r="I434" s="9">
        <v>0</v>
      </c>
      <c r="J434" s="3">
        <v>0</v>
      </c>
      <c r="K434" s="3">
        <v>551</v>
      </c>
      <c r="L434" s="3">
        <v>420</v>
      </c>
      <c r="M434" s="6">
        <v>500</v>
      </c>
      <c r="N434" s="6">
        <v>100</v>
      </c>
      <c r="O434" s="13"/>
      <c r="P434" s="60">
        <f t="shared" si="189"/>
        <v>0</v>
      </c>
      <c r="Q434" s="61">
        <f t="shared" si="190"/>
        <v>0</v>
      </c>
      <c r="R434" s="61">
        <f t="shared" si="191"/>
        <v>330.5999999999998</v>
      </c>
      <c r="S434" s="62">
        <f t="shared" si="192"/>
        <v>251.99999999999986</v>
      </c>
      <c r="T434" s="63">
        <f t="shared" si="193"/>
        <v>299.99999999999983</v>
      </c>
      <c r="U434" s="63">
        <f t="shared" si="172"/>
        <v>59.999999999999964</v>
      </c>
      <c r="V434" s="64"/>
      <c r="W434" s="60">
        <v>183</v>
      </c>
      <c r="X434" s="61">
        <v>0</v>
      </c>
      <c r="Y434" s="61">
        <v>0</v>
      </c>
      <c r="Z434" s="61">
        <v>524</v>
      </c>
      <c r="AA434" s="65">
        <v>347</v>
      </c>
      <c r="AB434" s="65">
        <v>589</v>
      </c>
      <c r="AC434" s="66"/>
      <c r="AD434" s="67">
        <f t="shared" si="173"/>
        <v>4.265734265734266E-2</v>
      </c>
      <c r="AE434" s="67">
        <f t="shared" si="174"/>
        <v>0</v>
      </c>
      <c r="AF434" s="67">
        <f t="shared" si="175"/>
        <v>0</v>
      </c>
      <c r="AG434" s="67">
        <f t="shared" si="176"/>
        <v>0.12214452214452215</v>
      </c>
      <c r="AH434" s="67">
        <f t="shared" si="177"/>
        <v>8.0885780885780884E-2</v>
      </c>
      <c r="AI434" s="67">
        <f t="shared" si="178"/>
        <v>0.13729603729603729</v>
      </c>
      <c r="AJ434" s="66"/>
      <c r="AK434" s="68">
        <v>80.27</v>
      </c>
      <c r="AL434" s="69">
        <v>0</v>
      </c>
      <c r="AM434" s="69">
        <v>0</v>
      </c>
      <c r="AN434" s="69">
        <v>314.39999999999981</v>
      </c>
      <c r="AO434" s="70">
        <v>367.26999999999902</v>
      </c>
      <c r="AP434" s="70">
        <v>354.9</v>
      </c>
      <c r="AQ434" s="66"/>
      <c r="AR434" s="70" t="s">
        <v>779</v>
      </c>
      <c r="AS434" s="66"/>
      <c r="AT434" s="108">
        <v>0</v>
      </c>
      <c r="AU434" s="109">
        <v>0</v>
      </c>
      <c r="AV434" s="109">
        <v>1580.42</v>
      </c>
      <c r="AW434" s="109">
        <v>1113</v>
      </c>
      <c r="AX434" s="110">
        <v>1320</v>
      </c>
      <c r="AY434" s="110">
        <v>261</v>
      </c>
    </row>
    <row r="435" spans="1:51" x14ac:dyDescent="0.25">
      <c r="A435" s="8">
        <v>5318</v>
      </c>
      <c r="B435" s="5" t="s">
        <v>672</v>
      </c>
      <c r="C435" s="2">
        <v>0.58999999999999986</v>
      </c>
      <c r="D435" s="24">
        <v>2000</v>
      </c>
      <c r="E435" s="26">
        <f t="shared" si="170"/>
        <v>1000</v>
      </c>
      <c r="F435" s="26">
        <v>9330</v>
      </c>
      <c r="G435" s="30">
        <f t="shared" si="171"/>
        <v>0.10718113612004287</v>
      </c>
      <c r="H435" s="11"/>
      <c r="I435" s="9">
        <v>399</v>
      </c>
      <c r="J435" s="3">
        <v>747</v>
      </c>
      <c r="K435" s="3">
        <v>620</v>
      </c>
      <c r="L435" s="3">
        <v>161</v>
      </c>
      <c r="M435" s="6">
        <v>156</v>
      </c>
      <c r="N435" s="6">
        <v>243</v>
      </c>
      <c r="O435" s="13"/>
      <c r="P435" s="60">
        <f t="shared" si="189"/>
        <v>235.40999999999994</v>
      </c>
      <c r="Q435" s="61">
        <f t="shared" si="190"/>
        <v>440.7299999999999</v>
      </c>
      <c r="R435" s="61">
        <f t="shared" si="191"/>
        <v>365.7999999999999</v>
      </c>
      <c r="S435" s="62">
        <f t="shared" si="192"/>
        <v>94.989999999999981</v>
      </c>
      <c r="T435" s="63">
        <f t="shared" si="193"/>
        <v>92.039999999999978</v>
      </c>
      <c r="U435" s="63">
        <f t="shared" si="172"/>
        <v>143.36999999999998</v>
      </c>
      <c r="V435" s="64"/>
      <c r="W435" s="60">
        <v>196</v>
      </c>
      <c r="X435" s="61">
        <v>429</v>
      </c>
      <c r="Y435" s="61">
        <v>932</v>
      </c>
      <c r="Z435" s="61">
        <v>541</v>
      </c>
      <c r="AA435" s="65">
        <v>405</v>
      </c>
      <c r="AB435" s="65">
        <v>373</v>
      </c>
      <c r="AC435" s="66"/>
      <c r="AD435" s="67">
        <f t="shared" si="173"/>
        <v>2.1007502679528403E-2</v>
      </c>
      <c r="AE435" s="67">
        <f t="shared" si="174"/>
        <v>4.5980707395498394E-2</v>
      </c>
      <c r="AF435" s="67">
        <f t="shared" si="175"/>
        <v>9.9892818863879962E-2</v>
      </c>
      <c r="AG435" s="67">
        <f t="shared" si="176"/>
        <v>5.7984994640943192E-2</v>
      </c>
      <c r="AH435" s="67">
        <f t="shared" si="177"/>
        <v>4.3408360128617367E-2</v>
      </c>
      <c r="AI435" s="67">
        <f t="shared" si="178"/>
        <v>3.9978563772775991E-2</v>
      </c>
      <c r="AJ435" s="66"/>
      <c r="AK435" s="68">
        <v>336.64</v>
      </c>
      <c r="AL435" s="69">
        <v>559.30999999999904</v>
      </c>
      <c r="AM435" s="69">
        <v>559.30999999999904</v>
      </c>
      <c r="AN435" s="69">
        <v>1467.2699999999991</v>
      </c>
      <c r="AO435" s="70">
        <v>832.33</v>
      </c>
      <c r="AP435" s="70">
        <v>225.74</v>
      </c>
      <c r="AQ435" s="66"/>
      <c r="AR435" s="70" t="s">
        <v>780</v>
      </c>
      <c r="AS435" s="66"/>
      <c r="AT435" s="108">
        <v>9769.5</v>
      </c>
      <c r="AU435" s="109">
        <v>18539.91</v>
      </c>
      <c r="AV435" s="109">
        <v>14590.82</v>
      </c>
      <c r="AW435" s="109">
        <v>3924.74</v>
      </c>
      <c r="AX435" s="110">
        <v>3808.26</v>
      </c>
      <c r="AY435" s="110">
        <v>5921.6900000000005</v>
      </c>
    </row>
    <row r="436" spans="1:51" x14ac:dyDescent="0.25">
      <c r="A436" s="8" t="s">
        <v>302</v>
      </c>
      <c r="B436" s="5" t="s">
        <v>303</v>
      </c>
      <c r="C436" s="2">
        <v>0.58000000000000007</v>
      </c>
      <c r="D436" s="24">
        <v>10000</v>
      </c>
      <c r="E436" s="26">
        <f t="shared" si="170"/>
        <v>5000</v>
      </c>
      <c r="F436" s="26">
        <v>34578</v>
      </c>
      <c r="G436" s="30">
        <f t="shared" si="171"/>
        <v>0.14460061310659958</v>
      </c>
      <c r="H436" s="11"/>
      <c r="I436" s="9">
        <v>2540</v>
      </c>
      <c r="J436" s="3">
        <v>2860</v>
      </c>
      <c r="K436" s="3">
        <v>3030</v>
      </c>
      <c r="L436" s="3">
        <v>2397</v>
      </c>
      <c r="M436" s="6">
        <v>1810</v>
      </c>
      <c r="N436" s="6">
        <v>1862</v>
      </c>
      <c r="O436" s="13"/>
      <c r="P436" s="60">
        <f t="shared" si="189"/>
        <v>1473.2000000000003</v>
      </c>
      <c r="Q436" s="61">
        <f t="shared" si="190"/>
        <v>1658.8000000000002</v>
      </c>
      <c r="R436" s="61">
        <f t="shared" si="191"/>
        <v>1757.4000000000003</v>
      </c>
      <c r="S436" s="62">
        <f t="shared" si="192"/>
        <v>1390.2600000000002</v>
      </c>
      <c r="T436" s="63">
        <f t="shared" si="193"/>
        <v>1049.8000000000002</v>
      </c>
      <c r="U436" s="63">
        <f t="shared" si="172"/>
        <v>1079.96</v>
      </c>
      <c r="V436" s="64"/>
      <c r="W436" s="60">
        <v>1758</v>
      </c>
      <c r="X436" s="61">
        <v>2661</v>
      </c>
      <c r="Y436" s="61">
        <v>3833</v>
      </c>
      <c r="Z436" s="61">
        <v>3492</v>
      </c>
      <c r="AA436" s="65">
        <v>2081</v>
      </c>
      <c r="AB436" s="65">
        <v>2553</v>
      </c>
      <c r="AC436" s="66"/>
      <c r="AD436" s="67">
        <f t="shared" si="173"/>
        <v>5.0841575568280409E-2</v>
      </c>
      <c r="AE436" s="67">
        <f t="shared" si="174"/>
        <v>7.6956446295332298E-2</v>
      </c>
      <c r="AF436" s="67">
        <f t="shared" si="175"/>
        <v>0.11085083000751923</v>
      </c>
      <c r="AG436" s="67">
        <f t="shared" si="176"/>
        <v>0.10098906819364914</v>
      </c>
      <c r="AH436" s="67">
        <f t="shared" si="177"/>
        <v>6.0182775174966743E-2</v>
      </c>
      <c r="AI436" s="67">
        <f t="shared" si="178"/>
        <v>7.3833073052229747E-2</v>
      </c>
      <c r="AJ436" s="66"/>
      <c r="AK436" s="68">
        <v>1823.52</v>
      </c>
      <c r="AL436" s="69">
        <v>1665.17</v>
      </c>
      <c r="AM436" s="69">
        <v>1665.17</v>
      </c>
      <c r="AN436" s="69">
        <v>2592.8399999999983</v>
      </c>
      <c r="AO436" s="70">
        <v>1852.77999999999</v>
      </c>
      <c r="AP436" s="70">
        <v>639.79999999999995</v>
      </c>
      <c r="AQ436" s="66"/>
      <c r="AR436" s="70" t="s">
        <v>779</v>
      </c>
      <c r="AS436" s="66"/>
      <c r="AT436" s="108">
        <v>6420.2999999999993</v>
      </c>
      <c r="AU436" s="109">
        <v>7991.8</v>
      </c>
      <c r="AV436" s="109">
        <v>7959.9</v>
      </c>
      <c r="AW436" s="109">
        <v>6161.43</v>
      </c>
      <c r="AX436" s="110">
        <v>4680.3999999999996</v>
      </c>
      <c r="AY436" s="110">
        <v>4729.4799999999996</v>
      </c>
    </row>
    <row r="437" spans="1:51" x14ac:dyDescent="0.25">
      <c r="A437" s="8" t="s">
        <v>267</v>
      </c>
      <c r="B437" s="5" t="s">
        <v>268</v>
      </c>
      <c r="C437" s="2">
        <v>0.58000000000000007</v>
      </c>
      <c r="D437" s="24">
        <v>9980.7999999999993</v>
      </c>
      <c r="E437" s="26">
        <f t="shared" si="170"/>
        <v>4990.3999999999996</v>
      </c>
      <c r="F437" s="26">
        <v>25285</v>
      </c>
      <c r="G437" s="30">
        <f t="shared" si="171"/>
        <v>0.19736602728890645</v>
      </c>
      <c r="H437" s="11"/>
      <c r="I437" s="9">
        <v>8626</v>
      </c>
      <c r="J437" s="3">
        <v>998</v>
      </c>
      <c r="K437" s="3">
        <v>0</v>
      </c>
      <c r="L437" s="3">
        <v>3831</v>
      </c>
      <c r="M437" s="6">
        <v>4555</v>
      </c>
      <c r="N437" s="6">
        <v>4199</v>
      </c>
      <c r="O437" s="13"/>
      <c r="P437" s="60">
        <f t="shared" si="189"/>
        <v>5003.0800000000008</v>
      </c>
      <c r="Q437" s="61">
        <f t="shared" si="190"/>
        <v>578.84</v>
      </c>
      <c r="R437" s="61">
        <f t="shared" si="191"/>
        <v>0</v>
      </c>
      <c r="S437" s="62">
        <f t="shared" si="192"/>
        <v>2221.9800000000005</v>
      </c>
      <c r="T437" s="63">
        <f t="shared" si="193"/>
        <v>2641.9000000000005</v>
      </c>
      <c r="U437" s="63">
        <f t="shared" si="172"/>
        <v>2435.42</v>
      </c>
      <c r="V437" s="64"/>
      <c r="W437" s="60">
        <v>5362</v>
      </c>
      <c r="X437" s="61">
        <v>4250</v>
      </c>
      <c r="Y437" s="61">
        <v>4712</v>
      </c>
      <c r="Z437" s="61">
        <v>5443</v>
      </c>
      <c r="AA437" s="65">
        <v>5185</v>
      </c>
      <c r="AB437" s="65">
        <v>4404</v>
      </c>
      <c r="AC437" s="66"/>
      <c r="AD437" s="67">
        <f t="shared" si="173"/>
        <v>0.2120624876408938</v>
      </c>
      <c r="AE437" s="67">
        <f t="shared" si="174"/>
        <v>0.16808384417638916</v>
      </c>
      <c r="AF437" s="67">
        <f t="shared" si="175"/>
        <v>0.18635554676685781</v>
      </c>
      <c r="AG437" s="67">
        <f t="shared" si="176"/>
        <v>0.21526596796519676</v>
      </c>
      <c r="AH437" s="67">
        <f t="shared" si="177"/>
        <v>0.20506228989519479</v>
      </c>
      <c r="AI437" s="67">
        <f t="shared" si="178"/>
        <v>0.17417441170654538</v>
      </c>
      <c r="AJ437" s="66"/>
      <c r="AK437" s="68">
        <v>5348.9899999999616</v>
      </c>
      <c r="AL437" s="69">
        <v>3204.4099999999939</v>
      </c>
      <c r="AM437" s="69">
        <v>3204.4099999999935</v>
      </c>
      <c r="AN437" s="69">
        <v>2947.5499999999897</v>
      </c>
      <c r="AO437" s="70">
        <v>3367.7999999999402</v>
      </c>
      <c r="AP437" s="70">
        <v>1940.04000000002</v>
      </c>
      <c r="AQ437" s="66"/>
      <c r="AR437" s="70" t="s">
        <v>779</v>
      </c>
      <c r="AS437" s="66"/>
      <c r="AT437" s="108">
        <v>17538.539999999997</v>
      </c>
      <c r="AU437" s="109">
        <v>2045.9</v>
      </c>
      <c r="AV437" s="109">
        <v>0</v>
      </c>
      <c r="AW437" s="109">
        <v>9666.369999999999</v>
      </c>
      <c r="AX437" s="110">
        <v>10217.549999999999</v>
      </c>
      <c r="AY437" s="110">
        <v>8632.44</v>
      </c>
    </row>
    <row r="438" spans="1:51" x14ac:dyDescent="0.25">
      <c r="A438" s="8">
        <v>5946</v>
      </c>
      <c r="B438" s="5" t="s">
        <v>259</v>
      </c>
      <c r="C438" s="2">
        <v>0.56000000000000005</v>
      </c>
      <c r="D438" s="24">
        <v>5000</v>
      </c>
      <c r="E438" s="26">
        <f t="shared" si="170"/>
        <v>2500</v>
      </c>
      <c r="F438" s="26">
        <v>9385</v>
      </c>
      <c r="G438" s="30">
        <f t="shared" si="171"/>
        <v>0.26638252530633988</v>
      </c>
      <c r="H438" s="11"/>
      <c r="I438" s="9">
        <v>44</v>
      </c>
      <c r="J438" s="3">
        <v>0</v>
      </c>
      <c r="K438" s="3">
        <v>0</v>
      </c>
      <c r="L438" s="3">
        <v>0</v>
      </c>
      <c r="M438" s="6"/>
      <c r="N438" s="6">
        <v>0</v>
      </c>
      <c r="O438" s="13"/>
      <c r="P438" s="60">
        <f t="shared" si="189"/>
        <v>24.64</v>
      </c>
      <c r="Q438" s="61">
        <f t="shared" si="190"/>
        <v>0</v>
      </c>
      <c r="R438" s="61">
        <f t="shared" si="191"/>
        <v>0</v>
      </c>
      <c r="S438" s="62">
        <f t="shared" si="192"/>
        <v>0</v>
      </c>
      <c r="T438" s="63">
        <f t="shared" si="193"/>
        <v>0</v>
      </c>
      <c r="U438" s="63">
        <f t="shared" si="172"/>
        <v>0</v>
      </c>
      <c r="V438" s="64"/>
      <c r="W438" s="60">
        <v>0</v>
      </c>
      <c r="X438" s="61">
        <v>0</v>
      </c>
      <c r="Y438" s="61">
        <v>0</v>
      </c>
      <c r="Z438" s="61">
        <v>0</v>
      </c>
      <c r="AA438" s="65">
        <v>0</v>
      </c>
      <c r="AB438" s="65">
        <v>0</v>
      </c>
      <c r="AC438" s="66"/>
      <c r="AD438" s="67">
        <f t="shared" si="173"/>
        <v>0</v>
      </c>
      <c r="AE438" s="67">
        <f t="shared" si="174"/>
        <v>0</v>
      </c>
      <c r="AF438" s="67">
        <f t="shared" si="175"/>
        <v>0</v>
      </c>
      <c r="AG438" s="67">
        <f t="shared" si="176"/>
        <v>0</v>
      </c>
      <c r="AH438" s="67">
        <f t="shared" si="177"/>
        <v>0</v>
      </c>
      <c r="AI438" s="67">
        <f t="shared" si="178"/>
        <v>0</v>
      </c>
      <c r="AJ438" s="66"/>
      <c r="AK438" s="68">
        <v>0</v>
      </c>
      <c r="AL438" s="69">
        <v>0</v>
      </c>
      <c r="AM438" s="69">
        <v>0</v>
      </c>
      <c r="AN438" s="69">
        <v>0</v>
      </c>
      <c r="AO438" s="70">
        <v>0</v>
      </c>
      <c r="AP438" s="70">
        <v>0</v>
      </c>
      <c r="AQ438" s="66"/>
      <c r="AR438" s="70" t="s">
        <v>779</v>
      </c>
      <c r="AS438" s="66"/>
      <c r="AT438" s="108">
        <v>68.64</v>
      </c>
      <c r="AU438" s="109">
        <v>0</v>
      </c>
      <c r="AV438" s="109">
        <v>0</v>
      </c>
      <c r="AW438" s="109">
        <v>0</v>
      </c>
      <c r="AX438" s="110">
        <v>0</v>
      </c>
      <c r="AY438" s="110">
        <v>0</v>
      </c>
    </row>
    <row r="439" spans="1:51" x14ac:dyDescent="0.25">
      <c r="A439" s="8" t="s">
        <v>627</v>
      </c>
      <c r="B439" s="5" t="s">
        <v>628</v>
      </c>
      <c r="C439" s="2">
        <v>0.55000000000000071</v>
      </c>
      <c r="D439" s="24">
        <v>2000</v>
      </c>
      <c r="E439" s="26">
        <f t="shared" si="170"/>
        <v>1000</v>
      </c>
      <c r="F439" s="26">
        <v>7389</v>
      </c>
      <c r="G439" s="30">
        <f t="shared" si="171"/>
        <v>0.13533631073216945</v>
      </c>
      <c r="H439" s="11"/>
      <c r="I439" s="9">
        <v>0</v>
      </c>
      <c r="J439" s="3">
        <v>399</v>
      </c>
      <c r="K439" s="3">
        <v>196</v>
      </c>
      <c r="L439" s="3">
        <v>144</v>
      </c>
      <c r="M439" s="6">
        <v>45</v>
      </c>
      <c r="N439" s="6">
        <v>30</v>
      </c>
      <c r="O439" s="13"/>
      <c r="P439" s="60">
        <f t="shared" si="189"/>
        <v>0</v>
      </c>
      <c r="Q439" s="61">
        <f t="shared" si="190"/>
        <v>219.45000000000027</v>
      </c>
      <c r="R439" s="61">
        <f t="shared" si="191"/>
        <v>107.80000000000014</v>
      </c>
      <c r="S439" s="62">
        <f t="shared" si="192"/>
        <v>79.200000000000102</v>
      </c>
      <c r="T439" s="63">
        <f t="shared" si="193"/>
        <v>24.750000000000032</v>
      </c>
      <c r="U439" s="63">
        <f t="shared" si="172"/>
        <v>16.500000000000021</v>
      </c>
      <c r="V439" s="64"/>
      <c r="W439" s="60">
        <v>242</v>
      </c>
      <c r="X439" s="61">
        <v>290</v>
      </c>
      <c r="Y439" s="61">
        <v>71</v>
      </c>
      <c r="Z439" s="61">
        <v>254</v>
      </c>
      <c r="AA439" s="65">
        <v>235</v>
      </c>
      <c r="AB439" s="65">
        <v>44</v>
      </c>
      <c r="AC439" s="66"/>
      <c r="AD439" s="67">
        <f t="shared" si="173"/>
        <v>3.2751387197185004E-2</v>
      </c>
      <c r="AE439" s="67">
        <f t="shared" si="174"/>
        <v>3.9247530112329135E-2</v>
      </c>
      <c r="AF439" s="67">
        <f t="shared" si="175"/>
        <v>9.6088780619840303E-3</v>
      </c>
      <c r="AG439" s="67">
        <f t="shared" si="176"/>
        <v>3.4375422925971039E-2</v>
      </c>
      <c r="AH439" s="67">
        <f t="shared" si="177"/>
        <v>3.1804033022059822E-2</v>
      </c>
      <c r="AI439" s="67">
        <f t="shared" si="178"/>
        <v>5.9547976722154556E-3</v>
      </c>
      <c r="AJ439" s="66"/>
      <c r="AK439" s="68">
        <v>241.48</v>
      </c>
      <c r="AL439" s="69">
        <v>331.04999999999995</v>
      </c>
      <c r="AM439" s="69">
        <v>331.04999999999995</v>
      </c>
      <c r="AN439" s="69">
        <v>70.790000000000006</v>
      </c>
      <c r="AO439" s="70">
        <v>246.409999999999</v>
      </c>
      <c r="AP439" s="70">
        <v>54.089999999999897</v>
      </c>
      <c r="AQ439" s="66"/>
      <c r="AR439" s="70" t="s">
        <v>780</v>
      </c>
      <c r="AS439" s="66"/>
      <c r="AT439" s="108">
        <v>0</v>
      </c>
      <c r="AU439" s="109">
        <v>5167.37</v>
      </c>
      <c r="AV439" s="109">
        <v>2617</v>
      </c>
      <c r="AW439" s="109">
        <v>1975.68</v>
      </c>
      <c r="AX439" s="110">
        <v>575.1</v>
      </c>
      <c r="AY439" s="110">
        <v>381.6</v>
      </c>
    </row>
    <row r="440" spans="1:51" x14ac:dyDescent="0.25">
      <c r="A440" s="8" t="s">
        <v>298</v>
      </c>
      <c r="B440" s="5" t="s">
        <v>299</v>
      </c>
      <c r="C440" s="2">
        <v>0.53000000000000025</v>
      </c>
      <c r="D440" s="24">
        <v>1000</v>
      </c>
      <c r="E440" s="26">
        <f t="shared" si="170"/>
        <v>500</v>
      </c>
      <c r="F440" s="26">
        <v>2963</v>
      </c>
      <c r="G440" s="30">
        <f t="shared" si="171"/>
        <v>0.16874789065136686</v>
      </c>
      <c r="H440" s="11"/>
      <c r="I440" s="9">
        <v>325</v>
      </c>
      <c r="J440" s="3">
        <v>100</v>
      </c>
      <c r="K440" s="3">
        <v>470</v>
      </c>
      <c r="L440" s="3">
        <v>1263</v>
      </c>
      <c r="M440" s="6">
        <v>2110</v>
      </c>
      <c r="N440" s="6">
        <v>250</v>
      </c>
      <c r="O440" s="13"/>
      <c r="P440" s="60">
        <f t="shared" si="189"/>
        <v>172.25000000000009</v>
      </c>
      <c r="Q440" s="61">
        <f t="shared" si="190"/>
        <v>53.000000000000028</v>
      </c>
      <c r="R440" s="61">
        <f t="shared" si="191"/>
        <v>249.10000000000011</v>
      </c>
      <c r="S440" s="62">
        <f t="shared" si="192"/>
        <v>669.39000000000033</v>
      </c>
      <c r="T440" s="63">
        <f t="shared" si="193"/>
        <v>1118.3000000000006</v>
      </c>
      <c r="U440" s="63">
        <f t="shared" si="172"/>
        <v>132.50000000000006</v>
      </c>
      <c r="V440" s="64"/>
      <c r="W440" s="60">
        <v>-2</v>
      </c>
      <c r="X440" s="61">
        <v>323</v>
      </c>
      <c r="Y440" s="61">
        <v>113</v>
      </c>
      <c r="Z440" s="61">
        <v>451</v>
      </c>
      <c r="AA440" s="65">
        <v>602</v>
      </c>
      <c r="AB440" s="65">
        <v>1157</v>
      </c>
      <c r="AC440" s="66"/>
      <c r="AD440" s="67">
        <f t="shared" si="173"/>
        <v>-6.7499156260546742E-4</v>
      </c>
      <c r="AE440" s="67">
        <f t="shared" si="174"/>
        <v>0.10901113736078299</v>
      </c>
      <c r="AF440" s="67">
        <f t="shared" si="175"/>
        <v>3.8137023287208908E-2</v>
      </c>
      <c r="AG440" s="67">
        <f t="shared" si="176"/>
        <v>0.1522105973675329</v>
      </c>
      <c r="AH440" s="67">
        <f t="shared" si="177"/>
        <v>0.20317246034424569</v>
      </c>
      <c r="AI440" s="67">
        <f t="shared" si="178"/>
        <v>0.39048261896726288</v>
      </c>
      <c r="AJ440" s="66"/>
      <c r="AK440" s="68">
        <v>0</v>
      </c>
      <c r="AL440" s="69">
        <v>564.45999999999901</v>
      </c>
      <c r="AM440" s="69">
        <v>564.45999999999901</v>
      </c>
      <c r="AN440" s="69">
        <v>164.1</v>
      </c>
      <c r="AO440" s="70">
        <v>343.849999999999</v>
      </c>
      <c r="AP440" s="70">
        <v>718.06999999999903</v>
      </c>
      <c r="AQ440" s="66"/>
      <c r="AR440" s="70" t="s">
        <v>779</v>
      </c>
      <c r="AS440" s="66"/>
      <c r="AT440" s="108">
        <v>718.25</v>
      </c>
      <c r="AU440" s="109">
        <v>230</v>
      </c>
      <c r="AV440" s="109">
        <v>1073.2</v>
      </c>
      <c r="AW440" s="109">
        <v>2853.95</v>
      </c>
      <c r="AX440" s="110">
        <v>4812.7</v>
      </c>
      <c r="AY440" s="110">
        <v>589</v>
      </c>
    </row>
    <row r="441" spans="1:51" x14ac:dyDescent="0.25">
      <c r="A441" s="8" t="s">
        <v>248</v>
      </c>
      <c r="B441" s="5" t="s">
        <v>249</v>
      </c>
      <c r="C441" s="2">
        <v>0.53</v>
      </c>
      <c r="D441" s="24">
        <v>2361.1999999999998</v>
      </c>
      <c r="E441" s="26">
        <f t="shared" si="170"/>
        <v>1180.5999999999999</v>
      </c>
      <c r="F441" s="26">
        <v>8803</v>
      </c>
      <c r="G441" s="30">
        <f t="shared" si="171"/>
        <v>0.13411337044189481</v>
      </c>
      <c r="H441" s="11"/>
      <c r="I441" s="9">
        <v>842.42424242424238</v>
      </c>
      <c r="J441" s="3">
        <v>0</v>
      </c>
      <c r="K441" s="3">
        <v>0</v>
      </c>
      <c r="L441" s="3">
        <v>0</v>
      </c>
      <c r="M441" s="6"/>
      <c r="N441" s="6">
        <v>0</v>
      </c>
      <c r="O441" s="13"/>
      <c r="P441" s="60">
        <f t="shared" si="189"/>
        <v>446.4848484848485</v>
      </c>
      <c r="Q441" s="61">
        <f t="shared" si="190"/>
        <v>0</v>
      </c>
      <c r="R441" s="61">
        <f t="shared" si="191"/>
        <v>0</v>
      </c>
      <c r="S441" s="62">
        <f t="shared" si="192"/>
        <v>0</v>
      </c>
      <c r="T441" s="63">
        <f t="shared" si="193"/>
        <v>0</v>
      </c>
      <c r="U441" s="63">
        <f t="shared" si="172"/>
        <v>0</v>
      </c>
      <c r="V441" s="64"/>
      <c r="W441" s="60">
        <v>1002</v>
      </c>
      <c r="X441" s="61">
        <v>155</v>
      </c>
      <c r="Y441" s="61">
        <v>0</v>
      </c>
      <c r="Z441" s="61">
        <v>993</v>
      </c>
      <c r="AA441" s="65">
        <v>3753</v>
      </c>
      <c r="AB441" s="65">
        <v>5053</v>
      </c>
      <c r="AC441" s="66"/>
      <c r="AD441" s="67">
        <f t="shared" si="173"/>
        <v>0.11382483244348518</v>
      </c>
      <c r="AE441" s="67">
        <f t="shared" si="174"/>
        <v>1.7607633761217767E-2</v>
      </c>
      <c r="AF441" s="67">
        <f t="shared" si="175"/>
        <v>0</v>
      </c>
      <c r="AG441" s="67">
        <f t="shared" si="176"/>
        <v>0.11280245370896286</v>
      </c>
      <c r="AH441" s="67">
        <f t="shared" si="177"/>
        <v>0.42633193229580824</v>
      </c>
      <c r="AI441" s="67">
        <f t="shared" si="178"/>
        <v>0.57400886061569922</v>
      </c>
      <c r="AJ441" s="66"/>
      <c r="AK441" s="68">
        <v>1807.870000000001</v>
      </c>
      <c r="AL441" s="69">
        <v>205.10999999999987</v>
      </c>
      <c r="AM441" s="69">
        <v>205.1099999999999</v>
      </c>
      <c r="AN441" s="69">
        <v>526.29000000000008</v>
      </c>
      <c r="AO441" s="70">
        <v>938.88999999999896</v>
      </c>
      <c r="AP441" s="70">
        <v>2691.6000000000199</v>
      </c>
      <c r="AQ441" s="66"/>
      <c r="AR441" s="70" t="s">
        <v>779</v>
      </c>
      <c r="AS441" s="66"/>
      <c r="AT441" s="108">
        <v>0</v>
      </c>
      <c r="AU441" s="109">
        <v>0</v>
      </c>
      <c r="AV441" s="109">
        <v>0</v>
      </c>
      <c r="AW441" s="109">
        <v>0</v>
      </c>
      <c r="AX441" s="110">
        <v>0</v>
      </c>
      <c r="AY441" s="110">
        <v>0</v>
      </c>
    </row>
    <row r="442" spans="1:51" x14ac:dyDescent="0.25">
      <c r="A442" s="8" t="s">
        <v>677</v>
      </c>
      <c r="B442" s="5" t="s">
        <v>678</v>
      </c>
      <c r="C442" s="2">
        <v>0.51999999999999957</v>
      </c>
      <c r="D442" s="24">
        <v>200</v>
      </c>
      <c r="E442" s="26">
        <f t="shared" si="170"/>
        <v>100</v>
      </c>
      <c r="F442" s="26">
        <v>762</v>
      </c>
      <c r="G442" s="30">
        <f t="shared" si="171"/>
        <v>0.13123359580052493</v>
      </c>
      <c r="H442" s="11"/>
      <c r="I442" s="9">
        <v>0</v>
      </c>
      <c r="J442" s="3">
        <v>0</v>
      </c>
      <c r="K442" s="3">
        <v>0</v>
      </c>
      <c r="L442" s="3">
        <v>157</v>
      </c>
      <c r="M442" s="6"/>
      <c r="N442" s="6">
        <v>50</v>
      </c>
      <c r="O442" s="13"/>
      <c r="P442" s="60">
        <f t="shared" si="189"/>
        <v>0</v>
      </c>
      <c r="Q442" s="61">
        <f t="shared" si="190"/>
        <v>0</v>
      </c>
      <c r="R442" s="61">
        <f t="shared" si="191"/>
        <v>0</v>
      </c>
      <c r="S442" s="62">
        <f t="shared" si="192"/>
        <v>81.63999999999993</v>
      </c>
      <c r="T442" s="63">
        <f t="shared" si="193"/>
        <v>0</v>
      </c>
      <c r="U442" s="63">
        <f t="shared" si="172"/>
        <v>25.999999999999979</v>
      </c>
      <c r="V442" s="64"/>
      <c r="W442" s="60">
        <v>178</v>
      </c>
      <c r="X442" s="61">
        <v>1</v>
      </c>
      <c r="Y442" s="61">
        <v>364</v>
      </c>
      <c r="Z442" s="61">
        <v>173</v>
      </c>
      <c r="AA442" s="65">
        <v>51</v>
      </c>
      <c r="AB442" s="65">
        <v>251</v>
      </c>
      <c r="AC442" s="66"/>
      <c r="AD442" s="67">
        <f t="shared" si="173"/>
        <v>0.23359580052493439</v>
      </c>
      <c r="AE442" s="67">
        <f t="shared" si="174"/>
        <v>1.3123359580052493E-3</v>
      </c>
      <c r="AF442" s="67">
        <f t="shared" si="175"/>
        <v>0.47769028871391078</v>
      </c>
      <c r="AG442" s="67">
        <f t="shared" si="176"/>
        <v>0.22703412073490814</v>
      </c>
      <c r="AH442" s="67">
        <f t="shared" si="177"/>
        <v>6.6929133858267723E-2</v>
      </c>
      <c r="AI442" s="67">
        <f t="shared" si="178"/>
        <v>0.32939632545931757</v>
      </c>
      <c r="AJ442" s="66"/>
      <c r="AK442" s="68">
        <v>48.899999999999949</v>
      </c>
      <c r="AL442" s="69">
        <v>0.51999999999999957</v>
      </c>
      <c r="AM442" s="69">
        <v>189.27999999999986</v>
      </c>
      <c r="AN442" s="69">
        <v>37.459999999999972</v>
      </c>
      <c r="AO442" s="70">
        <v>363.5</v>
      </c>
      <c r="AP442" s="70">
        <v>158.63999999999899</v>
      </c>
      <c r="AQ442" s="66"/>
      <c r="AR442" s="70" t="s">
        <v>780</v>
      </c>
      <c r="AS442" s="66"/>
      <c r="AT442" s="108">
        <v>0</v>
      </c>
      <c r="AU442" s="109">
        <v>0</v>
      </c>
      <c r="AV442" s="109">
        <v>0</v>
      </c>
      <c r="AW442" s="109">
        <v>3800.1400000000003</v>
      </c>
      <c r="AX442" s="110">
        <v>0</v>
      </c>
      <c r="AY442" s="110">
        <v>1206</v>
      </c>
    </row>
    <row r="443" spans="1:51" x14ac:dyDescent="0.25">
      <c r="A443" s="8">
        <v>5470</v>
      </c>
      <c r="B443" s="5" t="s">
        <v>729</v>
      </c>
      <c r="C443" s="2">
        <v>0.51</v>
      </c>
      <c r="D443" s="24">
        <v>40</v>
      </c>
      <c r="E443" s="26">
        <f t="shared" si="170"/>
        <v>20</v>
      </c>
      <c r="F443" s="26">
        <v>34</v>
      </c>
      <c r="G443" s="30">
        <f t="shared" si="171"/>
        <v>0.58823529411764708</v>
      </c>
      <c r="H443" s="11"/>
      <c r="I443" s="9">
        <v>100</v>
      </c>
      <c r="J443" s="3">
        <v>100</v>
      </c>
      <c r="K443" s="3">
        <v>0</v>
      </c>
      <c r="L443" s="3">
        <v>0</v>
      </c>
      <c r="M443" s="6"/>
      <c r="N443" s="6">
        <v>0</v>
      </c>
      <c r="O443" s="13"/>
      <c r="P443" s="60">
        <f t="shared" si="189"/>
        <v>51</v>
      </c>
      <c r="Q443" s="61">
        <f t="shared" si="190"/>
        <v>51</v>
      </c>
      <c r="R443" s="61">
        <f t="shared" si="191"/>
        <v>0</v>
      </c>
      <c r="S443" s="62">
        <f t="shared" si="192"/>
        <v>0</v>
      </c>
      <c r="T443" s="63">
        <f t="shared" si="193"/>
        <v>0</v>
      </c>
      <c r="U443" s="63">
        <f t="shared" si="172"/>
        <v>0</v>
      </c>
      <c r="V443" s="64"/>
      <c r="W443" s="60">
        <v>39</v>
      </c>
      <c r="X443" s="61">
        <v>14</v>
      </c>
      <c r="Y443" s="61">
        <v>4</v>
      </c>
      <c r="Z443" s="61">
        <v>6</v>
      </c>
      <c r="AA443" s="65">
        <v>9</v>
      </c>
      <c r="AB443" s="65">
        <v>17</v>
      </c>
      <c r="AC443" s="66"/>
      <c r="AD443" s="67">
        <f t="shared" si="173"/>
        <v>1.1470588235294117</v>
      </c>
      <c r="AE443" s="67">
        <f t="shared" si="174"/>
        <v>0.41176470588235292</v>
      </c>
      <c r="AF443" s="67">
        <f t="shared" si="175"/>
        <v>0.11764705882352941</v>
      </c>
      <c r="AG443" s="67">
        <f t="shared" si="176"/>
        <v>0.17647058823529413</v>
      </c>
      <c r="AH443" s="67">
        <f t="shared" si="177"/>
        <v>0.26470588235294118</v>
      </c>
      <c r="AI443" s="67">
        <f t="shared" si="178"/>
        <v>0.5</v>
      </c>
      <c r="AJ443" s="66"/>
      <c r="AK443" s="68">
        <v>20.12</v>
      </c>
      <c r="AL443" s="69">
        <v>30.449999999999996</v>
      </c>
      <c r="AM443" s="69">
        <v>30.449999999999996</v>
      </c>
      <c r="AN443" s="69">
        <v>12.4</v>
      </c>
      <c r="AO443" s="70">
        <v>9.9299999999999908</v>
      </c>
      <c r="AP443" s="70">
        <v>-12.239999999999901</v>
      </c>
      <c r="AQ443" s="66"/>
      <c r="AR443" s="70" t="s">
        <v>780</v>
      </c>
      <c r="AS443" s="66"/>
      <c r="AT443" s="108">
        <v>955</v>
      </c>
      <c r="AU443" s="109">
        <v>957</v>
      </c>
      <c r="AV443" s="109">
        <v>0</v>
      </c>
      <c r="AW443" s="109">
        <v>0</v>
      </c>
      <c r="AX443" s="110">
        <v>0</v>
      </c>
      <c r="AY443" s="110">
        <v>0</v>
      </c>
    </row>
    <row r="444" spans="1:51" x14ac:dyDescent="0.25">
      <c r="A444" s="8" t="s">
        <v>625</v>
      </c>
      <c r="B444" s="5" t="s">
        <v>626</v>
      </c>
      <c r="C444" s="2">
        <v>0.50999999999999979</v>
      </c>
      <c r="D444" s="24">
        <v>2500</v>
      </c>
      <c r="E444" s="26">
        <f t="shared" si="170"/>
        <v>1250</v>
      </c>
      <c r="F444" s="26">
        <v>1884</v>
      </c>
      <c r="G444" s="30">
        <f t="shared" si="171"/>
        <v>0.66348195329087045</v>
      </c>
      <c r="H444" s="11"/>
      <c r="I444" s="9">
        <v>1824</v>
      </c>
      <c r="J444" s="3">
        <v>3190</v>
      </c>
      <c r="K444" s="3">
        <v>0</v>
      </c>
      <c r="L444" s="3">
        <v>210</v>
      </c>
      <c r="M444" s="6"/>
      <c r="N444" s="6">
        <v>0</v>
      </c>
      <c r="O444" s="13"/>
      <c r="P444" s="60">
        <f t="shared" si="189"/>
        <v>930.23999999999955</v>
      </c>
      <c r="Q444" s="61">
        <f t="shared" si="190"/>
        <v>1626.8999999999994</v>
      </c>
      <c r="R444" s="61">
        <f t="shared" si="191"/>
        <v>0</v>
      </c>
      <c r="S444" s="62">
        <f t="shared" si="192"/>
        <v>107.09999999999995</v>
      </c>
      <c r="T444" s="63">
        <f t="shared" si="193"/>
        <v>0</v>
      </c>
      <c r="U444" s="63">
        <f t="shared" si="172"/>
        <v>0</v>
      </c>
      <c r="V444" s="64"/>
      <c r="W444" s="60">
        <v>2340</v>
      </c>
      <c r="X444" s="61">
        <v>1201</v>
      </c>
      <c r="Y444" s="61">
        <v>1958</v>
      </c>
      <c r="Z444" s="61">
        <v>1731</v>
      </c>
      <c r="AA444" s="65">
        <v>1335</v>
      </c>
      <c r="AB444" s="65">
        <v>2188</v>
      </c>
      <c r="AC444" s="66"/>
      <c r="AD444" s="67">
        <f t="shared" si="173"/>
        <v>1.2420382165605095</v>
      </c>
      <c r="AE444" s="67">
        <f t="shared" si="174"/>
        <v>0.63747346072186839</v>
      </c>
      <c r="AF444" s="67">
        <f t="shared" si="175"/>
        <v>1.0392781316348196</v>
      </c>
      <c r="AG444" s="67">
        <f t="shared" si="176"/>
        <v>0.91878980891719741</v>
      </c>
      <c r="AH444" s="67">
        <f t="shared" si="177"/>
        <v>0.70859872611464969</v>
      </c>
      <c r="AI444" s="67">
        <f t="shared" si="178"/>
        <v>1.1613588110403397</v>
      </c>
      <c r="AJ444" s="66"/>
      <c r="AK444" s="68">
        <v>4565.5900000000101</v>
      </c>
      <c r="AL444" s="69">
        <v>2272.3099999999949</v>
      </c>
      <c r="AM444" s="69">
        <v>2272.3099999999954</v>
      </c>
      <c r="AN444" s="69">
        <v>3281.899999999991</v>
      </c>
      <c r="AO444" s="70">
        <v>1588.9399999999901</v>
      </c>
      <c r="AP444" s="70">
        <v>1199.76999999999</v>
      </c>
      <c r="AQ444" s="66"/>
      <c r="AR444" s="70" t="s">
        <v>780</v>
      </c>
      <c r="AS444" s="66"/>
      <c r="AT444" s="108">
        <v>22521.33</v>
      </c>
      <c r="AU444" s="109">
        <v>39521.82</v>
      </c>
      <c r="AV444" s="109">
        <v>0</v>
      </c>
      <c r="AW444" s="109">
        <v>2709</v>
      </c>
      <c r="AX444" s="110">
        <v>0</v>
      </c>
      <c r="AY444" s="110">
        <v>0</v>
      </c>
    </row>
    <row r="445" spans="1:51" x14ac:dyDescent="0.25">
      <c r="A445" s="8" t="s">
        <v>635</v>
      </c>
      <c r="B445" s="5" t="s">
        <v>636</v>
      </c>
      <c r="C445" s="2">
        <v>0.5</v>
      </c>
      <c r="D445" s="24">
        <v>400</v>
      </c>
      <c r="E445" s="26">
        <f t="shared" si="170"/>
        <v>200</v>
      </c>
      <c r="F445" s="26">
        <v>248</v>
      </c>
      <c r="G445" s="30">
        <f t="shared" si="171"/>
        <v>0.80645161290322576</v>
      </c>
      <c r="H445" s="11"/>
      <c r="I445" s="9">
        <v>0</v>
      </c>
      <c r="J445" s="3">
        <v>0</v>
      </c>
      <c r="K445" s="3">
        <v>405</v>
      </c>
      <c r="L445" s="3">
        <v>0</v>
      </c>
      <c r="M445" s="6"/>
      <c r="N445" s="6">
        <v>0</v>
      </c>
      <c r="O445" s="13"/>
      <c r="P445" s="60">
        <f t="shared" si="189"/>
        <v>0</v>
      </c>
      <c r="Q445" s="61">
        <f t="shared" si="190"/>
        <v>0</v>
      </c>
      <c r="R445" s="61">
        <f t="shared" si="191"/>
        <v>202.5</v>
      </c>
      <c r="S445" s="62">
        <f t="shared" si="192"/>
        <v>0</v>
      </c>
      <c r="T445" s="63">
        <f t="shared" si="193"/>
        <v>0</v>
      </c>
      <c r="U445" s="63">
        <f t="shared" si="172"/>
        <v>0</v>
      </c>
      <c r="V445" s="64"/>
      <c r="W445" s="60">
        <v>314</v>
      </c>
      <c r="X445" s="61">
        <v>0</v>
      </c>
      <c r="Y445" s="61">
        <v>19</v>
      </c>
      <c r="Z445" s="61">
        <v>88</v>
      </c>
      <c r="AA445" s="65">
        <v>34</v>
      </c>
      <c r="AB445" s="65">
        <v>64</v>
      </c>
      <c r="AC445" s="66"/>
      <c r="AD445" s="67">
        <f t="shared" si="173"/>
        <v>1.2661290322580645</v>
      </c>
      <c r="AE445" s="67">
        <f t="shared" si="174"/>
        <v>0</v>
      </c>
      <c r="AF445" s="67">
        <f t="shared" si="175"/>
        <v>7.6612903225806453E-2</v>
      </c>
      <c r="AG445" s="67">
        <f t="shared" si="176"/>
        <v>0.35483870967741937</v>
      </c>
      <c r="AH445" s="67">
        <f t="shared" si="177"/>
        <v>0.13709677419354838</v>
      </c>
      <c r="AI445" s="67">
        <f t="shared" si="178"/>
        <v>0.25806451612903225</v>
      </c>
      <c r="AJ445" s="66"/>
      <c r="AK445" s="68">
        <v>221.82</v>
      </c>
      <c r="AL445" s="69">
        <v>0</v>
      </c>
      <c r="AM445" s="69">
        <v>9.5</v>
      </c>
      <c r="AN445" s="69">
        <v>11.97</v>
      </c>
      <c r="AO445" s="70">
        <v>52.199999999999903</v>
      </c>
      <c r="AP445" s="70">
        <v>32.72</v>
      </c>
      <c r="AQ445" s="66"/>
      <c r="AR445" s="70" t="s">
        <v>780</v>
      </c>
      <c r="AS445" s="66"/>
      <c r="AT445" s="108">
        <v>0</v>
      </c>
      <c r="AU445" s="109">
        <v>0</v>
      </c>
      <c r="AV445" s="109">
        <v>5017.95</v>
      </c>
      <c r="AW445" s="109">
        <v>0</v>
      </c>
      <c r="AX445" s="110">
        <v>0</v>
      </c>
      <c r="AY445" s="110">
        <v>0</v>
      </c>
    </row>
    <row r="446" spans="1:51" x14ac:dyDescent="0.25">
      <c r="A446" s="8" t="s">
        <v>494</v>
      </c>
      <c r="B446" s="5" t="s">
        <v>495</v>
      </c>
      <c r="C446" s="2">
        <v>0.5</v>
      </c>
      <c r="D446" s="24">
        <v>2000</v>
      </c>
      <c r="E446" s="26">
        <f t="shared" si="170"/>
        <v>1000</v>
      </c>
      <c r="F446" s="26">
        <v>24858</v>
      </c>
      <c r="G446" s="30">
        <f t="shared" si="171"/>
        <v>4.0228497867889616E-2</v>
      </c>
      <c r="H446" s="11"/>
      <c r="I446" s="9">
        <v>1940</v>
      </c>
      <c r="J446" s="3">
        <v>1235</v>
      </c>
      <c r="K446" s="3">
        <v>873</v>
      </c>
      <c r="L446" s="3">
        <v>665</v>
      </c>
      <c r="M446" s="6">
        <v>1139</v>
      </c>
      <c r="N446" s="6">
        <v>1233</v>
      </c>
      <c r="O446" s="13"/>
      <c r="P446" s="60">
        <f t="shared" si="189"/>
        <v>970</v>
      </c>
      <c r="Q446" s="61">
        <f t="shared" si="190"/>
        <v>617.5</v>
      </c>
      <c r="R446" s="61">
        <f t="shared" si="191"/>
        <v>436.5</v>
      </c>
      <c r="S446" s="62">
        <f t="shared" si="192"/>
        <v>332.5</v>
      </c>
      <c r="T446" s="63">
        <f t="shared" si="193"/>
        <v>569.5</v>
      </c>
      <c r="U446" s="63">
        <f t="shared" si="172"/>
        <v>616.5</v>
      </c>
      <c r="V446" s="64"/>
      <c r="W446" s="60">
        <v>1932</v>
      </c>
      <c r="X446" s="61">
        <v>2343</v>
      </c>
      <c r="Y446" s="61">
        <v>1503</v>
      </c>
      <c r="Z446" s="61">
        <v>1589</v>
      </c>
      <c r="AA446" s="65">
        <v>468</v>
      </c>
      <c r="AB446" s="65">
        <v>1434</v>
      </c>
      <c r="AC446" s="66"/>
      <c r="AD446" s="67">
        <f t="shared" si="173"/>
        <v>7.7721457880762734E-2</v>
      </c>
      <c r="AE446" s="67">
        <f t="shared" si="174"/>
        <v>9.4255370504465363E-2</v>
      </c>
      <c r="AF446" s="67">
        <f t="shared" si="175"/>
        <v>6.0463432295438088E-2</v>
      </c>
      <c r="AG446" s="67">
        <f t="shared" si="176"/>
        <v>6.392308311207659E-2</v>
      </c>
      <c r="AH446" s="67">
        <f t="shared" si="177"/>
        <v>1.8826937002172341E-2</v>
      </c>
      <c r="AI446" s="67">
        <f t="shared" si="178"/>
        <v>5.7687665942553708E-2</v>
      </c>
      <c r="AJ446" s="66"/>
      <c r="AK446" s="68">
        <v>641.63999999999919</v>
      </c>
      <c r="AL446" s="69">
        <v>1027.3599999999988</v>
      </c>
      <c r="AM446" s="69">
        <v>1027.359999999999</v>
      </c>
      <c r="AN446" s="69">
        <v>794.5</v>
      </c>
      <c r="AO446" s="70">
        <v>294.07999999999902</v>
      </c>
      <c r="AP446" s="70">
        <v>1387.97999999999</v>
      </c>
      <c r="AQ446" s="66"/>
      <c r="AR446" s="70" t="s">
        <v>780</v>
      </c>
      <c r="AS446" s="66"/>
      <c r="AT446" s="108">
        <v>11870.150000000001</v>
      </c>
      <c r="AU446" s="109">
        <v>7344.35</v>
      </c>
      <c r="AV446" s="109">
        <v>5324.47</v>
      </c>
      <c r="AW446" s="109">
        <v>3834.58</v>
      </c>
      <c r="AX446" s="110">
        <v>6515.67</v>
      </c>
      <c r="AY446" s="110">
        <v>7047.3000000000011</v>
      </c>
    </row>
    <row r="447" spans="1:51" x14ac:dyDescent="0.25">
      <c r="A447" s="8" t="s">
        <v>593</v>
      </c>
      <c r="B447" s="5" t="s">
        <v>594</v>
      </c>
      <c r="C447" s="2">
        <v>0.46999999999999886</v>
      </c>
      <c r="D447" s="24">
        <v>200</v>
      </c>
      <c r="E447" s="26">
        <f t="shared" si="170"/>
        <v>100</v>
      </c>
      <c r="F447" s="26">
        <v>446</v>
      </c>
      <c r="G447" s="30">
        <f t="shared" si="171"/>
        <v>0.22421524663677131</v>
      </c>
      <c r="H447" s="11"/>
      <c r="I447" s="9">
        <v>0</v>
      </c>
      <c r="J447" s="3">
        <v>0</v>
      </c>
      <c r="K447" s="3">
        <v>0</v>
      </c>
      <c r="L447" s="3">
        <v>0</v>
      </c>
      <c r="M447" s="6">
        <v>140</v>
      </c>
      <c r="N447" s="6">
        <v>193</v>
      </c>
      <c r="O447" s="13"/>
      <c r="P447" s="60">
        <f t="shared" si="189"/>
        <v>0</v>
      </c>
      <c r="Q447" s="61">
        <f t="shared" si="190"/>
        <v>0</v>
      </c>
      <c r="R447" s="61">
        <f t="shared" si="191"/>
        <v>0</v>
      </c>
      <c r="S447" s="62">
        <f t="shared" si="192"/>
        <v>0</v>
      </c>
      <c r="T447" s="63">
        <f t="shared" si="193"/>
        <v>65.799999999999841</v>
      </c>
      <c r="U447" s="63">
        <f t="shared" si="172"/>
        <v>90.709999999999781</v>
      </c>
      <c r="V447" s="64"/>
      <c r="W447" s="60">
        <v>36</v>
      </c>
      <c r="X447" s="61">
        <v>89</v>
      </c>
      <c r="Y447" s="61">
        <v>94</v>
      </c>
      <c r="Z447" s="61">
        <v>84</v>
      </c>
      <c r="AA447" s="65">
        <v>41</v>
      </c>
      <c r="AB447" s="65">
        <v>37</v>
      </c>
      <c r="AC447" s="66"/>
      <c r="AD447" s="67">
        <f t="shared" si="173"/>
        <v>8.0717488789237665E-2</v>
      </c>
      <c r="AE447" s="67">
        <f t="shared" si="174"/>
        <v>0.19955156950672645</v>
      </c>
      <c r="AF447" s="67">
        <f t="shared" si="175"/>
        <v>0.21076233183856502</v>
      </c>
      <c r="AG447" s="67">
        <f t="shared" si="176"/>
        <v>0.18834080717488788</v>
      </c>
      <c r="AH447" s="67">
        <f t="shared" si="177"/>
        <v>9.1928251121076235E-2</v>
      </c>
      <c r="AI447" s="67">
        <f t="shared" si="178"/>
        <v>8.2959641255605385E-2</v>
      </c>
      <c r="AJ447" s="66"/>
      <c r="AK447" s="68">
        <v>0</v>
      </c>
      <c r="AL447" s="69">
        <v>33.039999999999978</v>
      </c>
      <c r="AM447" s="69">
        <v>33.039999999999978</v>
      </c>
      <c r="AN447" s="69">
        <v>30.509999999999991</v>
      </c>
      <c r="AO447" s="70">
        <v>64.89</v>
      </c>
      <c r="AP447" s="70">
        <v>31.73</v>
      </c>
      <c r="AQ447" s="66"/>
      <c r="AR447" s="70" t="s">
        <v>780</v>
      </c>
      <c r="AS447" s="66"/>
      <c r="AT447" s="108">
        <v>0</v>
      </c>
      <c r="AU447" s="109">
        <v>0</v>
      </c>
      <c r="AV447" s="109">
        <v>0</v>
      </c>
      <c r="AW447" s="109">
        <v>0</v>
      </c>
      <c r="AX447" s="110">
        <v>918.6</v>
      </c>
      <c r="AY447" s="110">
        <v>1256.6399999999999</v>
      </c>
    </row>
    <row r="448" spans="1:51" x14ac:dyDescent="0.25">
      <c r="A448" s="8" t="s">
        <v>711</v>
      </c>
      <c r="B448" s="5" t="s">
        <v>712</v>
      </c>
      <c r="C448" s="2">
        <v>0.46000000000000796</v>
      </c>
      <c r="D448" s="24">
        <v>140</v>
      </c>
      <c r="E448" s="26">
        <f t="shared" si="170"/>
        <v>70</v>
      </c>
      <c r="F448" s="26">
        <v>636</v>
      </c>
      <c r="G448" s="30">
        <f t="shared" si="171"/>
        <v>0.11006289308176101</v>
      </c>
      <c r="H448" s="11"/>
      <c r="I448" s="9">
        <v>566</v>
      </c>
      <c r="J448" s="3">
        <v>268</v>
      </c>
      <c r="K448" s="3">
        <v>0</v>
      </c>
      <c r="L448" s="3">
        <v>0</v>
      </c>
      <c r="M448" s="6"/>
      <c r="N448" s="6">
        <v>0</v>
      </c>
      <c r="O448" s="13"/>
      <c r="P448" s="60">
        <f t="shared" si="189"/>
        <v>260.3600000000045</v>
      </c>
      <c r="Q448" s="61">
        <f t="shared" si="190"/>
        <v>123.28000000000213</v>
      </c>
      <c r="R448" s="61">
        <f t="shared" si="191"/>
        <v>0</v>
      </c>
      <c r="S448" s="62">
        <f t="shared" si="192"/>
        <v>0</v>
      </c>
      <c r="T448" s="63">
        <f t="shared" si="193"/>
        <v>0</v>
      </c>
      <c r="U448" s="63">
        <f t="shared" si="172"/>
        <v>0</v>
      </c>
      <c r="V448" s="64"/>
      <c r="W448" s="60">
        <v>83</v>
      </c>
      <c r="X448" s="61">
        <v>109</v>
      </c>
      <c r="Y448" s="61">
        <v>119</v>
      </c>
      <c r="Z448" s="61">
        <v>102</v>
      </c>
      <c r="AA448" s="65">
        <v>120</v>
      </c>
      <c r="AB448" s="65">
        <v>147</v>
      </c>
      <c r="AC448" s="66"/>
      <c r="AD448" s="67">
        <f t="shared" si="173"/>
        <v>0.13050314465408805</v>
      </c>
      <c r="AE448" s="67">
        <f t="shared" si="174"/>
        <v>0.17138364779874213</v>
      </c>
      <c r="AF448" s="67">
        <f t="shared" si="175"/>
        <v>0.1871069182389937</v>
      </c>
      <c r="AG448" s="67">
        <f t="shared" si="176"/>
        <v>0.16037735849056603</v>
      </c>
      <c r="AH448" s="67">
        <f t="shared" si="177"/>
        <v>0.18867924528301888</v>
      </c>
      <c r="AI448" s="67">
        <f t="shared" si="178"/>
        <v>0.23113207547169812</v>
      </c>
      <c r="AJ448" s="66"/>
      <c r="AK448" s="68">
        <v>32.539999999999992</v>
      </c>
      <c r="AL448" s="69">
        <v>87.539999999999978</v>
      </c>
      <c r="AM448" s="69">
        <v>87.539999999999978</v>
      </c>
      <c r="AN448" s="69">
        <v>172.13000000000002</v>
      </c>
      <c r="AO448" s="70">
        <v>350.91</v>
      </c>
      <c r="AP448" s="70">
        <v>-27.0899999999999</v>
      </c>
      <c r="AQ448" s="66"/>
      <c r="AR448" s="70" t="s">
        <v>780</v>
      </c>
      <c r="AS448" s="66"/>
      <c r="AT448" s="108">
        <v>43434.34</v>
      </c>
      <c r="AU448" s="109">
        <v>20608.28</v>
      </c>
      <c r="AV448" s="109">
        <v>0</v>
      </c>
      <c r="AW448" s="109">
        <v>0</v>
      </c>
      <c r="AX448" s="110">
        <v>0</v>
      </c>
      <c r="AY448" s="110">
        <v>0</v>
      </c>
    </row>
    <row r="449" spans="1:51" x14ac:dyDescent="0.25">
      <c r="A449" s="8" t="s">
        <v>415</v>
      </c>
      <c r="B449" s="5" t="s">
        <v>416</v>
      </c>
      <c r="C449" s="2">
        <v>0.45000000000000018</v>
      </c>
      <c r="D449" s="24">
        <v>6000</v>
      </c>
      <c r="E449" s="26">
        <f t="shared" si="170"/>
        <v>3000</v>
      </c>
      <c r="F449" s="26">
        <v>15832</v>
      </c>
      <c r="G449" s="30">
        <f t="shared" si="171"/>
        <v>0.18948964123294593</v>
      </c>
      <c r="H449" s="11"/>
      <c r="I449" s="9">
        <v>0</v>
      </c>
      <c r="J449" s="3">
        <v>1230</v>
      </c>
      <c r="K449" s="3">
        <v>500</v>
      </c>
      <c r="L449" s="3">
        <v>630</v>
      </c>
      <c r="M449" s="6"/>
      <c r="N449" s="6">
        <v>992</v>
      </c>
      <c r="O449" s="13"/>
      <c r="P449" s="60">
        <f t="shared" si="189"/>
        <v>0</v>
      </c>
      <c r="Q449" s="61">
        <f t="shared" si="190"/>
        <v>553.50000000000023</v>
      </c>
      <c r="R449" s="61">
        <f t="shared" si="191"/>
        <v>225.00000000000009</v>
      </c>
      <c r="S449" s="62">
        <f t="shared" si="192"/>
        <v>283.50000000000011</v>
      </c>
      <c r="T449" s="63">
        <f t="shared" si="193"/>
        <v>0</v>
      </c>
      <c r="U449" s="63">
        <f t="shared" si="172"/>
        <v>446.4000000000002</v>
      </c>
      <c r="V449" s="64"/>
      <c r="W449" s="60">
        <v>3</v>
      </c>
      <c r="X449" s="61">
        <v>453</v>
      </c>
      <c r="Y449" s="61">
        <v>1968</v>
      </c>
      <c r="Z449" s="61">
        <v>792</v>
      </c>
      <c r="AA449" s="65">
        <v>3066</v>
      </c>
      <c r="AB449" s="65">
        <v>795</v>
      </c>
      <c r="AC449" s="66"/>
      <c r="AD449" s="67">
        <f t="shared" si="173"/>
        <v>1.8948964123294593E-4</v>
      </c>
      <c r="AE449" s="67">
        <f t="shared" si="174"/>
        <v>2.8612935826174836E-2</v>
      </c>
      <c r="AF449" s="67">
        <f t="shared" si="175"/>
        <v>0.12430520464881253</v>
      </c>
      <c r="AG449" s="67">
        <f t="shared" si="176"/>
        <v>5.0025265285497729E-2</v>
      </c>
      <c r="AH449" s="67">
        <f t="shared" si="177"/>
        <v>0.19365841334007075</v>
      </c>
      <c r="AI449" s="67">
        <f t="shared" si="178"/>
        <v>5.0214754926730672E-2</v>
      </c>
      <c r="AJ449" s="66"/>
      <c r="AK449" s="68">
        <v>6.2</v>
      </c>
      <c r="AL449" s="69">
        <v>186.05999999999989</v>
      </c>
      <c r="AM449" s="69">
        <v>186.05999999999989</v>
      </c>
      <c r="AN449" s="69">
        <v>2312.9399999999946</v>
      </c>
      <c r="AO449" s="70">
        <v>521.91999999999905</v>
      </c>
      <c r="AP449" s="70">
        <v>1286.22999999999</v>
      </c>
      <c r="AQ449" s="66"/>
      <c r="AR449" s="70" t="s">
        <v>779</v>
      </c>
      <c r="AS449" s="66"/>
      <c r="AT449" s="108">
        <v>0</v>
      </c>
      <c r="AU449" s="109">
        <v>2794.5</v>
      </c>
      <c r="AV449" s="109">
        <v>2045</v>
      </c>
      <c r="AW449" s="109">
        <v>2329.2199999999998</v>
      </c>
      <c r="AX449" s="110">
        <v>0</v>
      </c>
      <c r="AY449" s="110">
        <v>2305.8199999999997</v>
      </c>
    </row>
    <row r="450" spans="1:51" x14ac:dyDescent="0.25">
      <c r="A450" s="8" t="s">
        <v>623</v>
      </c>
      <c r="B450" s="5" t="s">
        <v>624</v>
      </c>
      <c r="C450" s="2">
        <v>0.41000000000000014</v>
      </c>
      <c r="D450" s="24">
        <v>4000</v>
      </c>
      <c r="E450" s="26">
        <f t="shared" si="170"/>
        <v>2000</v>
      </c>
      <c r="F450" s="26">
        <v>6685</v>
      </c>
      <c r="G450" s="30">
        <f t="shared" si="171"/>
        <v>0.29917726252804788</v>
      </c>
      <c r="H450" s="11"/>
      <c r="I450" s="9">
        <v>0</v>
      </c>
      <c r="J450" s="3">
        <v>0</v>
      </c>
      <c r="K450" s="3">
        <v>0</v>
      </c>
      <c r="L450" s="3">
        <v>835</v>
      </c>
      <c r="M450" s="6">
        <v>826</v>
      </c>
      <c r="N450" s="6">
        <v>2202</v>
      </c>
      <c r="O450" s="13"/>
      <c r="P450" s="60">
        <f t="shared" si="189"/>
        <v>0</v>
      </c>
      <c r="Q450" s="61">
        <f t="shared" si="190"/>
        <v>0</v>
      </c>
      <c r="R450" s="61">
        <f t="shared" si="191"/>
        <v>0</v>
      </c>
      <c r="S450" s="62">
        <f t="shared" si="192"/>
        <v>342.35000000000014</v>
      </c>
      <c r="T450" s="63">
        <f t="shared" si="193"/>
        <v>338.66000000000014</v>
      </c>
      <c r="U450" s="63">
        <f t="shared" si="172"/>
        <v>902.82000000000028</v>
      </c>
      <c r="V450" s="64"/>
      <c r="W450" s="60">
        <v>1319</v>
      </c>
      <c r="X450" s="61">
        <v>599</v>
      </c>
      <c r="Y450" s="61">
        <v>2</v>
      </c>
      <c r="Z450" s="61">
        <v>1126</v>
      </c>
      <c r="AA450" s="65">
        <v>645</v>
      </c>
      <c r="AB450" s="65">
        <v>2492</v>
      </c>
      <c r="AC450" s="66"/>
      <c r="AD450" s="67">
        <f t="shared" si="173"/>
        <v>0.19730740463724758</v>
      </c>
      <c r="AE450" s="67">
        <f t="shared" si="174"/>
        <v>8.9603590127150343E-2</v>
      </c>
      <c r="AF450" s="67">
        <f t="shared" si="175"/>
        <v>2.9917726252804788E-4</v>
      </c>
      <c r="AG450" s="67">
        <f t="shared" si="176"/>
        <v>0.16843679880329096</v>
      </c>
      <c r="AH450" s="67">
        <f t="shared" si="177"/>
        <v>9.648466716529544E-2</v>
      </c>
      <c r="AI450" s="67">
        <f t="shared" si="178"/>
        <v>0.37277486910994767</v>
      </c>
      <c r="AJ450" s="66"/>
      <c r="AK450" s="68">
        <v>0</v>
      </c>
      <c r="AL450" s="69">
        <v>245.59000000000009</v>
      </c>
      <c r="AM450" s="69">
        <v>0.82000000000000028</v>
      </c>
      <c r="AN450" s="69">
        <v>17.309999999999999</v>
      </c>
      <c r="AO450" s="70">
        <v>561.65</v>
      </c>
      <c r="AP450" s="70">
        <v>832.58</v>
      </c>
      <c r="AQ450" s="66"/>
      <c r="AR450" s="70" t="s">
        <v>780</v>
      </c>
      <c r="AS450" s="66"/>
      <c r="AT450" s="108">
        <v>0</v>
      </c>
      <c r="AU450" s="109">
        <v>0</v>
      </c>
      <c r="AV450" s="109">
        <v>0</v>
      </c>
      <c r="AW450" s="109">
        <v>7641.95</v>
      </c>
      <c r="AX450" s="110">
        <v>7726.44</v>
      </c>
      <c r="AY450" s="110">
        <v>20373.04</v>
      </c>
    </row>
    <row r="451" spans="1:51" x14ac:dyDescent="0.25">
      <c r="A451" s="8" t="s">
        <v>701</v>
      </c>
      <c r="B451" s="5" t="s">
        <v>702</v>
      </c>
      <c r="C451" s="2">
        <v>0.41000000000000014</v>
      </c>
      <c r="D451" s="24">
        <v>1200</v>
      </c>
      <c r="E451" s="26">
        <f t="shared" ref="E451:E499" si="194">D451/2</f>
        <v>600</v>
      </c>
      <c r="F451" s="26">
        <v>796</v>
      </c>
      <c r="G451" s="30">
        <f t="shared" ref="G451:G499" si="195">+E451/F451</f>
        <v>0.75376884422110557</v>
      </c>
      <c r="H451" s="11"/>
      <c r="I451" s="9">
        <v>254</v>
      </c>
      <c r="J451" s="3">
        <v>0</v>
      </c>
      <c r="K451" s="3">
        <v>0</v>
      </c>
      <c r="L451" s="3">
        <v>0</v>
      </c>
      <c r="M451" s="6"/>
      <c r="N451" s="6">
        <v>0</v>
      </c>
      <c r="O451" s="13"/>
      <c r="P451" s="60">
        <f t="shared" si="189"/>
        <v>104.14000000000004</v>
      </c>
      <c r="Q451" s="61">
        <f t="shared" si="190"/>
        <v>0</v>
      </c>
      <c r="R451" s="61">
        <f t="shared" si="191"/>
        <v>0</v>
      </c>
      <c r="S451" s="62">
        <f t="shared" si="192"/>
        <v>0</v>
      </c>
      <c r="T451" s="63">
        <f t="shared" si="193"/>
        <v>0</v>
      </c>
      <c r="U451" s="63">
        <f t="shared" si="172"/>
        <v>0</v>
      </c>
      <c r="V451" s="64"/>
      <c r="W451" s="60">
        <v>247</v>
      </c>
      <c r="X451" s="61">
        <v>263</v>
      </c>
      <c r="Y451" s="61">
        <v>386</v>
      </c>
      <c r="Z451" s="61">
        <v>299</v>
      </c>
      <c r="AA451" s="65">
        <v>415</v>
      </c>
      <c r="AB451" s="65">
        <v>435</v>
      </c>
      <c r="AC451" s="66"/>
      <c r="AD451" s="67">
        <f t="shared" si="173"/>
        <v>0.31030150753768843</v>
      </c>
      <c r="AE451" s="67">
        <f t="shared" si="174"/>
        <v>0.33040201005025127</v>
      </c>
      <c r="AF451" s="67">
        <f t="shared" si="175"/>
        <v>0.48492462311557788</v>
      </c>
      <c r="AG451" s="67">
        <f t="shared" si="176"/>
        <v>0.37562814070351758</v>
      </c>
      <c r="AH451" s="67">
        <f t="shared" si="177"/>
        <v>0.52135678391959794</v>
      </c>
      <c r="AI451" s="67">
        <f t="shared" si="178"/>
        <v>0.54648241206030146</v>
      </c>
      <c r="AJ451" s="66"/>
      <c r="AK451" s="68">
        <v>263.79000000000008</v>
      </c>
      <c r="AL451" s="69">
        <v>544.9799999999999</v>
      </c>
      <c r="AM451" s="69">
        <v>544.97999999999979</v>
      </c>
      <c r="AN451" s="69">
        <v>832.7199999999998</v>
      </c>
      <c r="AO451" s="70">
        <v>225.7</v>
      </c>
      <c r="AP451" s="70">
        <v>239.689999999999</v>
      </c>
      <c r="AQ451" s="66"/>
      <c r="AR451" s="70" t="s">
        <v>780</v>
      </c>
      <c r="AS451" s="66"/>
      <c r="AT451" s="108">
        <v>7607.6</v>
      </c>
      <c r="AU451" s="109">
        <v>0</v>
      </c>
      <c r="AV451" s="109">
        <v>0</v>
      </c>
      <c r="AW451" s="109">
        <v>0</v>
      </c>
      <c r="AX451" s="110">
        <v>0</v>
      </c>
      <c r="AY451" s="110">
        <v>0</v>
      </c>
    </row>
    <row r="452" spans="1:51" x14ac:dyDescent="0.25">
      <c r="A452" s="8">
        <v>5135</v>
      </c>
      <c r="B452" s="5" t="s">
        <v>403</v>
      </c>
      <c r="C452" s="2">
        <v>0.40000000000000036</v>
      </c>
      <c r="D452" s="24">
        <v>6000</v>
      </c>
      <c r="E452" s="26">
        <f t="shared" si="194"/>
        <v>3000</v>
      </c>
      <c r="F452" s="26">
        <v>15769</v>
      </c>
      <c r="G452" s="30">
        <f t="shared" si="195"/>
        <v>0.19024668653687615</v>
      </c>
      <c r="H452" s="11"/>
      <c r="I452" s="9">
        <v>0</v>
      </c>
      <c r="J452" s="3">
        <v>0</v>
      </c>
      <c r="K452" s="3">
        <v>0</v>
      </c>
      <c r="L452" s="3">
        <v>0</v>
      </c>
      <c r="M452" s="6"/>
      <c r="N452" s="6">
        <v>0</v>
      </c>
      <c r="O452" s="13"/>
      <c r="P452" s="60">
        <f t="shared" si="189"/>
        <v>0</v>
      </c>
      <c r="Q452" s="61">
        <f t="shared" si="190"/>
        <v>0</v>
      </c>
      <c r="R452" s="61">
        <f t="shared" si="191"/>
        <v>0</v>
      </c>
      <c r="S452" s="62">
        <f t="shared" si="192"/>
        <v>0</v>
      </c>
      <c r="T452" s="63">
        <f t="shared" si="193"/>
        <v>0</v>
      </c>
      <c r="U452" s="63">
        <f t="shared" ref="U452:U499" si="196">+N452*C452</f>
        <v>0</v>
      </c>
      <c r="V452" s="64"/>
      <c r="W452" s="60">
        <v>1462</v>
      </c>
      <c r="X452" s="61">
        <v>2492</v>
      </c>
      <c r="Y452" s="61">
        <v>23</v>
      </c>
      <c r="Z452" s="61">
        <v>0</v>
      </c>
      <c r="AA452" s="65">
        <v>954</v>
      </c>
      <c r="AB452" s="65">
        <v>-87</v>
      </c>
      <c r="AC452" s="66"/>
      <c r="AD452" s="67">
        <f t="shared" ref="AD452:AD499" si="197">+IFERROR(W452/F452,"")</f>
        <v>9.2713551905637639E-2</v>
      </c>
      <c r="AE452" s="67">
        <f t="shared" ref="AE452:AE499" si="198">+IFERROR(X452/F452,"")</f>
        <v>0.15803158094996511</v>
      </c>
      <c r="AF452" s="67">
        <f t="shared" ref="AF452:AF499" si="199">+IFERROR(Y452/F452,"")</f>
        <v>1.4585579301160505E-3</v>
      </c>
      <c r="AG452" s="67">
        <f t="shared" ref="AG452:AG499" si="200">+IFERROR(Z452/F452,"")</f>
        <v>0</v>
      </c>
      <c r="AH452" s="67">
        <f t="shared" ref="AH452:AH499" si="201">+IFERROR(AA452/F452,"")</f>
        <v>6.0498446318726619E-2</v>
      </c>
      <c r="AI452" s="67">
        <f t="shared" ref="AI452:AI499" si="202">+IFERROR(AB452/F452,"")</f>
        <v>-5.517153909569408E-3</v>
      </c>
      <c r="AJ452" s="66"/>
      <c r="AK452" s="68">
        <v>3777.809999999994</v>
      </c>
      <c r="AL452" s="69">
        <v>6010.7299999999823</v>
      </c>
      <c r="AM452" s="69">
        <v>6010.7299999999832</v>
      </c>
      <c r="AN452" s="69">
        <v>46.939999999999905</v>
      </c>
      <c r="AO452" s="70">
        <v>381.60000000000036</v>
      </c>
      <c r="AP452" s="70">
        <v>0</v>
      </c>
      <c r="AQ452" s="66"/>
      <c r="AR452" s="70" t="s">
        <v>779</v>
      </c>
      <c r="AS452" s="66"/>
      <c r="AT452" s="108">
        <v>0</v>
      </c>
      <c r="AU452" s="109">
        <v>0</v>
      </c>
      <c r="AV452" s="109">
        <v>0</v>
      </c>
      <c r="AW452" s="109">
        <v>0</v>
      </c>
      <c r="AX452" s="110">
        <v>0</v>
      </c>
      <c r="AY452" s="110">
        <v>0</v>
      </c>
    </row>
    <row r="453" spans="1:51" x14ac:dyDescent="0.25">
      <c r="A453" s="8">
        <v>5233</v>
      </c>
      <c r="B453" s="5" t="s">
        <v>696</v>
      </c>
      <c r="C453" s="2">
        <v>0.38999999999999702</v>
      </c>
      <c r="D453" s="24">
        <v>200</v>
      </c>
      <c r="E453" s="26">
        <f t="shared" si="194"/>
        <v>100</v>
      </c>
      <c r="F453" s="26">
        <v>2593</v>
      </c>
      <c r="G453" s="30">
        <f t="shared" si="195"/>
        <v>3.8565368299267259E-2</v>
      </c>
      <c r="H453" s="11"/>
      <c r="I453" s="9">
        <v>922</v>
      </c>
      <c r="J453" s="3">
        <v>440</v>
      </c>
      <c r="K453" s="3">
        <v>100</v>
      </c>
      <c r="L453" s="3">
        <v>198</v>
      </c>
      <c r="M453" s="6">
        <v>88</v>
      </c>
      <c r="N453" s="6">
        <v>251</v>
      </c>
      <c r="O453" s="13"/>
      <c r="P453" s="60">
        <f t="shared" si="189"/>
        <v>359.57999999999726</v>
      </c>
      <c r="Q453" s="61">
        <f t="shared" si="190"/>
        <v>171.59999999999869</v>
      </c>
      <c r="R453" s="61">
        <f t="shared" si="191"/>
        <v>38.999999999999702</v>
      </c>
      <c r="S453" s="62">
        <f t="shared" si="192"/>
        <v>77.219999999999402</v>
      </c>
      <c r="T453" s="63">
        <f t="shared" si="193"/>
        <v>34.319999999999737</v>
      </c>
      <c r="U453" s="63">
        <f t="shared" si="196"/>
        <v>97.889999999999247</v>
      </c>
      <c r="V453" s="64"/>
      <c r="W453" s="60">
        <v>200</v>
      </c>
      <c r="X453" s="61">
        <v>242</v>
      </c>
      <c r="Y453" s="61">
        <v>477</v>
      </c>
      <c r="Z453" s="61">
        <v>512</v>
      </c>
      <c r="AA453" s="65">
        <v>273</v>
      </c>
      <c r="AB453" s="65">
        <v>234</v>
      </c>
      <c r="AC453" s="66"/>
      <c r="AD453" s="67">
        <f t="shared" si="197"/>
        <v>7.7130736598534519E-2</v>
      </c>
      <c r="AE453" s="67">
        <f t="shared" si="198"/>
        <v>9.3328191284226758E-2</v>
      </c>
      <c r="AF453" s="67">
        <f t="shared" si="199"/>
        <v>0.18395680678750481</v>
      </c>
      <c r="AG453" s="67">
        <f t="shared" si="200"/>
        <v>0.19745468569224836</v>
      </c>
      <c r="AH453" s="67">
        <f t="shared" si="201"/>
        <v>0.10528345545699962</v>
      </c>
      <c r="AI453" s="67">
        <f t="shared" si="202"/>
        <v>9.0242961820285378E-2</v>
      </c>
      <c r="AJ453" s="66"/>
      <c r="AK453" s="68">
        <v>1275.6300000000001</v>
      </c>
      <c r="AL453" s="69">
        <v>910.94999999999982</v>
      </c>
      <c r="AM453" s="69">
        <v>910.9499999999997</v>
      </c>
      <c r="AN453" s="69">
        <v>1237.1799999999964</v>
      </c>
      <c r="AO453" s="70">
        <v>706.60999999999797</v>
      </c>
      <c r="AP453" s="70">
        <v>78.479999999999905</v>
      </c>
      <c r="AQ453" s="66"/>
      <c r="AR453" s="70" t="s">
        <v>780</v>
      </c>
      <c r="AS453" s="66"/>
      <c r="AT453" s="108">
        <v>22038.879999999997</v>
      </c>
      <c r="AU453" s="109">
        <v>10613.4</v>
      </c>
      <c r="AV453" s="109">
        <v>2389</v>
      </c>
      <c r="AW453" s="109">
        <v>4730.22</v>
      </c>
      <c r="AX453" s="110">
        <v>2093.52</v>
      </c>
      <c r="AY453" s="110">
        <v>5954.68</v>
      </c>
    </row>
    <row r="454" spans="1:51" x14ac:dyDescent="0.25">
      <c r="A454" s="8">
        <v>5841</v>
      </c>
      <c r="B454" s="5" t="s">
        <v>487</v>
      </c>
      <c r="C454" s="2">
        <v>0.37999999999999989</v>
      </c>
      <c r="D454" s="24">
        <v>5000</v>
      </c>
      <c r="E454" s="26">
        <f t="shared" si="194"/>
        <v>2500</v>
      </c>
      <c r="F454" s="26">
        <v>6836</v>
      </c>
      <c r="G454" s="30">
        <f t="shared" si="195"/>
        <v>0.36571094207138677</v>
      </c>
      <c r="H454" s="11"/>
      <c r="I454" s="9">
        <v>1490</v>
      </c>
      <c r="J454" s="3">
        <v>1999</v>
      </c>
      <c r="K454" s="3">
        <v>1940</v>
      </c>
      <c r="L454" s="3">
        <v>3198</v>
      </c>
      <c r="M454" s="6">
        <v>1550</v>
      </c>
      <c r="N454" s="6">
        <v>762</v>
      </c>
      <c r="O454" s="13"/>
      <c r="P454" s="60">
        <f t="shared" si="189"/>
        <v>566.19999999999982</v>
      </c>
      <c r="Q454" s="61">
        <f t="shared" si="190"/>
        <v>759.61999999999978</v>
      </c>
      <c r="R454" s="61">
        <f t="shared" si="191"/>
        <v>737.19999999999982</v>
      </c>
      <c r="S454" s="62">
        <f t="shared" si="192"/>
        <v>1215.2399999999996</v>
      </c>
      <c r="T454" s="63">
        <f t="shared" si="193"/>
        <v>588.99999999999989</v>
      </c>
      <c r="U454" s="63">
        <f t="shared" si="196"/>
        <v>289.55999999999995</v>
      </c>
      <c r="V454" s="64"/>
      <c r="W454" s="60">
        <v>1908</v>
      </c>
      <c r="X454" s="61">
        <v>962</v>
      </c>
      <c r="Y454" s="61">
        <v>2347</v>
      </c>
      <c r="Z454" s="61">
        <v>853</v>
      </c>
      <c r="AA454" s="65">
        <v>1970</v>
      </c>
      <c r="AB454" s="65">
        <v>2994</v>
      </c>
      <c r="AC454" s="66"/>
      <c r="AD454" s="67">
        <f t="shared" si="197"/>
        <v>0.27911059098888241</v>
      </c>
      <c r="AE454" s="67">
        <f t="shared" si="198"/>
        <v>0.14072557050906964</v>
      </c>
      <c r="AF454" s="67">
        <f t="shared" si="199"/>
        <v>0.3433294324166179</v>
      </c>
      <c r="AG454" s="67">
        <f t="shared" si="200"/>
        <v>0.12478057343475717</v>
      </c>
      <c r="AH454" s="67">
        <f t="shared" si="201"/>
        <v>0.28818022235225277</v>
      </c>
      <c r="AI454" s="67">
        <f t="shared" si="202"/>
        <v>0.43797542422469282</v>
      </c>
      <c r="AJ454" s="66"/>
      <c r="AK454" s="68">
        <v>799.7000000000013</v>
      </c>
      <c r="AL454" s="69">
        <v>690.42999999999961</v>
      </c>
      <c r="AM454" s="69">
        <v>690.42999999999927</v>
      </c>
      <c r="AN454" s="69">
        <v>1380.6799999999987</v>
      </c>
      <c r="AO454" s="70">
        <v>477.9</v>
      </c>
      <c r="AP454" s="70">
        <v>1150.3399999999899</v>
      </c>
      <c r="AQ454" s="66"/>
      <c r="AR454" s="70" t="s">
        <v>780</v>
      </c>
      <c r="AS454" s="66"/>
      <c r="AT454" s="108">
        <v>6433.1</v>
      </c>
      <c r="AU454" s="109">
        <v>8524.6099999999988</v>
      </c>
      <c r="AV454" s="109">
        <v>8368.2999999999993</v>
      </c>
      <c r="AW454" s="109">
        <v>13634.98</v>
      </c>
      <c r="AX454" s="110">
        <v>6563.5</v>
      </c>
      <c r="AY454" s="110">
        <v>3205.9399999999996</v>
      </c>
    </row>
    <row r="455" spans="1:51" x14ac:dyDescent="0.25">
      <c r="A455" s="8">
        <v>5082</v>
      </c>
      <c r="B455" s="5" t="s">
        <v>515</v>
      </c>
      <c r="C455" s="2">
        <v>0.37999999999999989</v>
      </c>
      <c r="D455" s="24">
        <v>15000</v>
      </c>
      <c r="E455" s="26">
        <f t="shared" si="194"/>
        <v>7500</v>
      </c>
      <c r="F455" s="26">
        <v>27341</v>
      </c>
      <c r="G455" s="30">
        <f t="shared" si="195"/>
        <v>0.27431330236640944</v>
      </c>
      <c r="H455" s="11"/>
      <c r="I455" s="9">
        <v>4289</v>
      </c>
      <c r="J455" s="3">
        <v>5765</v>
      </c>
      <c r="K455" s="3">
        <v>5408</v>
      </c>
      <c r="L455" s="3">
        <v>6115</v>
      </c>
      <c r="M455" s="6">
        <v>3894</v>
      </c>
      <c r="N455" s="6">
        <v>5844</v>
      </c>
      <c r="O455" s="13"/>
      <c r="P455" s="60">
        <f t="shared" si="189"/>
        <v>1629.8199999999995</v>
      </c>
      <c r="Q455" s="61">
        <f t="shared" si="190"/>
        <v>2190.6999999999994</v>
      </c>
      <c r="R455" s="61">
        <f t="shared" si="191"/>
        <v>2055.0399999999995</v>
      </c>
      <c r="S455" s="62">
        <f t="shared" si="192"/>
        <v>2323.6999999999994</v>
      </c>
      <c r="T455" s="63">
        <f t="shared" si="193"/>
        <v>1479.7199999999996</v>
      </c>
      <c r="U455" s="63">
        <f t="shared" si="196"/>
        <v>2220.7199999999993</v>
      </c>
      <c r="V455" s="64"/>
      <c r="W455" s="60">
        <v>4214</v>
      </c>
      <c r="X455" s="61">
        <v>5631</v>
      </c>
      <c r="Y455" s="61">
        <v>5897</v>
      </c>
      <c r="Z455" s="61">
        <v>8291</v>
      </c>
      <c r="AA455" s="65">
        <v>7164</v>
      </c>
      <c r="AB455" s="65">
        <v>3569</v>
      </c>
      <c r="AC455" s="66"/>
      <c r="AD455" s="67">
        <f t="shared" si="197"/>
        <v>0.15412750082293991</v>
      </c>
      <c r="AE455" s="67">
        <f t="shared" si="198"/>
        <v>0.2059544274167002</v>
      </c>
      <c r="AF455" s="67">
        <f t="shared" si="199"/>
        <v>0.21568340587396218</v>
      </c>
      <c r="AG455" s="67">
        <f t="shared" si="200"/>
        <v>0.30324421198932006</v>
      </c>
      <c r="AH455" s="67">
        <f t="shared" si="201"/>
        <v>0.26202406642039427</v>
      </c>
      <c r="AI455" s="67">
        <f t="shared" si="202"/>
        <v>0.13053655681942869</v>
      </c>
      <c r="AJ455" s="66"/>
      <c r="AK455" s="68">
        <v>2339.959999999995</v>
      </c>
      <c r="AL455" s="69">
        <v>3127.7699999999891</v>
      </c>
      <c r="AM455" s="69">
        <v>3127.7699999999891</v>
      </c>
      <c r="AN455" s="69">
        <v>2575.3799999999928</v>
      </c>
      <c r="AO455" s="70">
        <v>3049.0700000000702</v>
      </c>
      <c r="AP455" s="70">
        <v>747.71999999999002</v>
      </c>
      <c r="AQ455" s="66"/>
      <c r="AR455" s="70" t="s">
        <v>780</v>
      </c>
      <c r="AS455" s="66"/>
      <c r="AT455" s="108">
        <v>20451.14</v>
      </c>
      <c r="AU455" s="109">
        <v>27538.99</v>
      </c>
      <c r="AV455" s="109">
        <v>25737.559999999998</v>
      </c>
      <c r="AW455" s="109">
        <v>29093.469999999994</v>
      </c>
      <c r="AX455" s="110">
        <v>18420.11</v>
      </c>
      <c r="AY455" s="110">
        <v>27689.529999999995</v>
      </c>
    </row>
    <row r="456" spans="1:51" x14ac:dyDescent="0.25">
      <c r="A456" s="8" t="s">
        <v>505</v>
      </c>
      <c r="B456" s="5" t="s">
        <v>506</v>
      </c>
      <c r="C456" s="2">
        <v>0.36000000000000032</v>
      </c>
      <c r="D456" s="24">
        <v>2000</v>
      </c>
      <c r="E456" s="26">
        <f t="shared" si="194"/>
        <v>1000</v>
      </c>
      <c r="F456" s="26">
        <v>5089</v>
      </c>
      <c r="G456" s="30">
        <f t="shared" si="195"/>
        <v>0.19650225977598743</v>
      </c>
      <c r="H456" s="11"/>
      <c r="I456" s="9">
        <v>988</v>
      </c>
      <c r="J456" s="3">
        <v>0</v>
      </c>
      <c r="K456" s="3">
        <v>0</v>
      </c>
      <c r="L456" s="3">
        <v>200</v>
      </c>
      <c r="M456" s="6">
        <v>1300</v>
      </c>
      <c r="N456" s="6">
        <v>2220</v>
      </c>
      <c r="O456" s="13"/>
      <c r="P456" s="60">
        <f t="shared" si="189"/>
        <v>355.68000000000029</v>
      </c>
      <c r="Q456" s="61">
        <f t="shared" si="190"/>
        <v>0</v>
      </c>
      <c r="R456" s="61">
        <f t="shared" si="191"/>
        <v>0</v>
      </c>
      <c r="S456" s="62">
        <f t="shared" si="192"/>
        <v>72.000000000000057</v>
      </c>
      <c r="T456" s="63">
        <f t="shared" si="193"/>
        <v>468.0000000000004</v>
      </c>
      <c r="U456" s="63">
        <f t="shared" si="196"/>
        <v>799.20000000000073</v>
      </c>
      <c r="V456" s="64"/>
      <c r="W456" s="60">
        <v>1295</v>
      </c>
      <c r="X456" s="61">
        <v>2061</v>
      </c>
      <c r="Y456" s="61">
        <v>1182</v>
      </c>
      <c r="Z456" s="61">
        <v>189</v>
      </c>
      <c r="AA456" s="65">
        <v>510</v>
      </c>
      <c r="AB456" s="65">
        <v>1218</v>
      </c>
      <c r="AC456" s="66"/>
      <c r="AD456" s="67">
        <f t="shared" si="197"/>
        <v>0.25447042640990369</v>
      </c>
      <c r="AE456" s="67">
        <f t="shared" si="198"/>
        <v>0.4049911573983101</v>
      </c>
      <c r="AF456" s="67">
        <f t="shared" si="199"/>
        <v>0.23226567105521714</v>
      </c>
      <c r="AG456" s="67">
        <f t="shared" si="200"/>
        <v>3.7138927097661624E-2</v>
      </c>
      <c r="AH456" s="67">
        <f t="shared" si="201"/>
        <v>0.10021615248575359</v>
      </c>
      <c r="AI456" s="67">
        <f t="shared" si="202"/>
        <v>0.23933975240715269</v>
      </c>
      <c r="AJ456" s="66"/>
      <c r="AK456" s="68">
        <v>721.88000000000125</v>
      </c>
      <c r="AL456" s="69">
        <v>1366.6399999999987</v>
      </c>
      <c r="AM456" s="69">
        <v>1366.6399999999987</v>
      </c>
      <c r="AN456" s="69">
        <v>584.05999999999995</v>
      </c>
      <c r="AO456" s="70">
        <v>268.86999999999898</v>
      </c>
      <c r="AP456" s="70">
        <v>452.70000000000101</v>
      </c>
      <c r="AQ456" s="66"/>
      <c r="AR456" s="70" t="s">
        <v>780</v>
      </c>
      <c r="AS456" s="66"/>
      <c r="AT456" s="108">
        <v>4248.2</v>
      </c>
      <c r="AU456" s="109">
        <v>0</v>
      </c>
      <c r="AV456" s="109">
        <v>0</v>
      </c>
      <c r="AW456" s="109">
        <v>876</v>
      </c>
      <c r="AX456" s="110">
        <v>5668</v>
      </c>
      <c r="AY456" s="110">
        <v>9694.119999999999</v>
      </c>
    </row>
    <row r="457" spans="1:51" x14ac:dyDescent="0.25">
      <c r="A457" s="8">
        <v>5950</v>
      </c>
      <c r="B457" s="5" t="s">
        <v>488</v>
      </c>
      <c r="C457" s="2">
        <v>0.34999999999999964</v>
      </c>
      <c r="D457" s="24">
        <v>600</v>
      </c>
      <c r="E457" s="26">
        <f t="shared" si="194"/>
        <v>300</v>
      </c>
      <c r="F457" s="26">
        <v>886</v>
      </c>
      <c r="G457" s="30">
        <f t="shared" si="195"/>
        <v>0.33860045146726864</v>
      </c>
      <c r="H457" s="11"/>
      <c r="I457" s="9">
        <v>0</v>
      </c>
      <c r="J457" s="3">
        <v>0</v>
      </c>
      <c r="K457" s="3">
        <v>250</v>
      </c>
      <c r="L457" s="3">
        <v>1060</v>
      </c>
      <c r="M457" s="6">
        <v>698</v>
      </c>
      <c r="N457" s="6">
        <v>271</v>
      </c>
      <c r="O457" s="13"/>
      <c r="P457" s="60">
        <f t="shared" si="189"/>
        <v>0</v>
      </c>
      <c r="Q457" s="61">
        <f t="shared" si="190"/>
        <v>0</v>
      </c>
      <c r="R457" s="61">
        <f t="shared" si="191"/>
        <v>87.499999999999915</v>
      </c>
      <c r="S457" s="62">
        <f t="shared" si="192"/>
        <v>370.9999999999996</v>
      </c>
      <c r="T457" s="63">
        <f t="shared" si="193"/>
        <v>244.29999999999976</v>
      </c>
      <c r="U457" s="63">
        <f t="shared" si="196"/>
        <v>94.849999999999909</v>
      </c>
      <c r="V457" s="64"/>
      <c r="W457" s="60">
        <v>412</v>
      </c>
      <c r="X457" s="61">
        <v>1</v>
      </c>
      <c r="Y457" s="61">
        <v>0</v>
      </c>
      <c r="Z457" s="61">
        <v>0</v>
      </c>
      <c r="AA457" s="65">
        <v>32</v>
      </c>
      <c r="AB457" s="65">
        <v>98</v>
      </c>
      <c r="AC457" s="66"/>
      <c r="AD457" s="67">
        <f t="shared" si="197"/>
        <v>0.4650112866817156</v>
      </c>
      <c r="AE457" s="67">
        <f t="shared" si="198"/>
        <v>1.128668171557562E-3</v>
      </c>
      <c r="AF457" s="67">
        <f t="shared" si="199"/>
        <v>0</v>
      </c>
      <c r="AG457" s="67">
        <f t="shared" si="200"/>
        <v>0</v>
      </c>
      <c r="AH457" s="67">
        <f t="shared" si="201"/>
        <v>3.6117381489841983E-2</v>
      </c>
      <c r="AI457" s="67">
        <f t="shared" si="202"/>
        <v>0.11060948081264109</v>
      </c>
      <c r="AJ457" s="66"/>
      <c r="AK457" s="68">
        <v>301.95999999999992</v>
      </c>
      <c r="AL457" s="69">
        <v>1.49</v>
      </c>
      <c r="AM457" s="69">
        <v>1.49</v>
      </c>
      <c r="AN457" s="69">
        <v>0</v>
      </c>
      <c r="AO457" s="70">
        <v>11.199999999999989</v>
      </c>
      <c r="AP457" s="70">
        <v>37.549999999999898</v>
      </c>
      <c r="AQ457" s="66"/>
      <c r="AR457" s="70" t="s">
        <v>780</v>
      </c>
      <c r="AS457" s="66"/>
      <c r="AT457" s="108">
        <v>0</v>
      </c>
      <c r="AU457" s="109">
        <v>0</v>
      </c>
      <c r="AV457" s="109">
        <v>972.5</v>
      </c>
      <c r="AW457" s="109">
        <v>4169.2999999999993</v>
      </c>
      <c r="AX457" s="110">
        <v>2732.04</v>
      </c>
      <c r="AY457" s="110">
        <v>1054.19</v>
      </c>
    </row>
    <row r="458" spans="1:51" x14ac:dyDescent="0.25">
      <c r="A458" s="8" t="s">
        <v>683</v>
      </c>
      <c r="B458" s="5" t="s">
        <v>684</v>
      </c>
      <c r="C458" s="2">
        <v>0.33999999999999986</v>
      </c>
      <c r="D458" s="24">
        <v>401.6</v>
      </c>
      <c r="E458" s="26">
        <f t="shared" si="194"/>
        <v>200.8</v>
      </c>
      <c r="F458" s="26">
        <v>670</v>
      </c>
      <c r="G458" s="30">
        <f t="shared" si="195"/>
        <v>0.29970149253731343</v>
      </c>
      <c r="H458" s="11"/>
      <c r="I458" s="9">
        <v>112</v>
      </c>
      <c r="J458" s="3">
        <v>160</v>
      </c>
      <c r="K458" s="3">
        <v>0</v>
      </c>
      <c r="L458" s="3">
        <v>0</v>
      </c>
      <c r="M458" s="6">
        <v>29</v>
      </c>
      <c r="N458" s="6">
        <v>0</v>
      </c>
      <c r="O458" s="13"/>
      <c r="P458" s="60">
        <f t="shared" si="189"/>
        <v>38.079999999999984</v>
      </c>
      <c r="Q458" s="61">
        <f t="shared" si="190"/>
        <v>54.399999999999977</v>
      </c>
      <c r="R458" s="61">
        <f t="shared" si="191"/>
        <v>0</v>
      </c>
      <c r="S458" s="62">
        <f t="shared" si="192"/>
        <v>0</v>
      </c>
      <c r="T458" s="63">
        <f t="shared" si="193"/>
        <v>9.8599999999999959</v>
      </c>
      <c r="U458" s="63">
        <f t="shared" si="196"/>
        <v>0</v>
      </c>
      <c r="V458" s="64"/>
      <c r="W458" s="60">
        <v>268</v>
      </c>
      <c r="X458" s="61">
        <v>94</v>
      </c>
      <c r="Y458" s="61">
        <v>84</v>
      </c>
      <c r="Z458" s="61">
        <v>248</v>
      </c>
      <c r="AA458" s="65">
        <v>310</v>
      </c>
      <c r="AB458" s="65">
        <v>306</v>
      </c>
      <c r="AC458" s="66"/>
      <c r="AD458" s="67">
        <f t="shared" si="197"/>
        <v>0.4</v>
      </c>
      <c r="AE458" s="67">
        <f t="shared" si="198"/>
        <v>0.14029850746268657</v>
      </c>
      <c r="AF458" s="67">
        <f t="shared" si="199"/>
        <v>0.1253731343283582</v>
      </c>
      <c r="AG458" s="67">
        <f t="shared" si="200"/>
        <v>0.37014925373134328</v>
      </c>
      <c r="AH458" s="67">
        <f t="shared" si="201"/>
        <v>0.46268656716417911</v>
      </c>
      <c r="AI458" s="67">
        <f t="shared" si="202"/>
        <v>0.45671641791044776</v>
      </c>
      <c r="AJ458" s="66"/>
      <c r="AK458" s="68">
        <v>69.919999999999973</v>
      </c>
      <c r="AL458" s="69">
        <v>37.559999999999938</v>
      </c>
      <c r="AM458" s="69">
        <v>37.559999999999938</v>
      </c>
      <c r="AN458" s="69">
        <v>20.060000000000002</v>
      </c>
      <c r="AO458" s="70">
        <v>16.459999999999901</v>
      </c>
      <c r="AP458" s="70">
        <v>117.19999999999899</v>
      </c>
      <c r="AQ458" s="66"/>
      <c r="AR458" s="70" t="s">
        <v>780</v>
      </c>
      <c r="AS458" s="66"/>
      <c r="AT458" s="108">
        <v>596.78</v>
      </c>
      <c r="AU458" s="109">
        <v>855.6</v>
      </c>
      <c r="AV458" s="109">
        <v>0</v>
      </c>
      <c r="AW458" s="109">
        <v>0</v>
      </c>
      <c r="AX458" s="110">
        <v>153.99</v>
      </c>
      <c r="AY458" s="110">
        <v>0</v>
      </c>
    </row>
    <row r="459" spans="1:51" x14ac:dyDescent="0.25">
      <c r="A459" s="8">
        <v>5418</v>
      </c>
      <c r="B459" s="5" t="s">
        <v>663</v>
      </c>
      <c r="C459" s="2">
        <v>0.32000000000000028</v>
      </c>
      <c r="D459" s="24">
        <v>2000</v>
      </c>
      <c r="E459" s="26">
        <f t="shared" si="194"/>
        <v>1000</v>
      </c>
      <c r="F459" s="26">
        <v>44009</v>
      </c>
      <c r="G459" s="30">
        <f t="shared" si="195"/>
        <v>2.2722624917630486E-2</v>
      </c>
      <c r="H459" s="11"/>
      <c r="I459" s="9">
        <v>320</v>
      </c>
      <c r="J459" s="3">
        <v>2909</v>
      </c>
      <c r="K459" s="3">
        <v>5031</v>
      </c>
      <c r="L459" s="3">
        <v>13048</v>
      </c>
      <c r="M459" s="6">
        <v>2570</v>
      </c>
      <c r="N459" s="6">
        <v>2612</v>
      </c>
      <c r="O459" s="13"/>
      <c r="P459" s="60">
        <f t="shared" si="189"/>
        <v>102.40000000000009</v>
      </c>
      <c r="Q459" s="61">
        <f t="shared" si="190"/>
        <v>930.88000000000079</v>
      </c>
      <c r="R459" s="61">
        <f t="shared" si="191"/>
        <v>1609.9200000000014</v>
      </c>
      <c r="S459" s="62">
        <f t="shared" si="192"/>
        <v>4175.3600000000033</v>
      </c>
      <c r="T459" s="63">
        <f t="shared" si="193"/>
        <v>822.40000000000077</v>
      </c>
      <c r="U459" s="63">
        <f t="shared" si="196"/>
        <v>835.84000000000071</v>
      </c>
      <c r="V459" s="64"/>
      <c r="W459" s="60">
        <v>49</v>
      </c>
      <c r="X459" s="61">
        <v>1311</v>
      </c>
      <c r="Y459" s="61">
        <v>2997</v>
      </c>
      <c r="Z459" s="61">
        <v>5590</v>
      </c>
      <c r="AA459" s="65">
        <v>4073</v>
      </c>
      <c r="AB459" s="65">
        <v>9149</v>
      </c>
      <c r="AC459" s="66"/>
      <c r="AD459" s="67">
        <f t="shared" si="197"/>
        <v>1.1134086209638938E-3</v>
      </c>
      <c r="AE459" s="67">
        <f t="shared" si="198"/>
        <v>2.9789361267013564E-2</v>
      </c>
      <c r="AF459" s="67">
        <f t="shared" si="199"/>
        <v>6.8099706878138558E-2</v>
      </c>
      <c r="AG459" s="67">
        <f t="shared" si="200"/>
        <v>0.1270194732895544</v>
      </c>
      <c r="AH459" s="67">
        <f t="shared" si="201"/>
        <v>9.2549251289508958E-2</v>
      </c>
      <c r="AI459" s="67">
        <f t="shared" si="202"/>
        <v>0.2078892953714013</v>
      </c>
      <c r="AJ459" s="66"/>
      <c r="AK459" s="68">
        <v>83.79000000000002</v>
      </c>
      <c r="AL459" s="69">
        <v>1083.429999999998</v>
      </c>
      <c r="AM459" s="69">
        <v>1083.429999999998</v>
      </c>
      <c r="AN459" s="69">
        <v>2352.189999999991</v>
      </c>
      <c r="AO459" s="70">
        <v>3215.26999999998</v>
      </c>
      <c r="AP459" s="70">
        <v>3437.4700000000598</v>
      </c>
      <c r="AQ459" s="66"/>
      <c r="AR459" s="70" t="s">
        <v>780</v>
      </c>
      <c r="AS459" s="66"/>
      <c r="AT459" s="108">
        <v>3392</v>
      </c>
      <c r="AU459" s="109">
        <v>33109.910000000003</v>
      </c>
      <c r="AV459" s="109">
        <v>56621.46</v>
      </c>
      <c r="AW459" s="109">
        <v>149078.86000000002</v>
      </c>
      <c r="AX459" s="110">
        <v>30566.1</v>
      </c>
      <c r="AY459" s="110">
        <v>29307.460000000003</v>
      </c>
    </row>
    <row r="460" spans="1:51" x14ac:dyDescent="0.25">
      <c r="A460" s="8">
        <v>753</v>
      </c>
      <c r="B460" s="5" t="s">
        <v>419</v>
      </c>
      <c r="C460" s="2">
        <v>0.31000000000000005</v>
      </c>
      <c r="D460" s="24">
        <v>3000</v>
      </c>
      <c r="E460" s="26">
        <f t="shared" si="194"/>
        <v>1500</v>
      </c>
      <c r="F460" s="26">
        <v>34220</v>
      </c>
      <c r="G460" s="30">
        <f t="shared" si="195"/>
        <v>4.3834015195791935E-2</v>
      </c>
      <c r="H460" s="11"/>
      <c r="I460" s="9">
        <v>90</v>
      </c>
      <c r="J460" s="3">
        <v>0</v>
      </c>
      <c r="K460" s="3">
        <v>0</v>
      </c>
      <c r="L460" s="3">
        <v>596</v>
      </c>
      <c r="M460" s="6">
        <v>700</v>
      </c>
      <c r="N460" s="6">
        <v>96</v>
      </c>
      <c r="O460" s="13"/>
      <c r="P460" s="60">
        <f t="shared" si="189"/>
        <v>27.900000000000006</v>
      </c>
      <c r="Q460" s="61">
        <f t="shared" si="190"/>
        <v>0</v>
      </c>
      <c r="R460" s="61">
        <f t="shared" si="191"/>
        <v>0</v>
      </c>
      <c r="S460" s="62">
        <f t="shared" si="192"/>
        <v>184.76000000000002</v>
      </c>
      <c r="T460" s="63">
        <f t="shared" si="193"/>
        <v>217.00000000000003</v>
      </c>
      <c r="U460" s="63">
        <f t="shared" si="196"/>
        <v>29.760000000000005</v>
      </c>
      <c r="V460" s="64"/>
      <c r="W460" s="60">
        <v>0</v>
      </c>
      <c r="X460" s="61">
        <v>88</v>
      </c>
      <c r="Y460" s="61">
        <v>0</v>
      </c>
      <c r="Z460" s="61">
        <v>0</v>
      </c>
      <c r="AA460" s="65">
        <v>99</v>
      </c>
      <c r="AB460" s="65">
        <v>0</v>
      </c>
      <c r="AC460" s="66"/>
      <c r="AD460" s="67">
        <f t="shared" si="197"/>
        <v>0</v>
      </c>
      <c r="AE460" s="67">
        <f t="shared" si="198"/>
        <v>2.5715955581531269E-3</v>
      </c>
      <c r="AF460" s="67">
        <f t="shared" si="199"/>
        <v>0</v>
      </c>
      <c r="AG460" s="67">
        <f t="shared" si="200"/>
        <v>0</v>
      </c>
      <c r="AH460" s="67">
        <f t="shared" si="201"/>
        <v>2.8930450029222678E-3</v>
      </c>
      <c r="AI460" s="67">
        <f t="shared" si="202"/>
        <v>0</v>
      </c>
      <c r="AJ460" s="66"/>
      <c r="AK460" s="68">
        <v>0</v>
      </c>
      <c r="AL460" s="69">
        <v>44.11</v>
      </c>
      <c r="AM460" s="69">
        <v>44.11</v>
      </c>
      <c r="AN460" s="69">
        <v>0</v>
      </c>
      <c r="AO460" s="70">
        <v>30.690000000000005</v>
      </c>
      <c r="AP460" s="70">
        <v>0</v>
      </c>
      <c r="AQ460" s="66"/>
      <c r="AR460" s="70" t="s">
        <v>779</v>
      </c>
      <c r="AS460" s="66"/>
      <c r="AT460" s="108">
        <v>200.7</v>
      </c>
      <c r="AU460" s="109">
        <v>0</v>
      </c>
      <c r="AV460" s="109">
        <v>0</v>
      </c>
      <c r="AW460" s="109">
        <v>1421.8</v>
      </c>
      <c r="AX460" s="110">
        <v>1660</v>
      </c>
      <c r="AY460" s="110">
        <v>218.88</v>
      </c>
    </row>
    <row r="461" spans="1:51" x14ac:dyDescent="0.25">
      <c r="A461" s="8">
        <v>6006</v>
      </c>
      <c r="B461" s="5" t="s">
        <v>517</v>
      </c>
      <c r="C461" s="2">
        <v>0.2799999999999998</v>
      </c>
      <c r="D461" s="24">
        <v>542.4</v>
      </c>
      <c r="E461" s="26">
        <f t="shared" si="194"/>
        <v>271.2</v>
      </c>
      <c r="F461" s="26">
        <v>2032</v>
      </c>
      <c r="G461" s="30">
        <f t="shared" si="195"/>
        <v>0.13346456692913386</v>
      </c>
      <c r="H461" s="11"/>
      <c r="I461" s="9">
        <v>895</v>
      </c>
      <c r="J461" s="3">
        <v>0</v>
      </c>
      <c r="K461" s="3">
        <v>535</v>
      </c>
      <c r="L461" s="3">
        <v>0</v>
      </c>
      <c r="M461" s="6"/>
      <c r="N461" s="6">
        <v>0</v>
      </c>
      <c r="O461" s="13"/>
      <c r="P461" s="60">
        <f t="shared" si="189"/>
        <v>250.59999999999982</v>
      </c>
      <c r="Q461" s="61">
        <f t="shared" si="190"/>
        <v>0</v>
      </c>
      <c r="R461" s="61">
        <f t="shared" si="191"/>
        <v>149.7999999999999</v>
      </c>
      <c r="S461" s="62">
        <f t="shared" si="192"/>
        <v>0</v>
      </c>
      <c r="T461" s="63">
        <f t="shared" si="193"/>
        <v>0</v>
      </c>
      <c r="U461" s="63">
        <f t="shared" si="196"/>
        <v>0</v>
      </c>
      <c r="V461" s="64"/>
      <c r="W461" s="60">
        <v>394</v>
      </c>
      <c r="X461" s="61">
        <v>375</v>
      </c>
      <c r="Y461" s="61">
        <v>239</v>
      </c>
      <c r="Z461" s="61">
        <v>104</v>
      </c>
      <c r="AA461" s="65">
        <v>244</v>
      </c>
      <c r="AB461" s="65">
        <v>562</v>
      </c>
      <c r="AC461" s="66"/>
      <c r="AD461" s="67">
        <f t="shared" si="197"/>
        <v>0.19389763779527558</v>
      </c>
      <c r="AE461" s="67">
        <f t="shared" si="198"/>
        <v>0.18454724409448819</v>
      </c>
      <c r="AF461" s="67">
        <f t="shared" si="199"/>
        <v>0.11761811023622047</v>
      </c>
      <c r="AG461" s="67">
        <f t="shared" si="200"/>
        <v>5.1181102362204724E-2</v>
      </c>
      <c r="AH461" s="67">
        <f t="shared" si="201"/>
        <v>0.12007874015748031</v>
      </c>
      <c r="AI461" s="67">
        <f t="shared" si="202"/>
        <v>0.27657480314960631</v>
      </c>
      <c r="AJ461" s="66"/>
      <c r="AK461" s="68">
        <v>162.88999999999999</v>
      </c>
      <c r="AL461" s="69">
        <v>185.68999999999997</v>
      </c>
      <c r="AM461" s="69">
        <v>185.69</v>
      </c>
      <c r="AN461" s="69">
        <v>113.09</v>
      </c>
      <c r="AO461" s="70">
        <v>64.569999999999993</v>
      </c>
      <c r="AP461" s="70">
        <v>153.6</v>
      </c>
      <c r="AQ461" s="66"/>
      <c r="AR461" s="70" t="s">
        <v>780</v>
      </c>
      <c r="AS461" s="66"/>
      <c r="AT461" s="108">
        <v>3100.25</v>
      </c>
      <c r="AU461" s="109">
        <v>0</v>
      </c>
      <c r="AV461" s="109">
        <v>1845.75</v>
      </c>
      <c r="AW461" s="109">
        <v>0</v>
      </c>
      <c r="AX461" s="110">
        <v>0</v>
      </c>
      <c r="AY461" s="110">
        <v>0</v>
      </c>
    </row>
    <row r="462" spans="1:51" x14ac:dyDescent="0.25">
      <c r="A462" s="8" t="s">
        <v>385</v>
      </c>
      <c r="B462" s="5" t="s">
        <v>386</v>
      </c>
      <c r="C462" s="2">
        <v>0.2799999999999998</v>
      </c>
      <c r="D462" s="24">
        <v>1000</v>
      </c>
      <c r="E462" s="26">
        <f t="shared" si="194"/>
        <v>500</v>
      </c>
      <c r="F462" s="26">
        <v>3000</v>
      </c>
      <c r="G462" s="30">
        <f t="shared" si="195"/>
        <v>0.16666666666666666</v>
      </c>
      <c r="H462" s="11"/>
      <c r="I462" s="9">
        <v>0</v>
      </c>
      <c r="J462" s="3">
        <v>400</v>
      </c>
      <c r="K462" s="3">
        <v>470</v>
      </c>
      <c r="L462" s="3">
        <v>0</v>
      </c>
      <c r="M462" s="6"/>
      <c r="N462" s="6">
        <v>100</v>
      </c>
      <c r="O462" s="13"/>
      <c r="P462" s="60">
        <f t="shared" si="189"/>
        <v>0</v>
      </c>
      <c r="Q462" s="61">
        <f t="shared" si="190"/>
        <v>111.99999999999991</v>
      </c>
      <c r="R462" s="61">
        <f t="shared" si="191"/>
        <v>131.59999999999991</v>
      </c>
      <c r="S462" s="62">
        <f t="shared" si="192"/>
        <v>0</v>
      </c>
      <c r="T462" s="63">
        <f t="shared" si="193"/>
        <v>0</v>
      </c>
      <c r="U462" s="63">
        <f t="shared" si="196"/>
        <v>27.999999999999979</v>
      </c>
      <c r="V462" s="64"/>
      <c r="W462" s="60">
        <v>99</v>
      </c>
      <c r="X462" s="61">
        <v>0</v>
      </c>
      <c r="Y462" s="61">
        <v>41</v>
      </c>
      <c r="Z462" s="61">
        <v>653</v>
      </c>
      <c r="AA462" s="65">
        <v>166</v>
      </c>
      <c r="AB462" s="65">
        <v>0</v>
      </c>
      <c r="AC462" s="66"/>
      <c r="AD462" s="67">
        <f t="shared" si="197"/>
        <v>3.3000000000000002E-2</v>
      </c>
      <c r="AE462" s="67">
        <f t="shared" si="198"/>
        <v>0</v>
      </c>
      <c r="AF462" s="67">
        <f t="shared" si="199"/>
        <v>1.3666666666666667E-2</v>
      </c>
      <c r="AG462" s="67">
        <f t="shared" si="200"/>
        <v>0.21766666666666667</v>
      </c>
      <c r="AH462" s="67">
        <f t="shared" si="201"/>
        <v>5.5333333333333332E-2</v>
      </c>
      <c r="AI462" s="67">
        <f t="shared" si="202"/>
        <v>0</v>
      </c>
      <c r="AJ462" s="66"/>
      <c r="AK462" s="68">
        <v>40.590000000000003</v>
      </c>
      <c r="AL462" s="69">
        <v>0</v>
      </c>
      <c r="AM462" s="69">
        <v>11.479999999999992</v>
      </c>
      <c r="AN462" s="69">
        <v>41.5</v>
      </c>
      <c r="AO462" s="70">
        <v>234.04</v>
      </c>
      <c r="AP462" s="70">
        <v>0</v>
      </c>
      <c r="AQ462" s="66"/>
      <c r="AR462" s="70" t="s">
        <v>779</v>
      </c>
      <c r="AS462" s="66"/>
      <c r="AT462" s="108">
        <v>0</v>
      </c>
      <c r="AU462" s="109">
        <v>729</v>
      </c>
      <c r="AV462" s="109">
        <v>867.9</v>
      </c>
      <c r="AW462" s="109">
        <v>0</v>
      </c>
      <c r="AX462" s="110">
        <v>0</v>
      </c>
      <c r="AY462" s="110">
        <v>179.5</v>
      </c>
    </row>
    <row r="463" spans="1:51" x14ac:dyDescent="0.25">
      <c r="A463" s="8" t="s">
        <v>656</v>
      </c>
      <c r="B463" s="5" t="s">
        <v>657</v>
      </c>
      <c r="C463" s="2">
        <v>0.26999999999999957</v>
      </c>
      <c r="D463" s="24">
        <v>300</v>
      </c>
      <c r="E463" s="26">
        <f t="shared" si="194"/>
        <v>150</v>
      </c>
      <c r="F463" s="26">
        <v>1047</v>
      </c>
      <c r="G463" s="30">
        <f t="shared" si="195"/>
        <v>0.14326647564469913</v>
      </c>
      <c r="H463" s="11"/>
      <c r="I463" s="9">
        <v>100</v>
      </c>
      <c r="J463" s="3">
        <v>0</v>
      </c>
      <c r="K463" s="3">
        <v>0</v>
      </c>
      <c r="L463" s="3">
        <v>0</v>
      </c>
      <c r="M463" s="6"/>
      <c r="N463" s="6">
        <v>0</v>
      </c>
      <c r="O463" s="13"/>
      <c r="P463" s="60">
        <f t="shared" si="189"/>
        <v>26.999999999999957</v>
      </c>
      <c r="Q463" s="61">
        <f t="shared" si="190"/>
        <v>0</v>
      </c>
      <c r="R463" s="61">
        <f t="shared" si="191"/>
        <v>0</v>
      </c>
      <c r="S463" s="62">
        <f t="shared" si="192"/>
        <v>0</v>
      </c>
      <c r="T463" s="63">
        <f t="shared" si="193"/>
        <v>0</v>
      </c>
      <c r="U463" s="63">
        <f t="shared" si="196"/>
        <v>0</v>
      </c>
      <c r="V463" s="64"/>
      <c r="W463" s="60">
        <v>5</v>
      </c>
      <c r="X463" s="61">
        <v>0</v>
      </c>
      <c r="Y463" s="61">
        <v>2</v>
      </c>
      <c r="Z463" s="61">
        <v>0</v>
      </c>
      <c r="AA463" s="65">
        <v>0</v>
      </c>
      <c r="AB463" s="65">
        <v>0</v>
      </c>
      <c r="AC463" s="66"/>
      <c r="AD463" s="67">
        <f t="shared" si="197"/>
        <v>4.7755491881566383E-3</v>
      </c>
      <c r="AE463" s="67">
        <f t="shared" si="198"/>
        <v>0</v>
      </c>
      <c r="AF463" s="67">
        <f t="shared" si="199"/>
        <v>1.9102196752626551E-3</v>
      </c>
      <c r="AG463" s="67">
        <f t="shared" si="200"/>
        <v>0</v>
      </c>
      <c r="AH463" s="67">
        <f t="shared" si="201"/>
        <v>0</v>
      </c>
      <c r="AI463" s="67">
        <f t="shared" si="202"/>
        <v>0</v>
      </c>
      <c r="AJ463" s="66"/>
      <c r="AK463" s="68">
        <v>6.8000000000000007</v>
      </c>
      <c r="AL463" s="69">
        <v>0</v>
      </c>
      <c r="AM463" s="69">
        <v>0.53999999999999915</v>
      </c>
      <c r="AN463" s="69">
        <v>1.6</v>
      </c>
      <c r="AO463" s="70">
        <v>0</v>
      </c>
      <c r="AP463" s="70">
        <v>0</v>
      </c>
      <c r="AQ463" s="66"/>
      <c r="AR463" s="70" t="s">
        <v>780</v>
      </c>
      <c r="AS463" s="66"/>
      <c r="AT463" s="108">
        <v>0</v>
      </c>
      <c r="AU463" s="109">
        <v>0</v>
      </c>
      <c r="AV463" s="109">
        <v>0</v>
      </c>
      <c r="AW463" s="109">
        <v>0</v>
      </c>
      <c r="AX463" s="110">
        <v>0</v>
      </c>
      <c r="AY463" s="110">
        <v>0</v>
      </c>
    </row>
    <row r="464" spans="1:51" x14ac:dyDescent="0.25">
      <c r="A464" s="8" t="s">
        <v>697</v>
      </c>
      <c r="B464" s="5" t="s">
        <v>698</v>
      </c>
      <c r="C464" s="2">
        <v>0.25999999999999979</v>
      </c>
      <c r="D464" s="24">
        <v>10000</v>
      </c>
      <c r="E464" s="26">
        <f t="shared" si="194"/>
        <v>5000</v>
      </c>
      <c r="F464" s="26">
        <v>21099</v>
      </c>
      <c r="G464" s="30">
        <f t="shared" si="195"/>
        <v>0.23697805583202997</v>
      </c>
      <c r="H464" s="11"/>
      <c r="I464" s="9">
        <v>4471</v>
      </c>
      <c r="J464" s="3">
        <v>5948</v>
      </c>
      <c r="K464" s="3">
        <v>4179</v>
      </c>
      <c r="L464" s="3">
        <v>2911</v>
      </c>
      <c r="M464" s="6"/>
      <c r="N464" s="6">
        <v>0</v>
      </c>
      <c r="O464" s="13"/>
      <c r="P464" s="60">
        <f t="shared" si="189"/>
        <v>1162.4599999999991</v>
      </c>
      <c r="Q464" s="61">
        <f t="shared" si="190"/>
        <v>1546.4799999999987</v>
      </c>
      <c r="R464" s="61">
        <f t="shared" si="191"/>
        <v>1086.5399999999991</v>
      </c>
      <c r="S464" s="62">
        <f t="shared" si="192"/>
        <v>756.85999999999933</v>
      </c>
      <c r="T464" s="63">
        <f t="shared" si="193"/>
        <v>0</v>
      </c>
      <c r="U464" s="63">
        <f t="shared" si="196"/>
        <v>0</v>
      </c>
      <c r="V464" s="64"/>
      <c r="W464" s="60">
        <v>2842</v>
      </c>
      <c r="X464" s="61">
        <v>3045</v>
      </c>
      <c r="Y464" s="61">
        <v>4328</v>
      </c>
      <c r="Z464" s="61">
        <v>5326</v>
      </c>
      <c r="AA464" s="65">
        <v>4364</v>
      </c>
      <c r="AB464" s="65">
        <v>1377</v>
      </c>
      <c r="AC464" s="66"/>
      <c r="AD464" s="67">
        <f t="shared" si="197"/>
        <v>0.13469832693492584</v>
      </c>
      <c r="AE464" s="67">
        <f t="shared" si="198"/>
        <v>0.14431963600170625</v>
      </c>
      <c r="AF464" s="67">
        <f t="shared" si="199"/>
        <v>0.20512820512820512</v>
      </c>
      <c r="AG464" s="67">
        <f t="shared" si="200"/>
        <v>0.25242902507227832</v>
      </c>
      <c r="AH464" s="67">
        <f t="shared" si="201"/>
        <v>0.20683444713019575</v>
      </c>
      <c r="AI464" s="67">
        <f t="shared" si="202"/>
        <v>6.5263756576141044E-2</v>
      </c>
      <c r="AJ464" s="66"/>
      <c r="AK464" s="68">
        <v>2141.5900000000088</v>
      </c>
      <c r="AL464" s="69">
        <v>3286.179999999993</v>
      </c>
      <c r="AM464" s="69">
        <v>3286.179999999993</v>
      </c>
      <c r="AN464" s="69">
        <v>4026.5499999999952</v>
      </c>
      <c r="AO464" s="70">
        <v>2597.6300000000701</v>
      </c>
      <c r="AP464" s="70">
        <v>451.60000000000201</v>
      </c>
      <c r="AQ464" s="66"/>
      <c r="AR464" s="70" t="s">
        <v>780</v>
      </c>
      <c r="AS464" s="66"/>
      <c r="AT464" s="108">
        <v>71074.679999999993</v>
      </c>
      <c r="AU464" s="109">
        <v>92958.23</v>
      </c>
      <c r="AV464" s="109">
        <v>66305.649999999994</v>
      </c>
      <c r="AW464" s="109">
        <v>46004.189999999995</v>
      </c>
      <c r="AX464" s="110">
        <v>0</v>
      </c>
      <c r="AY464" s="110">
        <v>0</v>
      </c>
    </row>
    <row r="465" spans="1:51" x14ac:dyDescent="0.25">
      <c r="A465" s="8">
        <v>5723</v>
      </c>
      <c r="B465" s="5" t="s">
        <v>332</v>
      </c>
      <c r="C465" s="2">
        <v>0.25</v>
      </c>
      <c r="D465" s="24">
        <v>6000</v>
      </c>
      <c r="E465" s="26">
        <f t="shared" si="194"/>
        <v>3000</v>
      </c>
      <c r="F465" s="26">
        <v>4138</v>
      </c>
      <c r="G465" s="30">
        <f t="shared" si="195"/>
        <v>0.7249879168680522</v>
      </c>
      <c r="H465" s="11"/>
      <c r="I465" s="9">
        <v>2709</v>
      </c>
      <c r="J465" s="3">
        <v>0</v>
      </c>
      <c r="K465" s="3">
        <v>0</v>
      </c>
      <c r="L465" s="3">
        <v>5137</v>
      </c>
      <c r="M465" s="6">
        <v>15827</v>
      </c>
      <c r="N465" s="6">
        <v>10956</v>
      </c>
      <c r="O465" s="13"/>
      <c r="P465" s="60">
        <f t="shared" si="189"/>
        <v>677.25</v>
      </c>
      <c r="Q465" s="61">
        <f t="shared" si="190"/>
        <v>0</v>
      </c>
      <c r="R465" s="61">
        <f t="shared" si="191"/>
        <v>0</v>
      </c>
      <c r="S465" s="62">
        <f t="shared" si="192"/>
        <v>1284.25</v>
      </c>
      <c r="T465" s="63">
        <f t="shared" si="193"/>
        <v>3956.75</v>
      </c>
      <c r="U465" s="63">
        <f t="shared" si="196"/>
        <v>2739</v>
      </c>
      <c r="V465" s="64"/>
      <c r="W465" s="60">
        <v>4637</v>
      </c>
      <c r="X465" s="61">
        <v>4048</v>
      </c>
      <c r="Y465" s="61">
        <v>6967</v>
      </c>
      <c r="Z465" s="61">
        <v>7591</v>
      </c>
      <c r="AA465" s="65">
        <v>2324</v>
      </c>
      <c r="AB465" s="65">
        <v>11415</v>
      </c>
      <c r="AC465" s="66"/>
      <c r="AD465" s="67">
        <f t="shared" si="197"/>
        <v>1.1205896568390528</v>
      </c>
      <c r="AE465" s="67">
        <f t="shared" si="198"/>
        <v>0.97825036249395847</v>
      </c>
      <c r="AF465" s="67">
        <f t="shared" si="199"/>
        <v>1.6836636056065732</v>
      </c>
      <c r="AG465" s="67">
        <f t="shared" si="200"/>
        <v>1.8344610923151281</v>
      </c>
      <c r="AH465" s="67">
        <f t="shared" si="201"/>
        <v>0.56162397293378441</v>
      </c>
      <c r="AI465" s="67">
        <f t="shared" si="202"/>
        <v>2.7585790236829388</v>
      </c>
      <c r="AJ465" s="66"/>
      <c r="AK465" s="68">
        <v>1444.56</v>
      </c>
      <c r="AL465" s="69">
        <v>1189.579999999999</v>
      </c>
      <c r="AM465" s="69">
        <v>1189.5799999999992</v>
      </c>
      <c r="AN465" s="69">
        <v>2089.7799999999961</v>
      </c>
      <c r="AO465" s="70">
        <v>1822.8099999999899</v>
      </c>
      <c r="AP465" s="70">
        <v>3112.13</v>
      </c>
      <c r="AQ465" s="66"/>
      <c r="AR465" s="70" t="s">
        <v>779</v>
      </c>
      <c r="AS465" s="66"/>
      <c r="AT465" s="108">
        <v>3274.2899999999995</v>
      </c>
      <c r="AU465" s="109">
        <v>0</v>
      </c>
      <c r="AV465" s="109">
        <v>0</v>
      </c>
      <c r="AW465" s="109">
        <v>6033.57</v>
      </c>
      <c r="AX465" s="110">
        <v>18559.649999999998</v>
      </c>
      <c r="AY465" s="110">
        <v>12822.52</v>
      </c>
    </row>
    <row r="466" spans="1:51" x14ac:dyDescent="0.25">
      <c r="A466" s="8" t="s">
        <v>692</v>
      </c>
      <c r="B466" s="5" t="s">
        <v>693</v>
      </c>
      <c r="C466" s="2">
        <v>0.24000000000000021</v>
      </c>
      <c r="D466" s="24">
        <v>1000</v>
      </c>
      <c r="E466" s="26">
        <f t="shared" si="194"/>
        <v>500</v>
      </c>
      <c r="F466" s="26">
        <v>749</v>
      </c>
      <c r="G466" s="30">
        <f t="shared" si="195"/>
        <v>0.66755674232309747</v>
      </c>
      <c r="H466" s="11"/>
      <c r="I466" s="9">
        <v>1590</v>
      </c>
      <c r="J466" s="3">
        <v>879</v>
      </c>
      <c r="K466" s="3">
        <v>0</v>
      </c>
      <c r="L466" s="3">
        <v>200</v>
      </c>
      <c r="M466" s="6">
        <v>1095</v>
      </c>
      <c r="N466" s="6">
        <v>1204</v>
      </c>
      <c r="O466" s="13"/>
      <c r="P466" s="60">
        <f t="shared" si="189"/>
        <v>381.60000000000036</v>
      </c>
      <c r="Q466" s="61">
        <f t="shared" si="190"/>
        <v>210.96000000000018</v>
      </c>
      <c r="R466" s="61">
        <f t="shared" si="191"/>
        <v>0</v>
      </c>
      <c r="S466" s="62">
        <f t="shared" si="192"/>
        <v>48.000000000000043</v>
      </c>
      <c r="T466" s="63">
        <f t="shared" si="193"/>
        <v>262.80000000000024</v>
      </c>
      <c r="U466" s="63">
        <f t="shared" si="196"/>
        <v>288.96000000000026</v>
      </c>
      <c r="V466" s="64"/>
      <c r="W466" s="60">
        <v>654</v>
      </c>
      <c r="X466" s="61">
        <v>634</v>
      </c>
      <c r="Y466" s="61">
        <v>784</v>
      </c>
      <c r="Z466" s="61">
        <v>577</v>
      </c>
      <c r="AA466" s="65">
        <v>840</v>
      </c>
      <c r="AB466" s="65">
        <v>760</v>
      </c>
      <c r="AC466" s="66"/>
      <c r="AD466" s="67">
        <f t="shared" si="197"/>
        <v>0.87316421895861152</v>
      </c>
      <c r="AE466" s="67">
        <f t="shared" si="198"/>
        <v>0.84646194926568763</v>
      </c>
      <c r="AF466" s="67">
        <f t="shared" si="199"/>
        <v>1.0467289719626167</v>
      </c>
      <c r="AG466" s="67">
        <f t="shared" si="200"/>
        <v>0.77036048064085449</v>
      </c>
      <c r="AH466" s="67">
        <f t="shared" si="201"/>
        <v>1.1214953271028036</v>
      </c>
      <c r="AI466" s="67">
        <f t="shared" si="202"/>
        <v>1.0146862483311081</v>
      </c>
      <c r="AJ466" s="66"/>
      <c r="AK466" s="68">
        <v>935.79000000000008</v>
      </c>
      <c r="AL466" s="69">
        <v>642.4699999999998</v>
      </c>
      <c r="AM466" s="69">
        <v>642.46999999999969</v>
      </c>
      <c r="AN466" s="69">
        <v>1018.8899999999993</v>
      </c>
      <c r="AO466" s="70">
        <v>689.88999999999896</v>
      </c>
      <c r="AP466" s="70">
        <v>216.95</v>
      </c>
      <c r="AQ466" s="66"/>
      <c r="AR466" s="70" t="s">
        <v>780</v>
      </c>
      <c r="AS466" s="66"/>
      <c r="AT466" s="108">
        <v>22001.9</v>
      </c>
      <c r="AU466" s="109">
        <v>12307.26</v>
      </c>
      <c r="AV466" s="109">
        <v>0</v>
      </c>
      <c r="AW466" s="109">
        <v>2762</v>
      </c>
      <c r="AX466" s="110">
        <v>15045.3</v>
      </c>
      <c r="AY466" s="110">
        <v>16535.739999999998</v>
      </c>
    </row>
    <row r="467" spans="1:51" x14ac:dyDescent="0.25">
      <c r="A467" s="8" t="s">
        <v>580</v>
      </c>
      <c r="B467" s="5" t="s">
        <v>581</v>
      </c>
      <c r="C467" s="2">
        <v>0.2200000000000002</v>
      </c>
      <c r="D467" s="24">
        <v>3000</v>
      </c>
      <c r="E467" s="26">
        <f t="shared" si="194"/>
        <v>1500</v>
      </c>
      <c r="F467" s="26">
        <v>24858</v>
      </c>
      <c r="G467" s="30">
        <f t="shared" si="195"/>
        <v>6.0342746801834421E-2</v>
      </c>
      <c r="H467" s="11"/>
      <c r="I467" s="9">
        <v>3820</v>
      </c>
      <c r="J467" s="3">
        <v>3941</v>
      </c>
      <c r="K467" s="3">
        <v>230</v>
      </c>
      <c r="L467" s="3">
        <v>565</v>
      </c>
      <c r="M467" s="6">
        <v>585</v>
      </c>
      <c r="N467" s="6">
        <v>5687</v>
      </c>
      <c r="O467" s="13"/>
      <c r="P467" s="60">
        <f t="shared" si="189"/>
        <v>840.40000000000077</v>
      </c>
      <c r="Q467" s="61">
        <f t="shared" si="190"/>
        <v>867.02000000000078</v>
      </c>
      <c r="R467" s="61">
        <f t="shared" si="191"/>
        <v>50.600000000000044</v>
      </c>
      <c r="S467" s="62">
        <f t="shared" si="192"/>
        <v>124.30000000000011</v>
      </c>
      <c r="T467" s="63">
        <f t="shared" si="193"/>
        <v>128.7000000000001</v>
      </c>
      <c r="U467" s="63">
        <f t="shared" si="196"/>
        <v>1251.140000000001</v>
      </c>
      <c r="V467" s="64"/>
      <c r="W467" s="60">
        <v>282</v>
      </c>
      <c r="X467" s="61">
        <v>928</v>
      </c>
      <c r="Y467" s="61">
        <v>3183</v>
      </c>
      <c r="Z467" s="61">
        <v>2363</v>
      </c>
      <c r="AA467" s="65">
        <v>2804</v>
      </c>
      <c r="AB467" s="65">
        <v>2424</v>
      </c>
      <c r="AC467" s="66"/>
      <c r="AD467" s="67">
        <f t="shared" si="197"/>
        <v>1.1344436398744872E-2</v>
      </c>
      <c r="AE467" s="67">
        <f t="shared" si="198"/>
        <v>3.7332046021401562E-2</v>
      </c>
      <c r="AF467" s="67">
        <f t="shared" si="199"/>
        <v>0.12804730871349262</v>
      </c>
      <c r="AG467" s="67">
        <f t="shared" si="200"/>
        <v>9.5059940461823159E-2</v>
      </c>
      <c r="AH467" s="67">
        <f t="shared" si="201"/>
        <v>0.11280070802156247</v>
      </c>
      <c r="AI467" s="67">
        <f t="shared" si="202"/>
        <v>9.751387883176442E-2</v>
      </c>
      <c r="AJ467" s="66"/>
      <c r="AK467" s="68">
        <v>179.57</v>
      </c>
      <c r="AL467" s="69">
        <v>596.10999999999967</v>
      </c>
      <c r="AM467" s="69">
        <v>596.10999999999956</v>
      </c>
      <c r="AN467" s="69">
        <v>1919.9399999999969</v>
      </c>
      <c r="AO467" s="70">
        <v>690.56999999999903</v>
      </c>
      <c r="AP467" s="70">
        <v>528.14</v>
      </c>
      <c r="AQ467" s="66"/>
      <c r="AR467" s="70" t="s">
        <v>780</v>
      </c>
      <c r="AS467" s="66"/>
      <c r="AT467" s="108">
        <v>14610.4</v>
      </c>
      <c r="AU467" s="109">
        <v>15556.78</v>
      </c>
      <c r="AV467" s="109">
        <v>871.7</v>
      </c>
      <c r="AW467" s="109">
        <v>2076.0500000000002</v>
      </c>
      <c r="AX467" s="110">
        <v>2217.15</v>
      </c>
      <c r="AY467" s="110">
        <v>21436.650000000005</v>
      </c>
    </row>
    <row r="468" spans="1:51" x14ac:dyDescent="0.25">
      <c r="A468" s="8">
        <v>5213</v>
      </c>
      <c r="B468" s="5" t="s">
        <v>573</v>
      </c>
      <c r="C468" s="2">
        <v>0.21999999999999975</v>
      </c>
      <c r="D468" s="24">
        <v>1000</v>
      </c>
      <c r="E468" s="26">
        <f t="shared" si="194"/>
        <v>500</v>
      </c>
      <c r="F468" s="26">
        <v>7279</v>
      </c>
      <c r="G468" s="30">
        <f t="shared" si="195"/>
        <v>6.8690754224481385E-2</v>
      </c>
      <c r="H468" s="11"/>
      <c r="I468" s="9">
        <v>1345</v>
      </c>
      <c r="J468" s="3">
        <v>3852</v>
      </c>
      <c r="K468" s="3">
        <v>3821</v>
      </c>
      <c r="L468" s="3">
        <v>4346</v>
      </c>
      <c r="M468" s="6">
        <v>2216</v>
      </c>
      <c r="N468" s="6">
        <v>2968</v>
      </c>
      <c r="O468" s="13"/>
      <c r="P468" s="60">
        <f t="shared" si="189"/>
        <v>295.89999999999969</v>
      </c>
      <c r="Q468" s="61">
        <f t="shared" si="190"/>
        <v>847.43999999999903</v>
      </c>
      <c r="R468" s="61">
        <f t="shared" si="191"/>
        <v>840.6199999999991</v>
      </c>
      <c r="S468" s="62">
        <f t="shared" si="192"/>
        <v>956.11999999999887</v>
      </c>
      <c r="T468" s="63">
        <f t="shared" si="193"/>
        <v>487.51999999999947</v>
      </c>
      <c r="U468" s="63">
        <f t="shared" si="196"/>
        <v>652.95999999999924</v>
      </c>
      <c r="V468" s="64"/>
      <c r="W468" s="60">
        <v>26</v>
      </c>
      <c r="X468" s="61">
        <v>372</v>
      </c>
      <c r="Y468" s="61">
        <v>2139</v>
      </c>
      <c r="Z468" s="61">
        <v>2000</v>
      </c>
      <c r="AA468" s="65">
        <v>488</v>
      </c>
      <c r="AB468" s="65">
        <v>455</v>
      </c>
      <c r="AC468" s="66"/>
      <c r="AD468" s="67">
        <f t="shared" si="197"/>
        <v>3.5719192196730322E-3</v>
      </c>
      <c r="AE468" s="67">
        <f t="shared" si="198"/>
        <v>5.1105921143014148E-2</v>
      </c>
      <c r="AF468" s="67">
        <f t="shared" si="199"/>
        <v>0.29385904657233136</v>
      </c>
      <c r="AG468" s="67">
        <f t="shared" si="200"/>
        <v>0.27476301689792554</v>
      </c>
      <c r="AH468" s="67">
        <f t="shared" si="201"/>
        <v>6.7042176123093836E-2</v>
      </c>
      <c r="AI468" s="67">
        <f t="shared" si="202"/>
        <v>6.2508586344278055E-2</v>
      </c>
      <c r="AJ468" s="66"/>
      <c r="AK468" s="68">
        <v>5.24</v>
      </c>
      <c r="AL468" s="69">
        <v>240.76999999999973</v>
      </c>
      <c r="AM468" s="69">
        <v>240.7699999999997</v>
      </c>
      <c r="AN468" s="69">
        <v>1059.8099999999986</v>
      </c>
      <c r="AO468" s="70">
        <v>985.48999999999899</v>
      </c>
      <c r="AP468" s="70">
        <v>53.299999999999798</v>
      </c>
      <c r="AQ468" s="66"/>
      <c r="AR468" s="70" t="s">
        <v>780</v>
      </c>
      <c r="AS468" s="66"/>
      <c r="AT468" s="108">
        <v>4875.8999999999996</v>
      </c>
      <c r="AU468" s="109">
        <v>14049.490000000002</v>
      </c>
      <c r="AV468" s="109">
        <v>13971.09</v>
      </c>
      <c r="AW468" s="109">
        <v>15875.77</v>
      </c>
      <c r="AX468" s="110">
        <v>8090.5</v>
      </c>
      <c r="AY468" s="110">
        <v>10707.3</v>
      </c>
    </row>
    <row r="469" spans="1:51" x14ac:dyDescent="0.25">
      <c r="A469" s="8">
        <v>5771</v>
      </c>
      <c r="B469" s="5" t="s">
        <v>708</v>
      </c>
      <c r="C469" s="2">
        <v>0.21999999999999886</v>
      </c>
      <c r="D469" s="24">
        <v>10000</v>
      </c>
      <c r="E469" s="26">
        <f t="shared" si="194"/>
        <v>5000</v>
      </c>
      <c r="F469" s="26">
        <v>44402</v>
      </c>
      <c r="G469" s="30">
        <f t="shared" si="195"/>
        <v>0.11260754020089185</v>
      </c>
      <c r="H469" s="11"/>
      <c r="I469" s="9">
        <v>1385</v>
      </c>
      <c r="J469" s="3">
        <v>1161</v>
      </c>
      <c r="K469" s="3">
        <v>3082</v>
      </c>
      <c r="L469" s="3">
        <v>10142</v>
      </c>
      <c r="M469" s="6">
        <v>3945</v>
      </c>
      <c r="N469" s="6">
        <v>4781</v>
      </c>
      <c r="O469" s="13"/>
      <c r="P469" s="60">
        <f t="shared" si="189"/>
        <v>304.69999999999845</v>
      </c>
      <c r="Q469" s="61">
        <f t="shared" si="190"/>
        <v>255.41999999999868</v>
      </c>
      <c r="R469" s="61">
        <f t="shared" si="191"/>
        <v>678.03999999999655</v>
      </c>
      <c r="S469" s="62">
        <f t="shared" si="192"/>
        <v>2231.2399999999884</v>
      </c>
      <c r="T469" s="63">
        <f t="shared" si="193"/>
        <v>867.89999999999554</v>
      </c>
      <c r="U469" s="63">
        <f t="shared" si="196"/>
        <v>1051.8199999999945</v>
      </c>
      <c r="V469" s="64"/>
      <c r="W469" s="60">
        <v>4672</v>
      </c>
      <c r="X469" s="61">
        <v>3307</v>
      </c>
      <c r="Y469" s="61">
        <v>2175</v>
      </c>
      <c r="Z469" s="61">
        <v>3142</v>
      </c>
      <c r="AA469" s="65">
        <v>5948</v>
      </c>
      <c r="AB469" s="65">
        <v>7314</v>
      </c>
      <c r="AC469" s="66"/>
      <c r="AD469" s="67">
        <f t="shared" si="197"/>
        <v>0.10522048556371334</v>
      </c>
      <c r="AE469" s="67">
        <f t="shared" si="198"/>
        <v>7.4478627088869875E-2</v>
      </c>
      <c r="AF469" s="67">
        <f t="shared" si="199"/>
        <v>4.8984279987387955E-2</v>
      </c>
      <c r="AG469" s="67">
        <f t="shared" si="200"/>
        <v>7.0762578262240444E-2</v>
      </c>
      <c r="AH469" s="67">
        <f t="shared" si="201"/>
        <v>0.13395792982298094</v>
      </c>
      <c r="AI469" s="67">
        <f t="shared" si="202"/>
        <v>0.16472230980586461</v>
      </c>
      <c r="AJ469" s="66"/>
      <c r="AK469" s="68">
        <v>4485.7299999999914</v>
      </c>
      <c r="AL469" s="69">
        <v>3532.9099999999962</v>
      </c>
      <c r="AM469" s="69">
        <v>3532.9099999999953</v>
      </c>
      <c r="AN469" s="69">
        <v>6913.7799999999697</v>
      </c>
      <c r="AO469" s="70">
        <v>5228.1099999999997</v>
      </c>
      <c r="AP469" s="70">
        <v>1072.46000000001</v>
      </c>
      <c r="AQ469" s="66"/>
      <c r="AR469" s="70" t="s">
        <v>780</v>
      </c>
      <c r="AS469" s="66"/>
      <c r="AT469" s="108">
        <v>29801.47</v>
      </c>
      <c r="AU469" s="109">
        <v>24196.360000000004</v>
      </c>
      <c r="AV469" s="109">
        <v>65545.7</v>
      </c>
      <c r="AW469" s="109">
        <v>217377.97000000003</v>
      </c>
      <c r="AX469" s="110">
        <v>82781.45</v>
      </c>
      <c r="AY469" s="110">
        <v>101477.03</v>
      </c>
    </row>
    <row r="470" spans="1:51" x14ac:dyDescent="0.25">
      <c r="A470" s="8" t="s">
        <v>732</v>
      </c>
      <c r="B470" s="5" t="s">
        <v>733</v>
      </c>
      <c r="C470" s="2">
        <v>0.21</v>
      </c>
      <c r="D470" s="24">
        <v>4074</v>
      </c>
      <c r="E470" s="26">
        <f t="shared" si="194"/>
        <v>2037</v>
      </c>
      <c r="F470" s="26">
        <v>11495</v>
      </c>
      <c r="G470" s="30">
        <f t="shared" si="195"/>
        <v>0.17720748151370161</v>
      </c>
      <c r="H470" s="11"/>
      <c r="I470" s="9">
        <v>0</v>
      </c>
      <c r="J470" s="3">
        <v>0</v>
      </c>
      <c r="K470" s="3">
        <v>0</v>
      </c>
      <c r="L470" s="3">
        <v>4000</v>
      </c>
      <c r="M470" s="6">
        <v>547</v>
      </c>
      <c r="N470" s="6">
        <v>0</v>
      </c>
      <c r="O470" s="13"/>
      <c r="P470" s="60">
        <f t="shared" si="189"/>
        <v>0</v>
      </c>
      <c r="Q470" s="61">
        <f t="shared" si="190"/>
        <v>0</v>
      </c>
      <c r="R470" s="61">
        <f t="shared" si="191"/>
        <v>0</v>
      </c>
      <c r="S470" s="62">
        <f t="shared" si="192"/>
        <v>840</v>
      </c>
      <c r="T470" s="63">
        <f t="shared" si="193"/>
        <v>114.86999999999999</v>
      </c>
      <c r="U470" s="63">
        <f t="shared" si="196"/>
        <v>0</v>
      </c>
      <c r="V470" s="64"/>
      <c r="W470" s="60">
        <v>2282</v>
      </c>
      <c r="X470" s="61">
        <v>2611</v>
      </c>
      <c r="Y470" s="61">
        <v>2802</v>
      </c>
      <c r="Z470" s="61">
        <v>1088</v>
      </c>
      <c r="AA470" s="65">
        <v>1402</v>
      </c>
      <c r="AB470" s="65">
        <v>1710</v>
      </c>
      <c r="AC470" s="66"/>
      <c r="AD470" s="67">
        <f t="shared" si="197"/>
        <v>0.19852109612875163</v>
      </c>
      <c r="AE470" s="67">
        <f t="shared" si="198"/>
        <v>0.22714223575467596</v>
      </c>
      <c r="AF470" s="67">
        <f t="shared" si="199"/>
        <v>0.24375815571987822</v>
      </c>
      <c r="AG470" s="67">
        <f t="shared" si="200"/>
        <v>9.46498477598956E-2</v>
      </c>
      <c r="AH470" s="67">
        <f t="shared" si="201"/>
        <v>0.12196607220530666</v>
      </c>
      <c r="AI470" s="67">
        <f t="shared" si="202"/>
        <v>0.1487603305785124</v>
      </c>
      <c r="AJ470" s="66"/>
      <c r="AK470" s="68">
        <v>847.68999999999915</v>
      </c>
      <c r="AL470" s="69">
        <v>811.97999999999945</v>
      </c>
      <c r="AM470" s="69">
        <v>811.97999999999934</v>
      </c>
      <c r="AN470" s="69">
        <v>539.64999999999918</v>
      </c>
      <c r="AO470" s="70">
        <v>236.49999999999901</v>
      </c>
      <c r="AP470" s="70">
        <v>-1413.1699999999901</v>
      </c>
      <c r="AQ470" s="66"/>
      <c r="AR470" s="70" t="s">
        <v>780</v>
      </c>
      <c r="AS470" s="66"/>
      <c r="AT470" s="108">
        <v>0</v>
      </c>
      <c r="AU470" s="109">
        <v>0</v>
      </c>
      <c r="AV470" s="109">
        <v>0</v>
      </c>
      <c r="AW470" s="109">
        <v>77880</v>
      </c>
      <c r="AX470" s="110">
        <v>10600.86</v>
      </c>
      <c r="AY470" s="110">
        <v>0</v>
      </c>
    </row>
    <row r="471" spans="1:51" x14ac:dyDescent="0.25">
      <c r="A471" s="8" t="s">
        <v>426</v>
      </c>
      <c r="B471" s="5" t="s">
        <v>427</v>
      </c>
      <c r="C471" s="2">
        <v>0.19999999999999996</v>
      </c>
      <c r="D471" s="24">
        <v>2000</v>
      </c>
      <c r="E471" s="26">
        <f t="shared" si="194"/>
        <v>1000</v>
      </c>
      <c r="F471" s="26">
        <v>1135</v>
      </c>
      <c r="G471" s="30">
        <f t="shared" si="195"/>
        <v>0.88105726872246692</v>
      </c>
      <c r="H471" s="11"/>
      <c r="I471" s="9">
        <v>170</v>
      </c>
      <c r="J471" s="3">
        <v>790</v>
      </c>
      <c r="K471" s="3">
        <v>160</v>
      </c>
      <c r="L471" s="3">
        <v>0</v>
      </c>
      <c r="M471" s="6">
        <v>310</v>
      </c>
      <c r="N471" s="6">
        <v>0</v>
      </c>
      <c r="O471" s="13"/>
      <c r="P471" s="60">
        <f t="shared" si="189"/>
        <v>33.999999999999993</v>
      </c>
      <c r="Q471" s="61">
        <f t="shared" si="190"/>
        <v>157.99999999999997</v>
      </c>
      <c r="R471" s="61">
        <f t="shared" si="191"/>
        <v>31.999999999999993</v>
      </c>
      <c r="S471" s="62">
        <f t="shared" si="192"/>
        <v>0</v>
      </c>
      <c r="T471" s="63">
        <f t="shared" si="193"/>
        <v>61.999999999999986</v>
      </c>
      <c r="U471" s="63">
        <f t="shared" si="196"/>
        <v>0</v>
      </c>
      <c r="V471" s="64"/>
      <c r="W471" s="60">
        <v>378</v>
      </c>
      <c r="X471" s="61">
        <v>573</v>
      </c>
      <c r="Y471" s="61">
        <v>587</v>
      </c>
      <c r="Z471" s="61">
        <v>657</v>
      </c>
      <c r="AA471" s="65">
        <v>617</v>
      </c>
      <c r="AB471" s="65">
        <v>495</v>
      </c>
      <c r="AC471" s="66"/>
      <c r="AD471" s="67">
        <f t="shared" si="197"/>
        <v>0.33303964757709253</v>
      </c>
      <c r="AE471" s="67">
        <f t="shared" si="198"/>
        <v>0.50484581497797354</v>
      </c>
      <c r="AF471" s="67">
        <f t="shared" si="199"/>
        <v>0.51718061674008808</v>
      </c>
      <c r="AG471" s="67">
        <f t="shared" si="200"/>
        <v>0.57885462555066081</v>
      </c>
      <c r="AH471" s="67">
        <f t="shared" si="201"/>
        <v>0.54361233480176208</v>
      </c>
      <c r="AI471" s="67">
        <f t="shared" si="202"/>
        <v>0.43612334801762115</v>
      </c>
      <c r="AJ471" s="66"/>
      <c r="AK471" s="68">
        <v>74.080000000000041</v>
      </c>
      <c r="AL471" s="69">
        <v>42.609999999999964</v>
      </c>
      <c r="AM471" s="69">
        <v>42.609999999999957</v>
      </c>
      <c r="AN471" s="69">
        <v>41.589999999999947</v>
      </c>
      <c r="AO471" s="70">
        <v>122.49</v>
      </c>
      <c r="AP471" s="70">
        <v>92.509999999999906</v>
      </c>
      <c r="AQ471" s="66"/>
      <c r="AR471" s="70" t="s">
        <v>779</v>
      </c>
      <c r="AS471" s="66"/>
      <c r="AT471" s="108">
        <v>304.3</v>
      </c>
      <c r="AU471" s="109">
        <v>1400.1</v>
      </c>
      <c r="AV471" s="109">
        <v>283.2</v>
      </c>
      <c r="AW471" s="109">
        <v>0</v>
      </c>
      <c r="AX471" s="110">
        <v>547.1</v>
      </c>
      <c r="AY471" s="110">
        <v>0</v>
      </c>
    </row>
    <row r="472" spans="1:51" x14ac:dyDescent="0.25">
      <c r="A472" s="8" t="s">
        <v>709</v>
      </c>
      <c r="B472" s="5" t="s">
        <v>710</v>
      </c>
      <c r="C472" s="2">
        <v>0.19999999999999929</v>
      </c>
      <c r="D472" s="24">
        <v>500</v>
      </c>
      <c r="E472" s="26">
        <f t="shared" si="194"/>
        <v>250</v>
      </c>
      <c r="F472" s="26">
        <v>5143</v>
      </c>
      <c r="G472" s="30">
        <f t="shared" si="195"/>
        <v>4.8609760839976666E-2</v>
      </c>
      <c r="H472" s="11"/>
      <c r="I472" s="9">
        <v>36</v>
      </c>
      <c r="J472" s="3">
        <v>175</v>
      </c>
      <c r="K472" s="3">
        <v>204</v>
      </c>
      <c r="L472" s="3">
        <v>0</v>
      </c>
      <c r="M472" s="6">
        <v>401</v>
      </c>
      <c r="N472" s="6">
        <v>0</v>
      </c>
      <c r="O472" s="13"/>
      <c r="P472" s="60">
        <f t="shared" si="189"/>
        <v>7.1999999999999744</v>
      </c>
      <c r="Q472" s="61">
        <f t="shared" si="190"/>
        <v>34.999999999999872</v>
      </c>
      <c r="R472" s="61">
        <f t="shared" si="191"/>
        <v>40.799999999999855</v>
      </c>
      <c r="S472" s="62">
        <f t="shared" si="192"/>
        <v>0</v>
      </c>
      <c r="T472" s="63">
        <f t="shared" si="193"/>
        <v>80.199999999999719</v>
      </c>
      <c r="U472" s="63">
        <f t="shared" si="196"/>
        <v>0</v>
      </c>
      <c r="V472" s="64"/>
      <c r="W472" s="60">
        <v>683</v>
      </c>
      <c r="X472" s="61">
        <v>533</v>
      </c>
      <c r="Y472" s="61">
        <v>268</v>
      </c>
      <c r="Z472" s="61">
        <v>527</v>
      </c>
      <c r="AA472" s="65">
        <v>87</v>
      </c>
      <c r="AB472" s="65">
        <v>131</v>
      </c>
      <c r="AC472" s="66"/>
      <c r="AD472" s="67">
        <f t="shared" si="197"/>
        <v>0.13280186661481624</v>
      </c>
      <c r="AE472" s="67">
        <f t="shared" si="198"/>
        <v>0.10363601011083025</v>
      </c>
      <c r="AF472" s="67">
        <f t="shared" si="199"/>
        <v>5.2109663620454987E-2</v>
      </c>
      <c r="AG472" s="67">
        <f t="shared" si="200"/>
        <v>0.10246937585067081</v>
      </c>
      <c r="AH472" s="67">
        <f t="shared" si="201"/>
        <v>1.6916196772311879E-2</v>
      </c>
      <c r="AI472" s="67">
        <f t="shared" si="202"/>
        <v>2.5471514680147772E-2</v>
      </c>
      <c r="AJ472" s="66"/>
      <c r="AK472" s="68">
        <v>1449.180000000001</v>
      </c>
      <c r="AL472" s="69">
        <v>1586.9499999999955</v>
      </c>
      <c r="AM472" s="69">
        <v>1586.9499999999957</v>
      </c>
      <c r="AN472" s="69">
        <v>2047.079999999999</v>
      </c>
      <c r="AO472" s="70">
        <v>2480.45999999999</v>
      </c>
      <c r="AP472" s="70">
        <v>50.34</v>
      </c>
      <c r="AQ472" s="66"/>
      <c r="AR472" s="70" t="s">
        <v>780</v>
      </c>
      <c r="AS472" s="66"/>
      <c r="AT472" s="108">
        <v>723.24</v>
      </c>
      <c r="AU472" s="109">
        <v>3433.25</v>
      </c>
      <c r="AV472" s="109">
        <v>3733.2</v>
      </c>
      <c r="AW472" s="109">
        <v>0</v>
      </c>
      <c r="AX472" s="110">
        <v>26001</v>
      </c>
      <c r="AY472" s="110">
        <v>0</v>
      </c>
    </row>
    <row r="473" spans="1:51" x14ac:dyDescent="0.25">
      <c r="A473" s="8" t="s">
        <v>532</v>
      </c>
      <c r="B473" s="5" t="s">
        <v>533</v>
      </c>
      <c r="C473" s="2">
        <v>0.18999999999999995</v>
      </c>
      <c r="D473" s="24">
        <v>500</v>
      </c>
      <c r="E473" s="26">
        <f t="shared" si="194"/>
        <v>250</v>
      </c>
      <c r="F473" s="26">
        <v>6276</v>
      </c>
      <c r="G473" s="30">
        <f t="shared" si="195"/>
        <v>3.9834289356277884E-2</v>
      </c>
      <c r="H473" s="11"/>
      <c r="I473" s="9">
        <v>0</v>
      </c>
      <c r="J473" s="3">
        <v>0</v>
      </c>
      <c r="K473" s="3">
        <v>0</v>
      </c>
      <c r="L473" s="3">
        <v>0</v>
      </c>
      <c r="M473" s="6">
        <v>1170</v>
      </c>
      <c r="N473" s="6">
        <v>1720</v>
      </c>
      <c r="O473" s="13"/>
      <c r="P473" s="60">
        <f t="shared" si="189"/>
        <v>0</v>
      </c>
      <c r="Q473" s="61">
        <f t="shared" si="190"/>
        <v>0</v>
      </c>
      <c r="R473" s="61">
        <f t="shared" si="191"/>
        <v>0</v>
      </c>
      <c r="S473" s="62">
        <f t="shared" si="192"/>
        <v>0</v>
      </c>
      <c r="T473" s="63">
        <f t="shared" si="193"/>
        <v>222.29999999999993</v>
      </c>
      <c r="U473" s="63">
        <f t="shared" si="196"/>
        <v>326.7999999999999</v>
      </c>
      <c r="V473" s="64"/>
      <c r="W473" s="60">
        <v>667</v>
      </c>
      <c r="X473" s="61">
        <v>791</v>
      </c>
      <c r="Y473" s="61">
        <v>564</v>
      </c>
      <c r="Z473" s="61">
        <v>680</v>
      </c>
      <c r="AA473" s="65">
        <v>627</v>
      </c>
      <c r="AB473" s="65">
        <v>974</v>
      </c>
      <c r="AC473" s="66"/>
      <c r="AD473" s="67">
        <f t="shared" si="197"/>
        <v>0.10627788400254939</v>
      </c>
      <c r="AE473" s="67">
        <f t="shared" si="198"/>
        <v>0.12603569152326322</v>
      </c>
      <c r="AF473" s="67">
        <f t="shared" si="199"/>
        <v>8.9866156787762913E-2</v>
      </c>
      <c r="AG473" s="67">
        <f t="shared" si="200"/>
        <v>0.10834926704907584</v>
      </c>
      <c r="AH473" s="67">
        <f t="shared" si="201"/>
        <v>9.9904397705544934E-2</v>
      </c>
      <c r="AI473" s="67">
        <f t="shared" si="202"/>
        <v>0.15519439133205865</v>
      </c>
      <c r="AJ473" s="66"/>
      <c r="AK473" s="68">
        <v>230.98</v>
      </c>
      <c r="AL473" s="69">
        <v>261.76999999999947</v>
      </c>
      <c r="AM473" s="69">
        <v>261.76999999999947</v>
      </c>
      <c r="AN473" s="69">
        <v>118.23999999999971</v>
      </c>
      <c r="AO473" s="70">
        <v>409.74999999999801</v>
      </c>
      <c r="AP473" s="70">
        <v>258.93999999999897</v>
      </c>
      <c r="AQ473" s="66"/>
      <c r="AR473" s="70" t="s">
        <v>780</v>
      </c>
      <c r="AS473" s="66"/>
      <c r="AT473" s="108">
        <v>0</v>
      </c>
      <c r="AU473" s="109">
        <v>0</v>
      </c>
      <c r="AV473" s="109">
        <v>0</v>
      </c>
      <c r="AW473" s="109">
        <v>0</v>
      </c>
      <c r="AX473" s="110">
        <v>3045.2</v>
      </c>
      <c r="AY473" s="110">
        <v>4451.6000000000004</v>
      </c>
    </row>
    <row r="474" spans="1:51" x14ac:dyDescent="0.25">
      <c r="A474" s="8" t="s">
        <v>815</v>
      </c>
      <c r="B474" s="5" t="s">
        <v>858</v>
      </c>
      <c r="C474" s="2">
        <v>0.17099415204678081</v>
      </c>
      <c r="D474" s="24">
        <v>1000</v>
      </c>
      <c r="E474" s="26">
        <f t="shared" si="194"/>
        <v>500</v>
      </c>
      <c r="F474" s="26">
        <v>1578</v>
      </c>
      <c r="G474" s="30">
        <f t="shared" si="195"/>
        <v>0.31685678073510776</v>
      </c>
      <c r="H474" s="11"/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6">
        <v>48</v>
      </c>
      <c r="O474" s="13"/>
      <c r="P474" s="60"/>
      <c r="Q474" s="61"/>
      <c r="R474" s="61"/>
      <c r="S474" s="62"/>
      <c r="T474" s="63"/>
      <c r="U474" s="63">
        <f t="shared" si="196"/>
        <v>8.207719298245479</v>
      </c>
      <c r="V474" s="64"/>
      <c r="W474" s="60"/>
      <c r="X474" s="61"/>
      <c r="Y474" s="61"/>
      <c r="Z474" s="61"/>
      <c r="AA474" s="65"/>
      <c r="AB474" s="65"/>
      <c r="AC474" s="66"/>
      <c r="AD474" s="67">
        <f t="shared" si="197"/>
        <v>0</v>
      </c>
      <c r="AE474" s="67">
        <f t="shared" si="198"/>
        <v>0</v>
      </c>
      <c r="AF474" s="67">
        <f t="shared" si="199"/>
        <v>0</v>
      </c>
      <c r="AG474" s="67">
        <f t="shared" si="200"/>
        <v>0</v>
      </c>
      <c r="AH474" s="67">
        <f t="shared" si="201"/>
        <v>0</v>
      </c>
      <c r="AI474" s="67">
        <f t="shared" si="202"/>
        <v>0</v>
      </c>
      <c r="AJ474" s="66"/>
      <c r="AK474" s="68"/>
      <c r="AL474" s="69"/>
      <c r="AM474" s="69"/>
      <c r="AN474" s="69"/>
      <c r="AO474" s="70"/>
      <c r="AP474" s="70"/>
      <c r="AQ474" s="66"/>
      <c r="AR474" s="70" t="s">
        <v>780</v>
      </c>
      <c r="AS474" s="66"/>
      <c r="AT474" s="108">
        <v>7799.1500000000005</v>
      </c>
      <c r="AU474" s="109">
        <v>6697.5</v>
      </c>
      <c r="AV474" s="109">
        <v>6706.2</v>
      </c>
      <c r="AW474" s="109">
        <v>0</v>
      </c>
      <c r="AX474" s="110">
        <v>1842.5</v>
      </c>
      <c r="AY474" s="110">
        <v>1296.96</v>
      </c>
    </row>
    <row r="475" spans="1:51" x14ac:dyDescent="0.25">
      <c r="A475" s="8" t="s">
        <v>511</v>
      </c>
      <c r="B475" s="5" t="s">
        <v>512</v>
      </c>
      <c r="C475" s="2">
        <v>0.16000000000000014</v>
      </c>
      <c r="D475" s="24">
        <v>5000</v>
      </c>
      <c r="E475" s="26">
        <f t="shared" si="194"/>
        <v>2500</v>
      </c>
      <c r="F475" s="26">
        <v>20672</v>
      </c>
      <c r="G475" s="30">
        <f t="shared" si="195"/>
        <v>0.12093653250773993</v>
      </c>
      <c r="H475" s="11"/>
      <c r="I475" s="9">
        <v>4375</v>
      </c>
      <c r="J475" s="3">
        <v>3783</v>
      </c>
      <c r="K475" s="3">
        <v>5544</v>
      </c>
      <c r="L475" s="3">
        <v>18882</v>
      </c>
      <c r="M475" s="6">
        <v>5965</v>
      </c>
      <c r="N475" s="6">
        <v>9666</v>
      </c>
      <c r="O475" s="13"/>
      <c r="P475" s="60">
        <f t="shared" ref="P475:P496" si="203">+I475*C475</f>
        <v>700.00000000000057</v>
      </c>
      <c r="Q475" s="61">
        <f t="shared" ref="Q475:Q496" si="204">+J475*C475</f>
        <v>605.28000000000054</v>
      </c>
      <c r="R475" s="61">
        <f t="shared" ref="R475:R496" si="205">+K475*C475</f>
        <v>887.04000000000076</v>
      </c>
      <c r="S475" s="62">
        <f t="shared" ref="S475:S496" si="206">+L475*C475</f>
        <v>3021.1200000000026</v>
      </c>
      <c r="T475" s="63">
        <f t="shared" ref="T475:T496" si="207">+M475*C475</f>
        <v>954.40000000000089</v>
      </c>
      <c r="U475" s="63">
        <f t="shared" si="196"/>
        <v>1546.5600000000013</v>
      </c>
      <c r="V475" s="64"/>
      <c r="W475" s="60">
        <v>6090</v>
      </c>
      <c r="X475" s="61">
        <v>8180</v>
      </c>
      <c r="Y475" s="61">
        <v>7466</v>
      </c>
      <c r="Z475" s="61">
        <v>7026</v>
      </c>
      <c r="AA475" s="65">
        <v>8617</v>
      </c>
      <c r="AB475" s="65">
        <v>11982</v>
      </c>
      <c r="AC475" s="66"/>
      <c r="AD475" s="67">
        <f t="shared" si="197"/>
        <v>0.29460139318885448</v>
      </c>
      <c r="AE475" s="67">
        <f t="shared" si="198"/>
        <v>0.39570433436532509</v>
      </c>
      <c r="AF475" s="67">
        <f t="shared" si="199"/>
        <v>0.36116486068111453</v>
      </c>
      <c r="AG475" s="67">
        <f t="shared" si="200"/>
        <v>0.33988003095975233</v>
      </c>
      <c r="AH475" s="67">
        <f t="shared" si="201"/>
        <v>0.41684404024767802</v>
      </c>
      <c r="AI475" s="67">
        <f t="shared" si="202"/>
        <v>0.57962461300309598</v>
      </c>
      <c r="AJ475" s="66"/>
      <c r="AK475" s="68">
        <v>1933.75</v>
      </c>
      <c r="AL475" s="69">
        <v>4175.6999999999971</v>
      </c>
      <c r="AM475" s="69">
        <v>4175.6999999999971</v>
      </c>
      <c r="AN475" s="69">
        <v>3705.1099999999947</v>
      </c>
      <c r="AO475" s="70">
        <v>3160.95999999999</v>
      </c>
      <c r="AP475" s="70">
        <v>2028.76000000001</v>
      </c>
      <c r="AQ475" s="66"/>
      <c r="AR475" s="70" t="s">
        <v>780</v>
      </c>
      <c r="AS475" s="66"/>
      <c r="AT475" s="108">
        <v>8941.9500000000007</v>
      </c>
      <c r="AU475" s="109">
        <v>7811.15</v>
      </c>
      <c r="AV475" s="109">
        <v>10800.220000000001</v>
      </c>
      <c r="AW475" s="109">
        <v>37389.599999999999</v>
      </c>
      <c r="AX475" s="110">
        <v>11781.29</v>
      </c>
      <c r="AY475" s="110">
        <v>19108.439999999999</v>
      </c>
    </row>
    <row r="476" spans="1:51" x14ac:dyDescent="0.25">
      <c r="A476" s="8" t="s">
        <v>664</v>
      </c>
      <c r="B476" s="5" t="s">
        <v>665</v>
      </c>
      <c r="C476" s="2">
        <v>0.16000000000000014</v>
      </c>
      <c r="D476" s="24">
        <v>1000</v>
      </c>
      <c r="E476" s="26">
        <f t="shared" si="194"/>
        <v>500</v>
      </c>
      <c r="F476" s="26">
        <v>1199</v>
      </c>
      <c r="G476" s="30">
        <f t="shared" si="195"/>
        <v>0.4170141784820684</v>
      </c>
      <c r="H476" s="11"/>
      <c r="I476" s="9">
        <v>300</v>
      </c>
      <c r="J476" s="3">
        <v>0</v>
      </c>
      <c r="K476" s="3">
        <v>210</v>
      </c>
      <c r="L476" s="3">
        <v>0</v>
      </c>
      <c r="M476" s="6">
        <v>100</v>
      </c>
      <c r="N476" s="6">
        <v>0</v>
      </c>
      <c r="O476" s="13"/>
      <c r="P476" s="60">
        <f t="shared" si="203"/>
        <v>48.000000000000043</v>
      </c>
      <c r="Q476" s="61">
        <f t="shared" si="204"/>
        <v>0</v>
      </c>
      <c r="R476" s="61">
        <f t="shared" si="205"/>
        <v>33.60000000000003</v>
      </c>
      <c r="S476" s="62">
        <f t="shared" si="206"/>
        <v>0</v>
      </c>
      <c r="T476" s="63">
        <f t="shared" si="207"/>
        <v>16.000000000000014</v>
      </c>
      <c r="U476" s="63">
        <f t="shared" si="196"/>
        <v>0</v>
      </c>
      <c r="V476" s="64"/>
      <c r="W476" s="60">
        <v>202</v>
      </c>
      <c r="X476" s="61">
        <v>598</v>
      </c>
      <c r="Y476" s="61">
        <v>473</v>
      </c>
      <c r="Z476" s="61">
        <v>464</v>
      </c>
      <c r="AA476" s="65">
        <v>469</v>
      </c>
      <c r="AB476" s="65">
        <v>496</v>
      </c>
      <c r="AC476" s="66"/>
      <c r="AD476" s="67">
        <f t="shared" si="197"/>
        <v>0.16847372810675562</v>
      </c>
      <c r="AE476" s="67">
        <f t="shared" si="198"/>
        <v>0.49874895746455378</v>
      </c>
      <c r="AF476" s="67">
        <f t="shared" si="199"/>
        <v>0.39449541284403672</v>
      </c>
      <c r="AG476" s="67">
        <f t="shared" si="200"/>
        <v>0.38698915763135949</v>
      </c>
      <c r="AH476" s="67">
        <f t="shared" si="201"/>
        <v>0.39115929941618016</v>
      </c>
      <c r="AI476" s="67">
        <f t="shared" si="202"/>
        <v>0.41367806505421184</v>
      </c>
      <c r="AJ476" s="66"/>
      <c r="AK476" s="68">
        <v>130.82</v>
      </c>
      <c r="AL476" s="69">
        <v>363.31999999999869</v>
      </c>
      <c r="AM476" s="69">
        <v>363.31999999999874</v>
      </c>
      <c r="AN476" s="69">
        <v>230.53999999999954</v>
      </c>
      <c r="AO476" s="70">
        <v>180.33999999999901</v>
      </c>
      <c r="AP476" s="70">
        <v>108.709999999999</v>
      </c>
      <c r="AQ476" s="66"/>
      <c r="AR476" s="70" t="s">
        <v>780</v>
      </c>
      <c r="AS476" s="66"/>
      <c r="AT476" s="108">
        <v>1821</v>
      </c>
      <c r="AU476" s="109">
        <v>0</v>
      </c>
      <c r="AV476" s="109">
        <v>861</v>
      </c>
      <c r="AW476" s="109">
        <v>0</v>
      </c>
      <c r="AX476" s="110">
        <v>264.5</v>
      </c>
      <c r="AY476" s="110">
        <v>0</v>
      </c>
    </row>
    <row r="477" spans="1:51" x14ac:dyDescent="0.25">
      <c r="A477" s="8" t="s">
        <v>473</v>
      </c>
      <c r="B477" s="5" t="s">
        <v>474</v>
      </c>
      <c r="C477" s="2">
        <v>0.16000000000000014</v>
      </c>
      <c r="D477" s="24">
        <v>7000</v>
      </c>
      <c r="E477" s="26">
        <f t="shared" si="194"/>
        <v>3500</v>
      </c>
      <c r="F477" s="26">
        <v>10477</v>
      </c>
      <c r="G477" s="30">
        <f t="shared" si="195"/>
        <v>0.33406509496993414</v>
      </c>
      <c r="H477" s="11"/>
      <c r="I477" s="9">
        <v>5612</v>
      </c>
      <c r="J477" s="3">
        <v>5021</v>
      </c>
      <c r="K477" s="3">
        <v>1000</v>
      </c>
      <c r="L477" s="3">
        <v>5594</v>
      </c>
      <c r="M477" s="6">
        <v>10013</v>
      </c>
      <c r="N477" s="6">
        <v>6030</v>
      </c>
      <c r="O477" s="13"/>
      <c r="P477" s="60">
        <f t="shared" si="203"/>
        <v>897.92000000000075</v>
      </c>
      <c r="Q477" s="61">
        <f t="shared" si="204"/>
        <v>803.3600000000007</v>
      </c>
      <c r="R477" s="61">
        <f t="shared" si="205"/>
        <v>160.00000000000014</v>
      </c>
      <c r="S477" s="62">
        <f t="shared" si="206"/>
        <v>895.04000000000076</v>
      </c>
      <c r="T477" s="63">
        <f t="shared" si="207"/>
        <v>1602.0800000000015</v>
      </c>
      <c r="U477" s="63">
        <f t="shared" si="196"/>
        <v>964.80000000000086</v>
      </c>
      <c r="V477" s="64"/>
      <c r="W477" s="60">
        <v>1994</v>
      </c>
      <c r="X477" s="61">
        <v>2424</v>
      </c>
      <c r="Y477" s="61">
        <v>6205</v>
      </c>
      <c r="Z477" s="61">
        <v>1761</v>
      </c>
      <c r="AA477" s="65">
        <v>1556</v>
      </c>
      <c r="AB477" s="65">
        <v>3565</v>
      </c>
      <c r="AC477" s="66"/>
      <c r="AD477" s="67">
        <f t="shared" si="197"/>
        <v>0.19032165696287104</v>
      </c>
      <c r="AE477" s="67">
        <f t="shared" si="198"/>
        <v>0.23136394005917724</v>
      </c>
      <c r="AF477" s="67">
        <f t="shared" si="199"/>
        <v>0.59224968979669756</v>
      </c>
      <c r="AG477" s="67">
        <f t="shared" si="200"/>
        <v>0.16808246635487259</v>
      </c>
      <c r="AH477" s="67">
        <f t="shared" si="201"/>
        <v>0.14851579650663357</v>
      </c>
      <c r="AI477" s="67">
        <f t="shared" si="202"/>
        <v>0.34026916101937577</v>
      </c>
      <c r="AJ477" s="66"/>
      <c r="AK477" s="68">
        <v>1174.6399999999969</v>
      </c>
      <c r="AL477" s="69">
        <v>1254.5699999999995</v>
      </c>
      <c r="AM477" s="69">
        <v>1254.57</v>
      </c>
      <c r="AN477" s="69">
        <v>2557.3399999999956</v>
      </c>
      <c r="AO477" s="70">
        <v>455.93</v>
      </c>
      <c r="AP477" s="70">
        <v>555.41999999999098</v>
      </c>
      <c r="AQ477" s="66"/>
      <c r="AR477" s="70" t="s">
        <v>780</v>
      </c>
      <c r="AS477" s="66"/>
      <c r="AT477" s="108">
        <v>9209.2000000000007</v>
      </c>
      <c r="AU477" s="109">
        <v>8379.5999999999985</v>
      </c>
      <c r="AV477" s="109">
        <v>1330</v>
      </c>
      <c r="AW477" s="109">
        <v>9165.16</v>
      </c>
      <c r="AX477" s="110">
        <v>16400.47</v>
      </c>
      <c r="AY477" s="110">
        <v>9722.6</v>
      </c>
    </row>
    <row r="478" spans="1:51" x14ac:dyDescent="0.25">
      <c r="A478" s="8" t="s">
        <v>679</v>
      </c>
      <c r="B478" s="5" t="s">
        <v>680</v>
      </c>
      <c r="C478" s="2">
        <v>0.15000000000000036</v>
      </c>
      <c r="D478" s="24">
        <v>485.40000000000003</v>
      </c>
      <c r="E478" s="26">
        <f t="shared" si="194"/>
        <v>242.70000000000002</v>
      </c>
      <c r="F478" s="26">
        <v>2427</v>
      </c>
      <c r="G478" s="30">
        <f t="shared" si="195"/>
        <v>0.1</v>
      </c>
      <c r="H478" s="11"/>
      <c r="I478" s="9">
        <v>275</v>
      </c>
      <c r="J478" s="3">
        <v>0</v>
      </c>
      <c r="K478" s="3">
        <v>50</v>
      </c>
      <c r="L478" s="3">
        <v>271</v>
      </c>
      <c r="M478" s="6">
        <v>200</v>
      </c>
      <c r="N478" s="6">
        <v>877</v>
      </c>
      <c r="O478" s="13"/>
      <c r="P478" s="60">
        <f t="shared" si="203"/>
        <v>41.250000000000099</v>
      </c>
      <c r="Q478" s="61">
        <f t="shared" si="204"/>
        <v>0</v>
      </c>
      <c r="R478" s="61">
        <f t="shared" si="205"/>
        <v>7.5000000000000178</v>
      </c>
      <c r="S478" s="62">
        <f t="shared" si="206"/>
        <v>40.650000000000098</v>
      </c>
      <c r="T478" s="63">
        <f t="shared" si="207"/>
        <v>30.000000000000071</v>
      </c>
      <c r="U478" s="63">
        <f t="shared" si="196"/>
        <v>131.55000000000032</v>
      </c>
      <c r="V478" s="64"/>
      <c r="W478" s="60">
        <v>1</v>
      </c>
      <c r="X478" s="61">
        <v>2</v>
      </c>
      <c r="Y478" s="61">
        <v>0</v>
      </c>
      <c r="Z478" s="61">
        <v>1</v>
      </c>
      <c r="AA478" s="65">
        <v>0</v>
      </c>
      <c r="AB478" s="65">
        <v>7</v>
      </c>
      <c r="AC478" s="66"/>
      <c r="AD478" s="67">
        <f t="shared" si="197"/>
        <v>4.1203131437989287E-4</v>
      </c>
      <c r="AE478" s="67">
        <f t="shared" si="198"/>
        <v>8.2406262875978574E-4</v>
      </c>
      <c r="AF478" s="67">
        <f t="shared" si="199"/>
        <v>0</v>
      </c>
      <c r="AG478" s="67">
        <f t="shared" si="200"/>
        <v>4.1203131437989287E-4</v>
      </c>
      <c r="AH478" s="67">
        <f t="shared" si="201"/>
        <v>0</v>
      </c>
      <c r="AI478" s="67">
        <f t="shared" si="202"/>
        <v>2.88421920065925E-3</v>
      </c>
      <c r="AJ478" s="66"/>
      <c r="AK478" s="68">
        <v>0.89</v>
      </c>
      <c r="AL478" s="69">
        <f>+X478*C478</f>
        <v>0.30000000000000071</v>
      </c>
      <c r="AM478" s="69">
        <v>0.22</v>
      </c>
      <c r="AN478" s="69">
        <v>0.15000000000000036</v>
      </c>
      <c r="AO478" s="70">
        <v>0.28999999999999998</v>
      </c>
      <c r="AP478" s="70">
        <v>1.1200000000000001</v>
      </c>
      <c r="AQ478" s="66"/>
      <c r="AR478" s="70" t="s">
        <v>780</v>
      </c>
      <c r="AS478" s="66"/>
      <c r="AT478" s="108">
        <v>1795</v>
      </c>
      <c r="AU478" s="109">
        <v>0</v>
      </c>
      <c r="AV478" s="109">
        <v>314</v>
      </c>
      <c r="AW478" s="109">
        <v>1774.3899999999999</v>
      </c>
      <c r="AX478" s="110">
        <v>1828.8000000000002</v>
      </c>
      <c r="AY478" s="110">
        <v>5860.2800000000007</v>
      </c>
    </row>
    <row r="479" spans="1:51" x14ac:dyDescent="0.25">
      <c r="A479" s="8">
        <v>5187</v>
      </c>
      <c r="B479" s="5" t="s">
        <v>541</v>
      </c>
      <c r="C479" s="2">
        <v>0.14999999999999991</v>
      </c>
      <c r="D479" s="24">
        <v>3000</v>
      </c>
      <c r="E479" s="26">
        <f t="shared" si="194"/>
        <v>1500</v>
      </c>
      <c r="F479" s="26">
        <v>6252</v>
      </c>
      <c r="G479" s="30">
        <f t="shared" si="195"/>
        <v>0.23992322456813819</v>
      </c>
      <c r="H479" s="11"/>
      <c r="I479" s="9">
        <v>842</v>
      </c>
      <c r="J479" s="3">
        <v>1125</v>
      </c>
      <c r="K479" s="3">
        <v>650</v>
      </c>
      <c r="L479" s="3">
        <v>759</v>
      </c>
      <c r="M479" s="6">
        <v>874</v>
      </c>
      <c r="N479" s="6">
        <v>600</v>
      </c>
      <c r="O479" s="13"/>
      <c r="P479" s="60">
        <f t="shared" si="203"/>
        <v>126.29999999999993</v>
      </c>
      <c r="Q479" s="61">
        <f t="shared" si="204"/>
        <v>168.74999999999989</v>
      </c>
      <c r="R479" s="61">
        <f t="shared" si="205"/>
        <v>97.499999999999943</v>
      </c>
      <c r="S479" s="62">
        <f t="shared" si="206"/>
        <v>113.84999999999994</v>
      </c>
      <c r="T479" s="63">
        <f t="shared" si="207"/>
        <v>131.09999999999991</v>
      </c>
      <c r="U479" s="63">
        <f t="shared" si="196"/>
        <v>89.999999999999943</v>
      </c>
      <c r="V479" s="64"/>
      <c r="W479" s="60">
        <v>122</v>
      </c>
      <c r="X479" s="61">
        <v>1230</v>
      </c>
      <c r="Y479" s="61">
        <v>949</v>
      </c>
      <c r="Z479" s="61">
        <v>664</v>
      </c>
      <c r="AA479" s="65">
        <v>946</v>
      </c>
      <c r="AB479" s="65">
        <v>1084</v>
      </c>
      <c r="AC479" s="66"/>
      <c r="AD479" s="67">
        <f t="shared" si="197"/>
        <v>1.9513755598208574E-2</v>
      </c>
      <c r="AE479" s="67">
        <f t="shared" si="198"/>
        <v>0.19673704414587331</v>
      </c>
      <c r="AF479" s="67">
        <f t="shared" si="199"/>
        <v>0.15179142674344209</v>
      </c>
      <c r="AG479" s="67">
        <f t="shared" si="200"/>
        <v>0.10620601407549585</v>
      </c>
      <c r="AH479" s="67">
        <f t="shared" si="201"/>
        <v>0.15131158029430583</v>
      </c>
      <c r="AI479" s="67">
        <f t="shared" si="202"/>
        <v>0.17338451695457455</v>
      </c>
      <c r="AJ479" s="66"/>
      <c r="AK479" s="68">
        <v>95.16</v>
      </c>
      <c r="AL479" s="69">
        <v>654.57999999999913</v>
      </c>
      <c r="AM479" s="69">
        <v>654.57999999999913</v>
      </c>
      <c r="AN479" s="69">
        <v>260.78999999999934</v>
      </c>
      <c r="AO479" s="70">
        <v>151.19</v>
      </c>
      <c r="AP479" s="70">
        <v>278.11999999999898</v>
      </c>
      <c r="AQ479" s="66"/>
      <c r="AR479" s="70" t="s">
        <v>780</v>
      </c>
      <c r="AS479" s="66"/>
      <c r="AT479" s="108">
        <v>1757.1</v>
      </c>
      <c r="AU479" s="109">
        <v>2309</v>
      </c>
      <c r="AV479" s="109">
        <v>1456</v>
      </c>
      <c r="AW479" s="109">
        <v>1548.45</v>
      </c>
      <c r="AX479" s="110">
        <v>1777.71</v>
      </c>
      <c r="AY479" s="110">
        <v>1282</v>
      </c>
    </row>
    <row r="480" spans="1:51" x14ac:dyDescent="0.25">
      <c r="A480" s="8">
        <v>5270</v>
      </c>
      <c r="B480" s="5" t="s">
        <v>705</v>
      </c>
      <c r="C480" s="2">
        <v>0.14000000000000057</v>
      </c>
      <c r="D480" s="24">
        <v>1000</v>
      </c>
      <c r="E480" s="26">
        <f t="shared" si="194"/>
        <v>500</v>
      </c>
      <c r="F480" s="26">
        <v>1633</v>
      </c>
      <c r="G480" s="30">
        <f t="shared" si="195"/>
        <v>0.30618493570116351</v>
      </c>
      <c r="H480" s="11"/>
      <c r="I480" s="9">
        <v>400</v>
      </c>
      <c r="J480" s="3">
        <v>0</v>
      </c>
      <c r="K480" s="3">
        <v>0</v>
      </c>
      <c r="L480" s="3">
        <v>950</v>
      </c>
      <c r="M480" s="6">
        <v>400</v>
      </c>
      <c r="N480" s="6">
        <v>0</v>
      </c>
      <c r="O480" s="13"/>
      <c r="P480" s="60">
        <f t="shared" si="203"/>
        <v>56.000000000000227</v>
      </c>
      <c r="Q480" s="61">
        <f t="shared" si="204"/>
        <v>0</v>
      </c>
      <c r="R480" s="61">
        <f t="shared" si="205"/>
        <v>0</v>
      </c>
      <c r="S480" s="62">
        <f t="shared" si="206"/>
        <v>133.00000000000054</v>
      </c>
      <c r="T480" s="63">
        <f t="shared" si="207"/>
        <v>56.000000000000227</v>
      </c>
      <c r="U480" s="63">
        <f t="shared" si="196"/>
        <v>0</v>
      </c>
      <c r="V480" s="64"/>
      <c r="W480" s="60">
        <v>695</v>
      </c>
      <c r="X480" s="61">
        <v>231</v>
      </c>
      <c r="Y480" s="61">
        <v>99</v>
      </c>
      <c r="Z480" s="61">
        <v>42</v>
      </c>
      <c r="AA480" s="65">
        <v>489</v>
      </c>
      <c r="AB480" s="65">
        <v>617</v>
      </c>
      <c r="AC480" s="66"/>
      <c r="AD480" s="67">
        <f t="shared" si="197"/>
        <v>0.42559706062461727</v>
      </c>
      <c r="AE480" s="67">
        <f t="shared" si="198"/>
        <v>0.14145744029393753</v>
      </c>
      <c r="AF480" s="67">
        <f t="shared" si="199"/>
        <v>6.0624617268830373E-2</v>
      </c>
      <c r="AG480" s="67">
        <f t="shared" si="200"/>
        <v>2.5719534598897736E-2</v>
      </c>
      <c r="AH480" s="67">
        <f t="shared" si="201"/>
        <v>0.29944886711573793</v>
      </c>
      <c r="AI480" s="67">
        <f t="shared" si="202"/>
        <v>0.37783221065523576</v>
      </c>
      <c r="AJ480" s="66"/>
      <c r="AK480" s="68">
        <v>416.09</v>
      </c>
      <c r="AL480" s="69">
        <v>65.809999999999988</v>
      </c>
      <c r="AM480" s="69">
        <v>65.809999999999988</v>
      </c>
      <c r="AN480" s="69">
        <v>18.399999999999999</v>
      </c>
      <c r="AO480" s="70">
        <v>18.75</v>
      </c>
      <c r="AP480" s="70">
        <v>184.67999999999799</v>
      </c>
      <c r="AQ480" s="66"/>
      <c r="AR480" s="70" t="s">
        <v>780</v>
      </c>
      <c r="AS480" s="66"/>
      <c r="AT480" s="108">
        <v>4705</v>
      </c>
      <c r="AU480" s="109">
        <v>0</v>
      </c>
      <c r="AV480" s="109">
        <v>0</v>
      </c>
      <c r="AW480" s="109">
        <v>11079</v>
      </c>
      <c r="AX480" s="110">
        <v>4720</v>
      </c>
      <c r="AY480" s="110">
        <v>0</v>
      </c>
    </row>
    <row r="481" spans="1:51" x14ac:dyDescent="0.25">
      <c r="A481" s="8" t="s">
        <v>687</v>
      </c>
      <c r="B481" s="5" t="s">
        <v>688</v>
      </c>
      <c r="C481" s="2">
        <v>0.14000000000000057</v>
      </c>
      <c r="D481" s="24">
        <v>3000</v>
      </c>
      <c r="E481" s="26">
        <f t="shared" si="194"/>
        <v>1500</v>
      </c>
      <c r="F481" s="26">
        <v>3453</v>
      </c>
      <c r="G481" s="30">
        <f t="shared" si="195"/>
        <v>0.43440486533449174</v>
      </c>
      <c r="H481" s="11"/>
      <c r="I481" s="9">
        <v>1830</v>
      </c>
      <c r="J481" s="3">
        <v>300</v>
      </c>
      <c r="K481" s="3">
        <v>1253</v>
      </c>
      <c r="L481" s="3">
        <v>2418</v>
      </c>
      <c r="M481" s="6">
        <v>2122</v>
      </c>
      <c r="N481" s="6">
        <v>548</v>
      </c>
      <c r="O481" s="13"/>
      <c r="P481" s="60">
        <f t="shared" si="203"/>
        <v>256.20000000000107</v>
      </c>
      <c r="Q481" s="61">
        <f t="shared" si="204"/>
        <v>42.000000000000171</v>
      </c>
      <c r="R481" s="61">
        <f t="shared" si="205"/>
        <v>175.4200000000007</v>
      </c>
      <c r="S481" s="62">
        <f t="shared" si="206"/>
        <v>338.52000000000135</v>
      </c>
      <c r="T481" s="63">
        <f t="shared" si="207"/>
        <v>297.08000000000118</v>
      </c>
      <c r="U481" s="63">
        <f t="shared" si="196"/>
        <v>76.720000000000312</v>
      </c>
      <c r="V481" s="64"/>
      <c r="W481" s="60">
        <v>1599</v>
      </c>
      <c r="X481" s="61">
        <v>967</v>
      </c>
      <c r="Y481" s="61">
        <v>1190</v>
      </c>
      <c r="Z481" s="61">
        <v>414</v>
      </c>
      <c r="AA481" s="65">
        <v>1908</v>
      </c>
      <c r="AB481" s="65">
        <v>1660</v>
      </c>
      <c r="AC481" s="66"/>
      <c r="AD481" s="67">
        <f t="shared" si="197"/>
        <v>0.46307558644656821</v>
      </c>
      <c r="AE481" s="67">
        <f t="shared" si="198"/>
        <v>0.28004633651896899</v>
      </c>
      <c r="AF481" s="67">
        <f t="shared" si="199"/>
        <v>0.34462785983203009</v>
      </c>
      <c r="AG481" s="67">
        <f t="shared" si="200"/>
        <v>0.11989574283231973</v>
      </c>
      <c r="AH481" s="67">
        <f t="shared" si="201"/>
        <v>0.55256298870547349</v>
      </c>
      <c r="AI481" s="67">
        <f t="shared" si="202"/>
        <v>0.48074138430350422</v>
      </c>
      <c r="AJ481" s="66"/>
      <c r="AK481" s="68">
        <v>324.01999999999981</v>
      </c>
      <c r="AL481" s="69">
        <v>920.16999999999837</v>
      </c>
      <c r="AM481" s="69">
        <v>920.16999999999837</v>
      </c>
      <c r="AN481" s="69">
        <v>698.69999999999948</v>
      </c>
      <c r="AO481" s="70">
        <v>324.19999999999902</v>
      </c>
      <c r="AP481" s="70">
        <v>12.6999999999999</v>
      </c>
      <c r="AQ481" s="66"/>
      <c r="AR481" s="70" t="s">
        <v>780</v>
      </c>
      <c r="AS481" s="66"/>
      <c r="AT481" s="108">
        <v>13014.39</v>
      </c>
      <c r="AU481" s="109">
        <v>2142</v>
      </c>
      <c r="AV481" s="109">
        <v>8874.6</v>
      </c>
      <c r="AW481" s="109">
        <v>17166.490000000002</v>
      </c>
      <c r="AX481" s="110">
        <v>15067.78</v>
      </c>
      <c r="AY481" s="110">
        <v>3859.8</v>
      </c>
    </row>
    <row r="482" spans="1:51" x14ac:dyDescent="0.25">
      <c r="A482" s="8" t="s">
        <v>560</v>
      </c>
      <c r="B482" s="5" t="s">
        <v>561</v>
      </c>
      <c r="C482" s="2">
        <v>0.14000000000000012</v>
      </c>
      <c r="D482" s="24">
        <v>1000</v>
      </c>
      <c r="E482" s="26">
        <f t="shared" si="194"/>
        <v>500</v>
      </c>
      <c r="F482" s="26">
        <v>3528</v>
      </c>
      <c r="G482" s="30">
        <f t="shared" si="195"/>
        <v>0.14172335600907029</v>
      </c>
      <c r="H482" s="11"/>
      <c r="I482" s="9">
        <v>600</v>
      </c>
      <c r="J482" s="3">
        <v>300</v>
      </c>
      <c r="K482" s="3">
        <v>0</v>
      </c>
      <c r="L482" s="3">
        <v>160</v>
      </c>
      <c r="M482" s="6">
        <v>520</v>
      </c>
      <c r="N482" s="6">
        <v>637</v>
      </c>
      <c r="O482" s="13"/>
      <c r="P482" s="60">
        <f t="shared" si="203"/>
        <v>84.000000000000071</v>
      </c>
      <c r="Q482" s="61">
        <f t="shared" si="204"/>
        <v>42.000000000000036</v>
      </c>
      <c r="R482" s="61">
        <f t="shared" si="205"/>
        <v>0</v>
      </c>
      <c r="S482" s="62">
        <f t="shared" si="206"/>
        <v>22.40000000000002</v>
      </c>
      <c r="T482" s="63">
        <f t="shared" si="207"/>
        <v>72.800000000000068</v>
      </c>
      <c r="U482" s="63">
        <f t="shared" si="196"/>
        <v>89.180000000000078</v>
      </c>
      <c r="V482" s="64"/>
      <c r="W482" s="60">
        <v>262</v>
      </c>
      <c r="X482" s="61">
        <v>483</v>
      </c>
      <c r="Y482" s="61">
        <v>401</v>
      </c>
      <c r="Z482" s="61">
        <v>400</v>
      </c>
      <c r="AA482" s="65">
        <v>384</v>
      </c>
      <c r="AB482" s="65">
        <v>410</v>
      </c>
      <c r="AC482" s="66"/>
      <c r="AD482" s="67">
        <f t="shared" si="197"/>
        <v>7.4263038548752838E-2</v>
      </c>
      <c r="AE482" s="67">
        <f t="shared" si="198"/>
        <v>0.13690476190476192</v>
      </c>
      <c r="AF482" s="67">
        <f t="shared" si="199"/>
        <v>0.11366213151927437</v>
      </c>
      <c r="AG482" s="67">
        <f t="shared" si="200"/>
        <v>0.11337868480725624</v>
      </c>
      <c r="AH482" s="67">
        <f t="shared" si="201"/>
        <v>0.10884353741496598</v>
      </c>
      <c r="AI482" s="67">
        <f t="shared" si="202"/>
        <v>0.11621315192743764</v>
      </c>
      <c r="AJ482" s="66"/>
      <c r="AK482" s="68">
        <v>23.17</v>
      </c>
      <c r="AL482" s="69">
        <v>21.969999999999978</v>
      </c>
      <c r="AM482" s="69">
        <v>21.969999999999974</v>
      </c>
      <c r="AN482" s="69">
        <v>13.479999999999999</v>
      </c>
      <c r="AO482" s="70">
        <v>5.2099999999999902</v>
      </c>
      <c r="AP482" s="70">
        <v>4.67</v>
      </c>
      <c r="AQ482" s="66"/>
      <c r="AR482" s="70" t="s">
        <v>780</v>
      </c>
      <c r="AS482" s="66"/>
      <c r="AT482" s="108">
        <v>1327</v>
      </c>
      <c r="AU482" s="109">
        <v>672.5</v>
      </c>
      <c r="AV482" s="109">
        <v>0</v>
      </c>
      <c r="AW482" s="109">
        <v>353.6</v>
      </c>
      <c r="AX482" s="110">
        <v>1439</v>
      </c>
      <c r="AY482" s="110">
        <v>1320</v>
      </c>
    </row>
    <row r="483" spans="1:51" x14ac:dyDescent="0.25">
      <c r="A483" s="8" t="s">
        <v>668</v>
      </c>
      <c r="B483" s="5" t="s">
        <v>669</v>
      </c>
      <c r="C483" s="2">
        <v>0.12000000000000011</v>
      </c>
      <c r="D483" s="24">
        <v>500</v>
      </c>
      <c r="E483" s="26">
        <f t="shared" si="194"/>
        <v>250</v>
      </c>
      <c r="F483" s="26">
        <v>176</v>
      </c>
      <c r="G483" s="30">
        <f t="shared" si="195"/>
        <v>1.4204545454545454</v>
      </c>
      <c r="H483" s="11"/>
      <c r="I483" s="9">
        <v>0</v>
      </c>
      <c r="J483" s="3">
        <v>0</v>
      </c>
      <c r="K483" s="3">
        <v>0</v>
      </c>
      <c r="L483" s="3">
        <v>0</v>
      </c>
      <c r="M483" s="6">
        <v>300</v>
      </c>
      <c r="N483" s="6">
        <v>116</v>
      </c>
      <c r="O483" s="13"/>
      <c r="P483" s="60">
        <f t="shared" si="203"/>
        <v>0</v>
      </c>
      <c r="Q483" s="61">
        <f t="shared" si="204"/>
        <v>0</v>
      </c>
      <c r="R483" s="61">
        <f t="shared" si="205"/>
        <v>0</v>
      </c>
      <c r="S483" s="62">
        <f t="shared" si="206"/>
        <v>0</v>
      </c>
      <c r="T483" s="63">
        <f t="shared" si="207"/>
        <v>36.000000000000028</v>
      </c>
      <c r="U483" s="63">
        <f t="shared" si="196"/>
        <v>13.920000000000012</v>
      </c>
      <c r="V483" s="64"/>
      <c r="W483" s="60">
        <v>247</v>
      </c>
      <c r="X483" s="61">
        <v>14</v>
      </c>
      <c r="Y483" s="61">
        <v>33</v>
      </c>
      <c r="Z483" s="61">
        <v>0</v>
      </c>
      <c r="AA483" s="65">
        <v>0</v>
      </c>
      <c r="AB483" s="65">
        <v>297</v>
      </c>
      <c r="AC483" s="66"/>
      <c r="AD483" s="67">
        <f t="shared" si="197"/>
        <v>1.4034090909090908</v>
      </c>
      <c r="AE483" s="67">
        <f t="shared" si="198"/>
        <v>7.9545454545454544E-2</v>
      </c>
      <c r="AF483" s="67">
        <f t="shared" si="199"/>
        <v>0.1875</v>
      </c>
      <c r="AG483" s="67">
        <f t="shared" si="200"/>
        <v>0</v>
      </c>
      <c r="AH483" s="67">
        <f t="shared" si="201"/>
        <v>0</v>
      </c>
      <c r="AI483" s="67">
        <f t="shared" si="202"/>
        <v>1.6875</v>
      </c>
      <c r="AJ483" s="66"/>
      <c r="AK483" s="68">
        <v>0</v>
      </c>
      <c r="AL483" s="69">
        <v>64.59</v>
      </c>
      <c r="AM483" s="69">
        <v>64.59</v>
      </c>
      <c r="AN483" s="69">
        <v>0</v>
      </c>
      <c r="AO483" s="70">
        <v>0</v>
      </c>
      <c r="AP483" s="70">
        <v>36.629999999999903</v>
      </c>
      <c r="AQ483" s="66"/>
      <c r="AR483" s="70" t="s">
        <v>780</v>
      </c>
      <c r="AS483" s="66"/>
      <c r="AT483" s="108">
        <v>0</v>
      </c>
      <c r="AU483" s="109">
        <v>0</v>
      </c>
      <c r="AV483" s="109">
        <v>0</v>
      </c>
      <c r="AW483" s="109">
        <v>0</v>
      </c>
      <c r="AX483" s="110">
        <v>1376</v>
      </c>
      <c r="AY483" s="110">
        <v>531.28</v>
      </c>
    </row>
    <row r="484" spans="1:51" x14ac:dyDescent="0.25">
      <c r="A484" s="8" t="s">
        <v>556</v>
      </c>
      <c r="B484" s="5" t="s">
        <v>557</v>
      </c>
      <c r="C484" s="2">
        <v>0.1100000000000001</v>
      </c>
      <c r="D484" s="24">
        <v>3207.2000000000003</v>
      </c>
      <c r="E484" s="26">
        <f t="shared" si="194"/>
        <v>1603.6000000000001</v>
      </c>
      <c r="F484" s="26">
        <v>16036</v>
      </c>
      <c r="G484" s="30">
        <f t="shared" si="195"/>
        <v>0.1</v>
      </c>
      <c r="H484" s="11"/>
      <c r="I484" s="9">
        <v>0</v>
      </c>
      <c r="J484" s="3">
        <v>5408</v>
      </c>
      <c r="K484" s="3">
        <v>10778</v>
      </c>
      <c r="L484" s="3">
        <v>2359</v>
      </c>
      <c r="M484" s="6"/>
      <c r="N484" s="6">
        <v>1000</v>
      </c>
      <c r="O484" s="13"/>
      <c r="P484" s="60">
        <f t="shared" si="203"/>
        <v>0</v>
      </c>
      <c r="Q484" s="61">
        <f t="shared" si="204"/>
        <v>594.88000000000056</v>
      </c>
      <c r="R484" s="61">
        <f t="shared" si="205"/>
        <v>1185.5800000000011</v>
      </c>
      <c r="S484" s="62">
        <f t="shared" si="206"/>
        <v>259.49000000000024</v>
      </c>
      <c r="T484" s="63">
        <f t="shared" si="207"/>
        <v>0</v>
      </c>
      <c r="U484" s="63">
        <f t="shared" si="196"/>
        <v>110.0000000000001</v>
      </c>
      <c r="V484" s="64"/>
      <c r="W484" s="60">
        <v>11</v>
      </c>
      <c r="X484" s="61">
        <v>18</v>
      </c>
      <c r="Y484" s="61">
        <v>28</v>
      </c>
      <c r="Z484" s="61">
        <v>21</v>
      </c>
      <c r="AA484" s="65">
        <v>30</v>
      </c>
      <c r="AB484" s="65">
        <v>0</v>
      </c>
      <c r="AC484" s="66"/>
      <c r="AD484" s="67">
        <f t="shared" si="197"/>
        <v>6.8595659765527568E-4</v>
      </c>
      <c r="AE484" s="67">
        <f t="shared" si="198"/>
        <v>1.1224744325268148E-3</v>
      </c>
      <c r="AF484" s="67">
        <f t="shared" si="199"/>
        <v>1.7460713394861561E-3</v>
      </c>
      <c r="AG484" s="67">
        <f t="shared" si="200"/>
        <v>1.3095535046146172E-3</v>
      </c>
      <c r="AH484" s="67">
        <f t="shared" si="201"/>
        <v>1.8707907208780244E-3</v>
      </c>
      <c r="AI484" s="67">
        <f t="shared" si="202"/>
        <v>0</v>
      </c>
      <c r="AJ484" s="66"/>
      <c r="AK484" s="68">
        <v>1.4</v>
      </c>
      <c r="AL484" s="69">
        <v>1.74</v>
      </c>
      <c r="AM484" s="69">
        <v>3.0800000000000027</v>
      </c>
      <c r="AN484" s="69">
        <v>3.2700000000000005</v>
      </c>
      <c r="AO484" s="70">
        <v>2.4</v>
      </c>
      <c r="AP484" s="70">
        <v>0</v>
      </c>
      <c r="AQ484" s="66"/>
      <c r="AR484" s="70" t="s">
        <v>780</v>
      </c>
      <c r="AS484" s="66"/>
      <c r="AT484" s="108">
        <v>7447.66</v>
      </c>
      <c r="AU484" s="109">
        <v>8980.85</v>
      </c>
      <c r="AV484" s="109">
        <v>17604.419999999998</v>
      </c>
      <c r="AW484" s="109">
        <v>3869.46</v>
      </c>
      <c r="AX484" s="110">
        <v>147.87</v>
      </c>
      <c r="AY484" s="110">
        <v>1580</v>
      </c>
    </row>
    <row r="485" spans="1:51" x14ac:dyDescent="0.25">
      <c r="A485" s="8" t="s">
        <v>703</v>
      </c>
      <c r="B485" s="5" t="s">
        <v>704</v>
      </c>
      <c r="C485" s="2">
        <v>0.10999999999999943</v>
      </c>
      <c r="D485" s="24">
        <v>2400</v>
      </c>
      <c r="E485" s="26">
        <f t="shared" si="194"/>
        <v>1200</v>
      </c>
      <c r="F485" s="26">
        <v>1028</v>
      </c>
      <c r="G485" s="30">
        <f t="shared" si="195"/>
        <v>1.1673151750972763</v>
      </c>
      <c r="H485" s="11"/>
      <c r="I485" s="9">
        <v>3109</v>
      </c>
      <c r="J485" s="3">
        <v>1900</v>
      </c>
      <c r="K485" s="3">
        <v>300</v>
      </c>
      <c r="L485" s="3">
        <v>400</v>
      </c>
      <c r="M485" s="6">
        <v>1200</v>
      </c>
      <c r="N485" s="6">
        <v>0</v>
      </c>
      <c r="O485" s="13"/>
      <c r="P485" s="60">
        <f t="shared" si="203"/>
        <v>341.98999999999825</v>
      </c>
      <c r="Q485" s="61">
        <f t="shared" si="204"/>
        <v>208.99999999999892</v>
      </c>
      <c r="R485" s="61">
        <f t="shared" si="205"/>
        <v>32.999999999999829</v>
      </c>
      <c r="S485" s="62">
        <f t="shared" si="206"/>
        <v>43.999999999999773</v>
      </c>
      <c r="T485" s="63">
        <f t="shared" si="207"/>
        <v>131.99999999999932</v>
      </c>
      <c r="U485" s="63">
        <f t="shared" si="196"/>
        <v>0</v>
      </c>
      <c r="V485" s="64"/>
      <c r="W485" s="60">
        <v>799</v>
      </c>
      <c r="X485" s="61">
        <v>982</v>
      </c>
      <c r="Y485" s="61">
        <v>1834</v>
      </c>
      <c r="Z485" s="61">
        <v>638</v>
      </c>
      <c r="AA485" s="65">
        <v>980</v>
      </c>
      <c r="AB485" s="65">
        <v>766</v>
      </c>
      <c r="AC485" s="66"/>
      <c r="AD485" s="67">
        <f t="shared" si="197"/>
        <v>0.77723735408560313</v>
      </c>
      <c r="AE485" s="67">
        <f t="shared" si="198"/>
        <v>0.95525291828793779</v>
      </c>
      <c r="AF485" s="67">
        <f t="shared" si="199"/>
        <v>1.784046692607004</v>
      </c>
      <c r="AG485" s="67">
        <f t="shared" si="200"/>
        <v>0.62062256809338523</v>
      </c>
      <c r="AH485" s="67">
        <f t="shared" si="201"/>
        <v>0.953307392996109</v>
      </c>
      <c r="AI485" s="67">
        <f t="shared" si="202"/>
        <v>0.74513618677042803</v>
      </c>
      <c r="AJ485" s="66"/>
      <c r="AK485" s="68">
        <v>1293.05</v>
      </c>
      <c r="AL485" s="69">
        <v>1674.0699999999986</v>
      </c>
      <c r="AM485" s="69">
        <v>1674.0699999999983</v>
      </c>
      <c r="AN485" s="69">
        <v>1248.6499999999985</v>
      </c>
      <c r="AO485" s="70">
        <v>667.03999999999905</v>
      </c>
      <c r="AP485" s="70">
        <v>89.959999999999795</v>
      </c>
      <c r="AQ485" s="66"/>
      <c r="AR485" s="70" t="s">
        <v>780</v>
      </c>
      <c r="AS485" s="66"/>
      <c r="AT485" s="108">
        <v>27643.37</v>
      </c>
      <c r="AU485" s="109">
        <v>16893</v>
      </c>
      <c r="AV485" s="109">
        <v>2679</v>
      </c>
      <c r="AW485" s="109">
        <v>3536</v>
      </c>
      <c r="AX485" s="110">
        <v>10464</v>
      </c>
      <c r="AY485" s="110">
        <v>0</v>
      </c>
    </row>
    <row r="486" spans="1:51" x14ac:dyDescent="0.25">
      <c r="A486" s="8" t="s">
        <v>718</v>
      </c>
      <c r="B486" s="5" t="s">
        <v>719</v>
      </c>
      <c r="C486" s="2">
        <v>0.10000000000000142</v>
      </c>
      <c r="D486" s="24">
        <v>2000</v>
      </c>
      <c r="E486" s="26">
        <f t="shared" si="194"/>
        <v>1000</v>
      </c>
      <c r="F486" s="26">
        <v>8215</v>
      </c>
      <c r="G486" s="30">
        <f t="shared" si="195"/>
        <v>0.12172854534388314</v>
      </c>
      <c r="H486" s="11"/>
      <c r="I486" s="9">
        <v>400</v>
      </c>
      <c r="J486" s="3">
        <v>0</v>
      </c>
      <c r="K486" s="3">
        <v>100</v>
      </c>
      <c r="L486" s="3">
        <v>0</v>
      </c>
      <c r="M486" s="6"/>
      <c r="N486" s="6">
        <v>0</v>
      </c>
      <c r="O486" s="13"/>
      <c r="P486" s="60">
        <f t="shared" si="203"/>
        <v>40.000000000000568</v>
      </c>
      <c r="Q486" s="61">
        <f t="shared" si="204"/>
        <v>0</v>
      </c>
      <c r="R486" s="61">
        <f t="shared" si="205"/>
        <v>10.000000000000142</v>
      </c>
      <c r="S486" s="62">
        <f t="shared" si="206"/>
        <v>0</v>
      </c>
      <c r="T486" s="63">
        <f t="shared" si="207"/>
        <v>0</v>
      </c>
      <c r="U486" s="63">
        <f t="shared" si="196"/>
        <v>0</v>
      </c>
      <c r="V486" s="64"/>
      <c r="W486" s="60">
        <v>34</v>
      </c>
      <c r="X486" s="61">
        <v>0</v>
      </c>
      <c r="Y486" s="61">
        <v>127</v>
      </c>
      <c r="Z486" s="61">
        <v>371</v>
      </c>
      <c r="AA486" s="65">
        <v>0</v>
      </c>
      <c r="AB486" s="65">
        <v>200</v>
      </c>
      <c r="AC486" s="66"/>
      <c r="AD486" s="67">
        <f t="shared" si="197"/>
        <v>4.1387705416920271E-3</v>
      </c>
      <c r="AE486" s="67">
        <f t="shared" si="198"/>
        <v>0</v>
      </c>
      <c r="AF486" s="67">
        <f t="shared" si="199"/>
        <v>1.5459525258673159E-2</v>
      </c>
      <c r="AG486" s="67">
        <f t="shared" si="200"/>
        <v>4.5161290322580643E-2</v>
      </c>
      <c r="AH486" s="67">
        <f t="shared" si="201"/>
        <v>0</v>
      </c>
      <c r="AI486" s="67">
        <f t="shared" si="202"/>
        <v>2.4345709068776627E-2</v>
      </c>
      <c r="AJ486" s="66"/>
      <c r="AK486" s="68">
        <v>81.599999999999994</v>
      </c>
      <c r="AL486" s="69">
        <v>0</v>
      </c>
      <c r="AM486" s="69">
        <v>12.70000000000018</v>
      </c>
      <c r="AN486" s="69">
        <v>2890.2999999999902</v>
      </c>
      <c r="AO486" s="70">
        <v>8404.3799999999792</v>
      </c>
      <c r="AP486" s="70">
        <v>19.79</v>
      </c>
      <c r="AQ486" s="66"/>
      <c r="AR486" s="70" t="s">
        <v>780</v>
      </c>
      <c r="AS486" s="66"/>
      <c r="AT486" s="108">
        <v>14512</v>
      </c>
      <c r="AU486" s="109">
        <v>0</v>
      </c>
      <c r="AV486" s="109">
        <v>2655</v>
      </c>
      <c r="AW486" s="109">
        <v>0</v>
      </c>
      <c r="AX486" s="110">
        <v>0</v>
      </c>
      <c r="AY486" s="110">
        <v>0</v>
      </c>
    </row>
    <row r="487" spans="1:51" x14ac:dyDescent="0.25">
      <c r="A487" s="8" t="s">
        <v>713</v>
      </c>
      <c r="B487" s="5" t="s">
        <v>714</v>
      </c>
      <c r="C487" s="2">
        <v>8.9999999999999858E-2</v>
      </c>
      <c r="D487" s="24">
        <v>7500</v>
      </c>
      <c r="E487" s="26">
        <f t="shared" si="194"/>
        <v>3750</v>
      </c>
      <c r="F487" s="26">
        <v>19370</v>
      </c>
      <c r="G487" s="30">
        <f t="shared" si="195"/>
        <v>0.19359834796076406</v>
      </c>
      <c r="H487" s="11"/>
      <c r="I487" s="9">
        <v>1870</v>
      </c>
      <c r="J487" s="3">
        <v>0</v>
      </c>
      <c r="K487" s="3">
        <v>0</v>
      </c>
      <c r="L487" s="3">
        <v>310</v>
      </c>
      <c r="M487" s="6"/>
      <c r="N487" s="6">
        <v>269</v>
      </c>
      <c r="O487" s="13"/>
      <c r="P487" s="60">
        <f t="shared" si="203"/>
        <v>168.29999999999973</v>
      </c>
      <c r="Q487" s="61">
        <f t="shared" si="204"/>
        <v>0</v>
      </c>
      <c r="R487" s="61">
        <f t="shared" si="205"/>
        <v>0</v>
      </c>
      <c r="S487" s="62">
        <f t="shared" si="206"/>
        <v>27.899999999999956</v>
      </c>
      <c r="T487" s="63">
        <f t="shared" si="207"/>
        <v>0</v>
      </c>
      <c r="U487" s="63">
        <f t="shared" si="196"/>
        <v>24.209999999999962</v>
      </c>
      <c r="V487" s="64"/>
      <c r="W487" s="60">
        <v>669</v>
      </c>
      <c r="X487" s="61">
        <v>2110</v>
      </c>
      <c r="Y487" s="61">
        <v>6197</v>
      </c>
      <c r="Z487" s="61">
        <v>4658</v>
      </c>
      <c r="AA487" s="65">
        <v>506</v>
      </c>
      <c r="AB487" s="65">
        <v>0</v>
      </c>
      <c r="AC487" s="66"/>
      <c r="AD487" s="67">
        <f t="shared" si="197"/>
        <v>3.4537945276200313E-2</v>
      </c>
      <c r="AE487" s="67">
        <f t="shared" si="198"/>
        <v>0.10893133711925658</v>
      </c>
      <c r="AF487" s="67">
        <f t="shared" si="199"/>
        <v>0.319927723283428</v>
      </c>
      <c r="AG487" s="67">
        <f t="shared" si="200"/>
        <v>0.24047496128033041</v>
      </c>
      <c r="AH487" s="67">
        <f t="shared" si="201"/>
        <v>2.612287041817243E-2</v>
      </c>
      <c r="AI487" s="67">
        <f t="shared" si="202"/>
        <v>0</v>
      </c>
      <c r="AJ487" s="66"/>
      <c r="AK487" s="68">
        <v>99.879999999999981</v>
      </c>
      <c r="AL487" s="69">
        <v>189.89999999999969</v>
      </c>
      <c r="AM487" s="69">
        <v>557.72999999999911</v>
      </c>
      <c r="AN487" s="69">
        <v>286.22999999999888</v>
      </c>
      <c r="AO487" s="70">
        <v>376.840000000006</v>
      </c>
      <c r="AP487" s="70">
        <v>0</v>
      </c>
      <c r="AQ487" s="66"/>
      <c r="AR487" s="70" t="s">
        <v>780</v>
      </c>
      <c r="AS487" s="66"/>
      <c r="AT487" s="108">
        <v>49036.81</v>
      </c>
      <c r="AU487" s="109">
        <v>0</v>
      </c>
      <c r="AV487" s="109">
        <v>0</v>
      </c>
      <c r="AW487" s="109">
        <v>8005</v>
      </c>
      <c r="AX487" s="110">
        <v>0</v>
      </c>
      <c r="AY487" s="110">
        <v>6843</v>
      </c>
    </row>
    <row r="488" spans="1:51" x14ac:dyDescent="0.25">
      <c r="A488" s="8" t="s">
        <v>720</v>
      </c>
      <c r="B488" s="5" t="s">
        <v>721</v>
      </c>
      <c r="C488" s="2">
        <v>8.00000000000054E-2</v>
      </c>
      <c r="D488" s="24">
        <v>60</v>
      </c>
      <c r="E488" s="26">
        <f t="shared" si="194"/>
        <v>30</v>
      </c>
      <c r="F488" s="26">
        <v>31</v>
      </c>
      <c r="G488" s="30">
        <f t="shared" si="195"/>
        <v>0.967741935483871</v>
      </c>
      <c r="H488" s="11"/>
      <c r="I488" s="9">
        <v>84.848484848484844</v>
      </c>
      <c r="J488" s="3">
        <v>84.848484848484844</v>
      </c>
      <c r="K488" s="3">
        <v>0</v>
      </c>
      <c r="L488" s="3">
        <v>0</v>
      </c>
      <c r="M488" s="6"/>
      <c r="N488" s="6">
        <v>0</v>
      </c>
      <c r="O488" s="13"/>
      <c r="P488" s="60">
        <f t="shared" si="203"/>
        <v>6.7878787878792455</v>
      </c>
      <c r="Q488" s="61">
        <f t="shared" si="204"/>
        <v>6.7878787878792455</v>
      </c>
      <c r="R488" s="61">
        <f t="shared" si="205"/>
        <v>0</v>
      </c>
      <c r="S488" s="62">
        <f t="shared" si="206"/>
        <v>0</v>
      </c>
      <c r="T488" s="63">
        <f t="shared" si="207"/>
        <v>0</v>
      </c>
      <c r="U488" s="63">
        <f t="shared" si="196"/>
        <v>0</v>
      </c>
      <c r="V488" s="64"/>
      <c r="W488" s="60">
        <v>44</v>
      </c>
      <c r="X488" s="61">
        <v>25</v>
      </c>
      <c r="Y488" s="61">
        <v>9</v>
      </c>
      <c r="Z488" s="61">
        <v>8</v>
      </c>
      <c r="AA488" s="65">
        <v>26</v>
      </c>
      <c r="AB488" s="65">
        <v>4</v>
      </c>
      <c r="AC488" s="66"/>
      <c r="AD488" s="67">
        <f t="shared" si="197"/>
        <v>1.4193548387096775</v>
      </c>
      <c r="AE488" s="67">
        <f t="shared" si="198"/>
        <v>0.80645161290322576</v>
      </c>
      <c r="AF488" s="67">
        <f t="shared" si="199"/>
        <v>0.29032258064516131</v>
      </c>
      <c r="AG488" s="67">
        <f t="shared" si="200"/>
        <v>0.25806451612903225</v>
      </c>
      <c r="AH488" s="67">
        <f t="shared" si="201"/>
        <v>0.83870967741935487</v>
      </c>
      <c r="AI488" s="67">
        <f t="shared" si="202"/>
        <v>0.12903225806451613</v>
      </c>
      <c r="AJ488" s="66"/>
      <c r="AK488" s="68">
        <v>45.320000000000007</v>
      </c>
      <c r="AL488" s="69">
        <v>9.8199999999999985</v>
      </c>
      <c r="AM488" s="69">
        <v>9.82</v>
      </c>
      <c r="AN488" s="69">
        <v>2.0199999999999996</v>
      </c>
      <c r="AO488" s="70">
        <v>1.48</v>
      </c>
      <c r="AP488" s="70">
        <v>0.3</v>
      </c>
      <c r="AQ488" s="66"/>
      <c r="AR488" s="70" t="s">
        <v>780</v>
      </c>
      <c r="AS488" s="66"/>
      <c r="AT488" s="108">
        <v>4124.96</v>
      </c>
      <c r="AU488" s="109">
        <v>4124.96</v>
      </c>
      <c r="AV488" s="109">
        <v>0</v>
      </c>
      <c r="AW488" s="109">
        <v>0</v>
      </c>
      <c r="AX488" s="110">
        <v>0</v>
      </c>
      <c r="AY488" s="110">
        <v>0</v>
      </c>
    </row>
    <row r="489" spans="1:51" x14ac:dyDescent="0.25">
      <c r="A489" s="8" t="s">
        <v>706</v>
      </c>
      <c r="B489" s="5" t="s">
        <v>707</v>
      </c>
      <c r="C489" s="2">
        <v>6.0000000000000497E-2</v>
      </c>
      <c r="D489" s="24">
        <v>18000</v>
      </c>
      <c r="E489" s="26">
        <f t="shared" si="194"/>
        <v>9000</v>
      </c>
      <c r="F489" s="26">
        <v>76851</v>
      </c>
      <c r="G489" s="30">
        <f t="shared" si="195"/>
        <v>0.11710973181871413</v>
      </c>
      <c r="H489" s="11"/>
      <c r="I489" s="9">
        <v>3637</v>
      </c>
      <c r="J489" s="3">
        <v>6518</v>
      </c>
      <c r="K489" s="3">
        <v>3236</v>
      </c>
      <c r="L489" s="3">
        <v>0</v>
      </c>
      <c r="M489" s="6"/>
      <c r="N489" s="6">
        <v>0</v>
      </c>
      <c r="O489" s="13"/>
      <c r="P489" s="60">
        <f t="shared" si="203"/>
        <v>218.22000000000182</v>
      </c>
      <c r="Q489" s="61">
        <f t="shared" si="204"/>
        <v>391.08000000000322</v>
      </c>
      <c r="R489" s="61">
        <f t="shared" si="205"/>
        <v>194.16000000000162</v>
      </c>
      <c r="S489" s="62">
        <f t="shared" si="206"/>
        <v>0</v>
      </c>
      <c r="T489" s="63">
        <f t="shared" si="207"/>
        <v>0</v>
      </c>
      <c r="U489" s="63">
        <f t="shared" si="196"/>
        <v>0</v>
      </c>
      <c r="V489" s="64"/>
      <c r="W489" s="60">
        <v>20375</v>
      </c>
      <c r="X489" s="61">
        <v>20086</v>
      </c>
      <c r="Y489" s="61">
        <v>35269</v>
      </c>
      <c r="Z489" s="61">
        <v>30647</v>
      </c>
      <c r="AA489" s="65">
        <v>32339</v>
      </c>
      <c r="AB489" s="65">
        <v>43706</v>
      </c>
      <c r="AC489" s="66"/>
      <c r="AD489" s="67">
        <f t="shared" si="197"/>
        <v>0.26512342064514449</v>
      </c>
      <c r="AE489" s="67">
        <f t="shared" si="198"/>
        <v>0.26136289703452137</v>
      </c>
      <c r="AF489" s="67">
        <f t="shared" si="199"/>
        <v>0.45892701461269209</v>
      </c>
      <c r="AG489" s="67">
        <f t="shared" si="200"/>
        <v>0.39878466122757023</v>
      </c>
      <c r="AH489" s="67">
        <f t="shared" si="201"/>
        <v>0.42080129080948847</v>
      </c>
      <c r="AI489" s="67">
        <f t="shared" si="202"/>
        <v>0.56871088209652443</v>
      </c>
      <c r="AJ489" s="66"/>
      <c r="AK489" s="68">
        <v>1928.659999999996</v>
      </c>
      <c r="AL489" s="69">
        <v>2505.8699999999931</v>
      </c>
      <c r="AM489" s="69">
        <v>2505.869999999994</v>
      </c>
      <c r="AN489" s="69">
        <v>4962.6400000000021</v>
      </c>
      <c r="AO489" s="70">
        <v>2118.7800000000302</v>
      </c>
      <c r="AP489" s="70">
        <v>2874.41999999984</v>
      </c>
      <c r="AQ489" s="66"/>
      <c r="AR489" s="70" t="s">
        <v>780</v>
      </c>
      <c r="AS489" s="66"/>
      <c r="AT489" s="108">
        <v>17619.82</v>
      </c>
      <c r="AU489" s="109">
        <v>32001.149999999994</v>
      </c>
      <c r="AV489" s="109">
        <v>15694.6</v>
      </c>
      <c r="AW489" s="109">
        <v>0</v>
      </c>
      <c r="AX489" s="110">
        <v>0</v>
      </c>
      <c r="AY489" s="110">
        <v>0</v>
      </c>
    </row>
    <row r="490" spans="1:51" x14ac:dyDescent="0.25">
      <c r="A490" s="8" t="s">
        <v>699</v>
      </c>
      <c r="B490" s="5" t="s">
        <v>700</v>
      </c>
      <c r="C490" s="2">
        <v>4.0000000000000036E-2</v>
      </c>
      <c r="D490" s="24">
        <v>2200</v>
      </c>
      <c r="E490" s="26">
        <f t="shared" si="194"/>
        <v>1100</v>
      </c>
      <c r="F490" s="26">
        <v>5577</v>
      </c>
      <c r="G490" s="30">
        <f t="shared" si="195"/>
        <v>0.19723865877712032</v>
      </c>
      <c r="H490" s="11"/>
      <c r="I490" s="9">
        <v>3370</v>
      </c>
      <c r="J490" s="3">
        <v>7781</v>
      </c>
      <c r="K490" s="3">
        <v>466</v>
      </c>
      <c r="L490" s="3">
        <v>0</v>
      </c>
      <c r="M490" s="6"/>
      <c r="N490" s="6">
        <v>0</v>
      </c>
      <c r="O490" s="13"/>
      <c r="P490" s="60">
        <f t="shared" si="203"/>
        <v>134.80000000000013</v>
      </c>
      <c r="Q490" s="61">
        <f t="shared" si="204"/>
        <v>311.24000000000029</v>
      </c>
      <c r="R490" s="61">
        <f t="shared" si="205"/>
        <v>18.640000000000015</v>
      </c>
      <c r="S490" s="62">
        <f t="shared" si="206"/>
        <v>0</v>
      </c>
      <c r="T490" s="63">
        <f t="shared" si="207"/>
        <v>0</v>
      </c>
      <c r="U490" s="63">
        <f t="shared" si="196"/>
        <v>0</v>
      </c>
      <c r="V490" s="64"/>
      <c r="W490" s="60">
        <v>738</v>
      </c>
      <c r="X490" s="61">
        <v>2107</v>
      </c>
      <c r="Y490" s="61">
        <v>2266</v>
      </c>
      <c r="Z490" s="61">
        <v>2343</v>
      </c>
      <c r="AA490" s="65">
        <v>2442</v>
      </c>
      <c r="AB490" s="65">
        <v>2649</v>
      </c>
      <c r="AC490" s="66"/>
      <c r="AD490" s="67">
        <f t="shared" si="197"/>
        <v>0.13232920925228617</v>
      </c>
      <c r="AE490" s="67">
        <f t="shared" si="198"/>
        <v>0.37780168549399318</v>
      </c>
      <c r="AF490" s="67">
        <f t="shared" si="199"/>
        <v>0.40631163708086787</v>
      </c>
      <c r="AG490" s="67">
        <f t="shared" si="200"/>
        <v>0.42011834319526625</v>
      </c>
      <c r="AH490" s="67">
        <f t="shared" si="201"/>
        <v>0.43786982248520712</v>
      </c>
      <c r="AI490" s="67">
        <f t="shared" si="202"/>
        <v>0.47498655190962885</v>
      </c>
      <c r="AJ490" s="66"/>
      <c r="AK490" s="68">
        <v>557.51000000000022</v>
      </c>
      <c r="AL490" s="69">
        <v>930.39999999999918</v>
      </c>
      <c r="AM490" s="69">
        <v>930.39999999999941</v>
      </c>
      <c r="AN490" s="69">
        <v>845.48999999999921</v>
      </c>
      <c r="AO490" s="70">
        <v>306.76000000000101</v>
      </c>
      <c r="AP490" s="70">
        <v>233.16000000000099</v>
      </c>
      <c r="AQ490" s="66"/>
      <c r="AR490" s="70" t="s">
        <v>780</v>
      </c>
      <c r="AS490" s="66"/>
      <c r="AT490" s="108">
        <v>8469.2000000000007</v>
      </c>
      <c r="AU490" s="109">
        <v>19673.280000000002</v>
      </c>
      <c r="AV490" s="109">
        <v>1197.6199999999999</v>
      </c>
      <c r="AW490" s="109">
        <v>0</v>
      </c>
      <c r="AX490" s="110">
        <v>0</v>
      </c>
      <c r="AY490" s="110">
        <v>0</v>
      </c>
    </row>
    <row r="491" spans="1:51" x14ac:dyDescent="0.25">
      <c r="A491" s="8" t="s">
        <v>716</v>
      </c>
      <c r="B491" s="5" t="s">
        <v>717</v>
      </c>
      <c r="C491" s="2">
        <v>3.9999999999999147E-2</v>
      </c>
      <c r="D491" s="24">
        <v>140</v>
      </c>
      <c r="E491" s="26">
        <f t="shared" si="194"/>
        <v>70</v>
      </c>
      <c r="F491" s="26">
        <v>38</v>
      </c>
      <c r="G491" s="30">
        <f t="shared" si="195"/>
        <v>1.8421052631578947</v>
      </c>
      <c r="H491" s="11"/>
      <c r="I491" s="9">
        <v>288</v>
      </c>
      <c r="J491" s="3">
        <v>126</v>
      </c>
      <c r="K491" s="3">
        <v>44</v>
      </c>
      <c r="L491" s="3">
        <v>0</v>
      </c>
      <c r="M491" s="6"/>
      <c r="N491" s="6">
        <v>0</v>
      </c>
      <c r="O491" s="13"/>
      <c r="P491" s="60">
        <f t="shared" si="203"/>
        <v>11.519999999999754</v>
      </c>
      <c r="Q491" s="61">
        <f t="shared" si="204"/>
        <v>5.0399999999998926</v>
      </c>
      <c r="R491" s="61">
        <f t="shared" si="205"/>
        <v>1.7599999999999625</v>
      </c>
      <c r="S491" s="62">
        <f t="shared" si="206"/>
        <v>0</v>
      </c>
      <c r="T491" s="63">
        <f t="shared" si="207"/>
        <v>0</v>
      </c>
      <c r="U491" s="63">
        <f t="shared" si="196"/>
        <v>0</v>
      </c>
      <c r="V491" s="64"/>
      <c r="W491" s="60">
        <v>16</v>
      </c>
      <c r="X491" s="61">
        <v>11</v>
      </c>
      <c r="Y491" s="61">
        <v>9</v>
      </c>
      <c r="Z491" s="61">
        <v>45</v>
      </c>
      <c r="AA491" s="65">
        <v>16</v>
      </c>
      <c r="AB491" s="65">
        <v>9</v>
      </c>
      <c r="AC491" s="66"/>
      <c r="AD491" s="67">
        <f t="shared" si="197"/>
        <v>0.42105263157894735</v>
      </c>
      <c r="AE491" s="67">
        <f t="shared" si="198"/>
        <v>0.28947368421052633</v>
      </c>
      <c r="AF491" s="67">
        <f t="shared" si="199"/>
        <v>0.23684210526315788</v>
      </c>
      <c r="AG491" s="67">
        <f t="shared" si="200"/>
        <v>1.1842105263157894</v>
      </c>
      <c r="AH491" s="67">
        <f t="shared" si="201"/>
        <v>0.42105263157894735</v>
      </c>
      <c r="AI491" s="67">
        <f t="shared" si="202"/>
        <v>0.23684210526315788</v>
      </c>
      <c r="AJ491" s="66"/>
      <c r="AK491" s="68">
        <v>114.83</v>
      </c>
      <c r="AL491" s="69">
        <v>32.679999999999986</v>
      </c>
      <c r="AM491" s="69">
        <v>32.679999999999986</v>
      </c>
      <c r="AN491" s="69">
        <v>4.7800000000000011</v>
      </c>
      <c r="AO491" s="70">
        <v>0.63999999999998636</v>
      </c>
      <c r="AP491" s="70">
        <v>1.25</v>
      </c>
      <c r="AQ491" s="66"/>
      <c r="AR491" s="70" t="s">
        <v>780</v>
      </c>
      <c r="AS491" s="66"/>
      <c r="AT491" s="108">
        <v>5600.43</v>
      </c>
      <c r="AU491" s="109">
        <v>2456.33</v>
      </c>
      <c r="AV491" s="109">
        <v>856.68</v>
      </c>
      <c r="AW491" s="109">
        <v>0</v>
      </c>
      <c r="AX491" s="110">
        <v>0</v>
      </c>
      <c r="AY491" s="110">
        <v>0</v>
      </c>
    </row>
    <row r="492" spans="1:51" x14ac:dyDescent="0.25">
      <c r="A492" s="8" t="s">
        <v>722</v>
      </c>
      <c r="B492" s="5" t="s">
        <v>723</v>
      </c>
      <c r="C492" s="2">
        <v>2.9999999999997584E-2</v>
      </c>
      <c r="D492" s="24">
        <v>326.8</v>
      </c>
      <c r="E492" s="26">
        <f t="shared" si="194"/>
        <v>163.4</v>
      </c>
      <c r="F492" s="26">
        <v>789</v>
      </c>
      <c r="G492" s="30">
        <f t="shared" si="195"/>
        <v>0.20709759188846641</v>
      </c>
      <c r="H492" s="11"/>
      <c r="I492" s="9">
        <v>0</v>
      </c>
      <c r="J492" s="3">
        <v>707.14285714285711</v>
      </c>
      <c r="K492" s="3">
        <v>189.28571428571428</v>
      </c>
      <c r="L492" s="3">
        <v>524.99999999999989</v>
      </c>
      <c r="M492" s="6">
        <v>160.71428571428569</v>
      </c>
      <c r="N492" s="6">
        <v>105</v>
      </c>
      <c r="O492" s="13"/>
      <c r="P492" s="60">
        <f t="shared" si="203"/>
        <v>0</v>
      </c>
      <c r="Q492" s="61">
        <f t="shared" si="204"/>
        <v>21.214285714284006</v>
      </c>
      <c r="R492" s="61">
        <f t="shared" si="205"/>
        <v>5.6785714285709714</v>
      </c>
      <c r="S492" s="62">
        <f t="shared" si="206"/>
        <v>15.749999999998728</v>
      </c>
      <c r="T492" s="63">
        <f t="shared" si="207"/>
        <v>4.8214285714281822</v>
      </c>
      <c r="U492" s="63">
        <f t="shared" si="196"/>
        <v>3.1499999999997463</v>
      </c>
      <c r="V492" s="64"/>
      <c r="W492" s="60">
        <v>152</v>
      </c>
      <c r="X492" s="61">
        <v>203</v>
      </c>
      <c r="Y492" s="61">
        <v>173</v>
      </c>
      <c r="Z492" s="61">
        <v>163</v>
      </c>
      <c r="AA492" s="65">
        <v>126</v>
      </c>
      <c r="AB492" s="65">
        <v>73</v>
      </c>
      <c r="AC492" s="66"/>
      <c r="AD492" s="67">
        <f t="shared" si="197"/>
        <v>0.1926489226869455</v>
      </c>
      <c r="AE492" s="67">
        <f t="shared" si="198"/>
        <v>0.25728770595690748</v>
      </c>
      <c r="AF492" s="67">
        <f t="shared" si="199"/>
        <v>0.21926489226869456</v>
      </c>
      <c r="AG492" s="67">
        <f t="shared" si="200"/>
        <v>0.20659062103929024</v>
      </c>
      <c r="AH492" s="67">
        <f t="shared" si="201"/>
        <v>0.1596958174904943</v>
      </c>
      <c r="AI492" s="67">
        <f t="shared" si="202"/>
        <v>9.2522179974651453E-2</v>
      </c>
      <c r="AJ492" s="66"/>
      <c r="AK492" s="68">
        <v>60.38</v>
      </c>
      <c r="AL492" s="69">
        <v>53.929999999999978</v>
      </c>
      <c r="AM492" s="69">
        <v>53.929999999999978</v>
      </c>
      <c r="AN492" s="69">
        <v>55.789999999999985</v>
      </c>
      <c r="AO492" s="70">
        <v>37.049999999999997</v>
      </c>
      <c r="AP492" s="70">
        <v>6.6499999999999897</v>
      </c>
      <c r="AQ492" s="66"/>
      <c r="AR492" s="70" t="s">
        <v>780</v>
      </c>
      <c r="AS492" s="66"/>
      <c r="AT492" s="108">
        <v>36893.22</v>
      </c>
      <c r="AU492" s="109">
        <v>15124.22</v>
      </c>
      <c r="AV492" s="109">
        <v>3895.5</v>
      </c>
      <c r="AW492" s="109">
        <v>10944.380000000001</v>
      </c>
      <c r="AX492" s="110">
        <v>3105.8</v>
      </c>
      <c r="AY492" s="110">
        <v>44108.04</v>
      </c>
    </row>
    <row r="493" spans="1:51" x14ac:dyDescent="0.25">
      <c r="A493" s="8" t="s">
        <v>724</v>
      </c>
      <c r="B493" s="5" t="s">
        <v>725</v>
      </c>
      <c r="C493" s="2">
        <v>1.9999999999996021E-2</v>
      </c>
      <c r="D493" s="24">
        <v>400</v>
      </c>
      <c r="E493" s="26">
        <f t="shared" si="194"/>
        <v>200</v>
      </c>
      <c r="F493" s="26">
        <v>158</v>
      </c>
      <c r="G493" s="30">
        <f t="shared" si="195"/>
        <v>1.2658227848101267</v>
      </c>
      <c r="H493" s="11"/>
      <c r="I493" s="9">
        <v>444</v>
      </c>
      <c r="J493" s="3">
        <v>0</v>
      </c>
      <c r="K493" s="3">
        <v>0</v>
      </c>
      <c r="L493" s="3">
        <v>0</v>
      </c>
      <c r="M493" s="6"/>
      <c r="N493" s="6">
        <v>0</v>
      </c>
      <c r="O493" s="13"/>
      <c r="P493" s="60">
        <f t="shared" si="203"/>
        <v>8.8799999999982333</v>
      </c>
      <c r="Q493" s="61">
        <f t="shared" si="204"/>
        <v>0</v>
      </c>
      <c r="R493" s="61">
        <f t="shared" si="205"/>
        <v>0</v>
      </c>
      <c r="S493" s="62">
        <f t="shared" si="206"/>
        <v>0</v>
      </c>
      <c r="T493" s="63">
        <f t="shared" si="207"/>
        <v>0</v>
      </c>
      <c r="U493" s="63">
        <f t="shared" si="196"/>
        <v>0</v>
      </c>
      <c r="V493" s="64"/>
      <c r="W493" s="60">
        <v>152</v>
      </c>
      <c r="X493" s="61">
        <v>153</v>
      </c>
      <c r="Y493" s="61">
        <v>142</v>
      </c>
      <c r="Z493" s="61">
        <v>101</v>
      </c>
      <c r="AA493" s="65">
        <v>122</v>
      </c>
      <c r="AB493" s="65">
        <v>119</v>
      </c>
      <c r="AC493" s="66"/>
      <c r="AD493" s="67">
        <f t="shared" si="197"/>
        <v>0.96202531645569622</v>
      </c>
      <c r="AE493" s="67">
        <f t="shared" si="198"/>
        <v>0.96835443037974689</v>
      </c>
      <c r="AF493" s="67">
        <f t="shared" si="199"/>
        <v>0.89873417721518989</v>
      </c>
      <c r="AG493" s="67">
        <f t="shared" si="200"/>
        <v>0.63924050632911389</v>
      </c>
      <c r="AH493" s="67">
        <f t="shared" si="201"/>
        <v>0.77215189873417722</v>
      </c>
      <c r="AI493" s="67">
        <f t="shared" si="202"/>
        <v>0.75316455696202533</v>
      </c>
      <c r="AJ493" s="66"/>
      <c r="AK493" s="68">
        <v>633.22</v>
      </c>
      <c r="AL493" s="69">
        <v>624.40999999999985</v>
      </c>
      <c r="AM493" s="69">
        <v>624.40999999999985</v>
      </c>
      <c r="AN493" s="69">
        <v>563.43999999999983</v>
      </c>
      <c r="AO493" s="70">
        <v>259.86</v>
      </c>
      <c r="AP493" s="70">
        <v>12.2899999999999</v>
      </c>
      <c r="AQ493" s="66"/>
      <c r="AR493" s="70" t="s">
        <v>780</v>
      </c>
      <c r="AS493" s="66"/>
      <c r="AT493" s="108">
        <v>21151.14</v>
      </c>
      <c r="AU493" s="109">
        <v>0</v>
      </c>
      <c r="AV493" s="109">
        <v>0</v>
      </c>
      <c r="AW493" s="109">
        <v>0</v>
      </c>
      <c r="AX493" s="110">
        <v>0</v>
      </c>
      <c r="AY493" s="110">
        <v>0</v>
      </c>
    </row>
    <row r="494" spans="1:51" x14ac:dyDescent="0.25">
      <c r="A494" s="8">
        <v>5353</v>
      </c>
      <c r="B494" s="5" t="s">
        <v>715</v>
      </c>
      <c r="C494" s="2">
        <v>1.0000000000000231E-2</v>
      </c>
      <c r="D494" s="24">
        <v>2500</v>
      </c>
      <c r="E494" s="26">
        <f t="shared" si="194"/>
        <v>1250</v>
      </c>
      <c r="F494" s="26">
        <v>19310</v>
      </c>
      <c r="G494" s="30">
        <f t="shared" si="195"/>
        <v>6.4733298808907297E-2</v>
      </c>
      <c r="H494" s="11"/>
      <c r="I494" s="9">
        <v>0</v>
      </c>
      <c r="J494" s="3">
        <v>0</v>
      </c>
      <c r="K494" s="3">
        <v>0</v>
      </c>
      <c r="L494" s="3">
        <v>0</v>
      </c>
      <c r="M494" s="6">
        <v>59</v>
      </c>
      <c r="N494" s="6">
        <v>0</v>
      </c>
      <c r="O494" s="13"/>
      <c r="P494" s="60">
        <f t="shared" si="203"/>
        <v>0</v>
      </c>
      <c r="Q494" s="61">
        <f t="shared" si="204"/>
        <v>0</v>
      </c>
      <c r="R494" s="61">
        <f t="shared" si="205"/>
        <v>0</v>
      </c>
      <c r="S494" s="62">
        <f t="shared" si="206"/>
        <v>0</v>
      </c>
      <c r="T494" s="63">
        <f t="shared" si="207"/>
        <v>0.59000000000001362</v>
      </c>
      <c r="U494" s="63">
        <f t="shared" si="196"/>
        <v>0</v>
      </c>
      <c r="V494" s="64"/>
      <c r="W494" s="60">
        <v>1182</v>
      </c>
      <c r="X494" s="61">
        <v>2585</v>
      </c>
      <c r="Y494" s="61">
        <v>2920</v>
      </c>
      <c r="Z494" s="61">
        <v>2261</v>
      </c>
      <c r="AA494" s="65">
        <v>3510</v>
      </c>
      <c r="AB494" s="65">
        <v>1993</v>
      </c>
      <c r="AC494" s="66"/>
      <c r="AD494" s="67">
        <f t="shared" si="197"/>
        <v>6.1211807353702748E-2</v>
      </c>
      <c r="AE494" s="67">
        <f t="shared" si="198"/>
        <v>0.13386846193682031</v>
      </c>
      <c r="AF494" s="67">
        <f t="shared" si="199"/>
        <v>0.15121698601760747</v>
      </c>
      <c r="AG494" s="67">
        <f t="shared" si="200"/>
        <v>0.11708959088555153</v>
      </c>
      <c r="AH494" s="67">
        <f t="shared" si="201"/>
        <v>0.18177110305541169</v>
      </c>
      <c r="AI494" s="67">
        <f t="shared" si="202"/>
        <v>0.10321077162092181</v>
      </c>
      <c r="AJ494" s="66"/>
      <c r="AK494" s="68">
        <v>108.29000000000021</v>
      </c>
      <c r="AL494" s="69">
        <v>191.67999999999964</v>
      </c>
      <c r="AM494" s="69">
        <v>191.67999999999964</v>
      </c>
      <c r="AN494" s="69">
        <v>207.83999999999961</v>
      </c>
      <c r="AO494" s="70">
        <v>82.470000000000695</v>
      </c>
      <c r="AP494" s="70">
        <v>24.8000000000001</v>
      </c>
      <c r="AQ494" s="66"/>
      <c r="AR494" s="70" t="s">
        <v>780</v>
      </c>
      <c r="AS494" s="66"/>
      <c r="AT494" s="108">
        <v>0</v>
      </c>
      <c r="AU494" s="109">
        <v>0</v>
      </c>
      <c r="AV494" s="109">
        <v>0</v>
      </c>
      <c r="AW494" s="109">
        <v>0</v>
      </c>
      <c r="AX494" s="110">
        <v>155.76</v>
      </c>
      <c r="AY494" s="110">
        <v>0</v>
      </c>
    </row>
    <row r="495" spans="1:51" x14ac:dyDescent="0.25">
      <c r="A495" s="8">
        <v>5105</v>
      </c>
      <c r="B495" s="5" t="s">
        <v>726</v>
      </c>
      <c r="C495" s="2">
        <v>0</v>
      </c>
      <c r="D495" s="24">
        <v>500</v>
      </c>
      <c r="E495" s="26">
        <f t="shared" si="194"/>
        <v>250</v>
      </c>
      <c r="F495" s="26">
        <v>1582</v>
      </c>
      <c r="G495" s="30">
        <f t="shared" si="195"/>
        <v>0.15802781289506954</v>
      </c>
      <c r="H495" s="11"/>
      <c r="I495" s="9">
        <v>400</v>
      </c>
      <c r="J495" s="3">
        <v>250</v>
      </c>
      <c r="K495" s="3">
        <v>0</v>
      </c>
      <c r="L495" s="3">
        <v>200</v>
      </c>
      <c r="M495" s="6"/>
      <c r="N495" s="6">
        <v>0</v>
      </c>
      <c r="O495" s="13"/>
      <c r="P495" s="60">
        <f t="shared" si="203"/>
        <v>0</v>
      </c>
      <c r="Q495" s="61">
        <f t="shared" si="204"/>
        <v>0</v>
      </c>
      <c r="R495" s="61">
        <f t="shared" si="205"/>
        <v>0</v>
      </c>
      <c r="S495" s="62">
        <f t="shared" si="206"/>
        <v>0</v>
      </c>
      <c r="T495" s="63">
        <f t="shared" si="207"/>
        <v>0</v>
      </c>
      <c r="U495" s="63">
        <f t="shared" si="196"/>
        <v>0</v>
      </c>
      <c r="V495" s="64"/>
      <c r="W495" s="60">
        <v>1082</v>
      </c>
      <c r="X495" s="61">
        <v>684</v>
      </c>
      <c r="Y495" s="61">
        <v>495</v>
      </c>
      <c r="Z495" s="61">
        <v>364</v>
      </c>
      <c r="AA495" s="65">
        <v>234</v>
      </c>
      <c r="AB495" s="65">
        <v>713</v>
      </c>
      <c r="AC495" s="66"/>
      <c r="AD495" s="67">
        <f t="shared" si="197"/>
        <v>0.68394437420986098</v>
      </c>
      <c r="AE495" s="67">
        <f t="shared" si="198"/>
        <v>0.43236409608091025</v>
      </c>
      <c r="AF495" s="67">
        <f t="shared" si="199"/>
        <v>0.31289506953223767</v>
      </c>
      <c r="AG495" s="67">
        <f t="shared" si="200"/>
        <v>0.23008849557522124</v>
      </c>
      <c r="AH495" s="67">
        <f t="shared" si="201"/>
        <v>0.14791403286978508</v>
      </c>
      <c r="AI495" s="67">
        <f t="shared" si="202"/>
        <v>0.45069532237673832</v>
      </c>
      <c r="AJ495" s="66"/>
      <c r="AK495" s="68">
        <v>247.37</v>
      </c>
      <c r="AL495" s="69">
        <v>110.56999999999994</v>
      </c>
      <c r="AM495" s="69">
        <v>110.56999999999996</v>
      </c>
      <c r="AN495" s="69">
        <v>107.79999999999988</v>
      </c>
      <c r="AO495" s="70">
        <v>38.999999999999901</v>
      </c>
      <c r="AP495" s="70">
        <v>3.9999999999999898</v>
      </c>
      <c r="AQ495" s="66"/>
      <c r="AR495" s="70" t="s">
        <v>780</v>
      </c>
      <c r="AS495" s="66"/>
      <c r="AT495" s="108">
        <v>1126</v>
      </c>
      <c r="AU495" s="109">
        <v>768</v>
      </c>
      <c r="AV495" s="109">
        <v>0</v>
      </c>
      <c r="AW495" s="109">
        <v>530</v>
      </c>
      <c r="AX495" s="110">
        <v>0</v>
      </c>
      <c r="AY495" s="110">
        <v>0</v>
      </c>
    </row>
    <row r="496" spans="1:51" x14ac:dyDescent="0.25">
      <c r="A496" s="8">
        <v>176</v>
      </c>
      <c r="B496" s="5" t="s">
        <v>736</v>
      </c>
      <c r="C496" s="2">
        <v>-0.25999999999999979</v>
      </c>
      <c r="D496" s="24">
        <v>1388.4</v>
      </c>
      <c r="E496" s="26">
        <f t="shared" si="194"/>
        <v>694.2</v>
      </c>
      <c r="F496" s="26">
        <v>1454</v>
      </c>
      <c r="G496" s="30">
        <f t="shared" si="195"/>
        <v>0.47744154057771665</v>
      </c>
      <c r="H496" s="11"/>
      <c r="I496" s="9">
        <v>0</v>
      </c>
      <c r="J496" s="3">
        <v>0</v>
      </c>
      <c r="K496" s="3">
        <v>0</v>
      </c>
      <c r="L496" s="3">
        <v>0</v>
      </c>
      <c r="M496" s="6">
        <v>0</v>
      </c>
      <c r="N496" s="6">
        <v>0</v>
      </c>
      <c r="O496" s="13"/>
      <c r="P496" s="60">
        <f t="shared" si="203"/>
        <v>0</v>
      </c>
      <c r="Q496" s="61">
        <f t="shared" si="204"/>
        <v>0</v>
      </c>
      <c r="R496" s="61">
        <f t="shared" si="205"/>
        <v>0</v>
      </c>
      <c r="S496" s="62">
        <f t="shared" si="206"/>
        <v>0</v>
      </c>
      <c r="T496" s="63">
        <f t="shared" si="207"/>
        <v>0</v>
      </c>
      <c r="U496" s="63">
        <f t="shared" si="196"/>
        <v>0</v>
      </c>
      <c r="V496" s="64"/>
      <c r="W496" s="60">
        <v>894</v>
      </c>
      <c r="X496" s="61">
        <v>1184</v>
      </c>
      <c r="Y496" s="61">
        <v>735</v>
      </c>
      <c r="Z496" s="61">
        <v>312</v>
      </c>
      <c r="AA496" s="65">
        <v>346</v>
      </c>
      <c r="AB496" s="65">
        <v>679</v>
      </c>
      <c r="AC496" s="66"/>
      <c r="AD496" s="67">
        <f t="shared" si="197"/>
        <v>0.61485557083906461</v>
      </c>
      <c r="AE496" s="67">
        <f t="shared" si="198"/>
        <v>0.81430536451169189</v>
      </c>
      <c r="AF496" s="67">
        <f t="shared" si="199"/>
        <v>0.5055020632737276</v>
      </c>
      <c r="AG496" s="67">
        <f t="shared" si="200"/>
        <v>0.21458046767537828</v>
      </c>
      <c r="AH496" s="67">
        <f t="shared" si="201"/>
        <v>0.23796423658872076</v>
      </c>
      <c r="AI496" s="67">
        <f t="shared" si="202"/>
        <v>0.46698762035763414</v>
      </c>
      <c r="AJ496" s="66"/>
      <c r="AK496" s="68">
        <v>390.67000000000007</v>
      </c>
      <c r="AL496" s="69">
        <v>296.60999999999916</v>
      </c>
      <c r="AM496" s="69">
        <v>296.60999999999916</v>
      </c>
      <c r="AN496" s="69">
        <v>104.54999999999984</v>
      </c>
      <c r="AO496" s="70">
        <v>31.1799999999999</v>
      </c>
      <c r="AP496" s="70">
        <v>-56.04</v>
      </c>
      <c r="AQ496" s="66"/>
      <c r="AR496" s="70" t="s">
        <v>780</v>
      </c>
      <c r="AS496" s="66"/>
      <c r="AT496" s="108">
        <v>0</v>
      </c>
      <c r="AU496" s="109">
        <v>0</v>
      </c>
      <c r="AV496" s="109">
        <v>0</v>
      </c>
      <c r="AW496" s="109">
        <v>0</v>
      </c>
      <c r="AX496" s="110">
        <v>0</v>
      </c>
      <c r="AY496" s="110">
        <v>0</v>
      </c>
    </row>
    <row r="497" spans="1:51" x14ac:dyDescent="0.25">
      <c r="A497" s="8">
        <v>5547</v>
      </c>
      <c r="B497" s="5" t="s">
        <v>873</v>
      </c>
      <c r="C497" s="2">
        <v>6</v>
      </c>
      <c r="D497" s="24">
        <v>50</v>
      </c>
      <c r="E497" s="26">
        <f t="shared" si="194"/>
        <v>25</v>
      </c>
      <c r="F497" s="26">
        <v>100</v>
      </c>
      <c r="G497" s="30">
        <f t="shared" si="195"/>
        <v>0.25</v>
      </c>
      <c r="H497" s="11"/>
      <c r="I497" s="9"/>
      <c r="J497" s="3"/>
      <c r="K497" s="3"/>
      <c r="L497" s="3"/>
      <c r="M497" s="6"/>
      <c r="N497" s="6">
        <v>50</v>
      </c>
      <c r="O497" s="13"/>
      <c r="P497" s="60"/>
      <c r="Q497" s="61"/>
      <c r="R497" s="61"/>
      <c r="S497" s="62"/>
      <c r="T497" s="63"/>
      <c r="U497" s="63">
        <f t="shared" si="196"/>
        <v>300</v>
      </c>
      <c r="V497" s="64"/>
      <c r="W497" s="60"/>
      <c r="X497" s="61"/>
      <c r="Y497" s="61"/>
      <c r="Z497" s="61"/>
      <c r="AA497" s="65"/>
      <c r="AB497" s="65"/>
      <c r="AC497" s="66"/>
      <c r="AD497" s="67">
        <f t="shared" si="197"/>
        <v>0</v>
      </c>
      <c r="AE497" s="67">
        <f t="shared" si="198"/>
        <v>0</v>
      </c>
      <c r="AF497" s="67">
        <f t="shared" si="199"/>
        <v>0</v>
      </c>
      <c r="AG497" s="67">
        <f t="shared" si="200"/>
        <v>0</v>
      </c>
      <c r="AH497" s="67">
        <f t="shared" si="201"/>
        <v>0</v>
      </c>
      <c r="AI497" s="67">
        <f t="shared" si="202"/>
        <v>0</v>
      </c>
      <c r="AJ497" s="66"/>
      <c r="AK497" s="68"/>
      <c r="AL497" s="69"/>
      <c r="AM497" s="69"/>
      <c r="AN497" s="69"/>
      <c r="AO497" s="70"/>
      <c r="AP497" s="70"/>
      <c r="AQ497" s="66"/>
      <c r="AR497" s="70" t="s">
        <v>780</v>
      </c>
      <c r="AS497" s="66"/>
      <c r="AT497" s="108">
        <v>0</v>
      </c>
      <c r="AU497" s="109">
        <v>0</v>
      </c>
      <c r="AV497" s="109">
        <v>0</v>
      </c>
      <c r="AW497" s="109">
        <v>0</v>
      </c>
      <c r="AX497" s="110">
        <v>0</v>
      </c>
      <c r="AY497" s="110">
        <v>294.5</v>
      </c>
    </row>
    <row r="498" spans="1:51" x14ac:dyDescent="0.25">
      <c r="A498" s="8">
        <v>9541</v>
      </c>
      <c r="B498" s="5" t="s">
        <v>874</v>
      </c>
      <c r="C498" s="2">
        <v>4</v>
      </c>
      <c r="D498" s="24">
        <v>3000</v>
      </c>
      <c r="E498" s="26">
        <f t="shared" si="194"/>
        <v>1500</v>
      </c>
      <c r="F498" s="26">
        <v>4000</v>
      </c>
      <c r="G498" s="30">
        <f t="shared" si="195"/>
        <v>0.375</v>
      </c>
      <c r="H498" s="11"/>
      <c r="I498" s="9"/>
      <c r="J498" s="3"/>
      <c r="K498" s="3"/>
      <c r="L498" s="3"/>
      <c r="M498" s="6"/>
      <c r="N498" s="6">
        <v>4000</v>
      </c>
      <c r="O498" s="13"/>
      <c r="P498" s="60"/>
      <c r="Q498" s="61"/>
      <c r="R498" s="61"/>
      <c r="S498" s="62"/>
      <c r="T498" s="63"/>
      <c r="U498" s="63">
        <f t="shared" si="196"/>
        <v>16000</v>
      </c>
      <c r="V498" s="64"/>
      <c r="W498" s="60"/>
      <c r="X498" s="61"/>
      <c r="Y498" s="61"/>
      <c r="Z498" s="61"/>
      <c r="AA498" s="65"/>
      <c r="AB498" s="65"/>
      <c r="AC498" s="66"/>
      <c r="AD498" s="67">
        <f t="shared" si="197"/>
        <v>0</v>
      </c>
      <c r="AE498" s="67">
        <f t="shared" si="198"/>
        <v>0</v>
      </c>
      <c r="AF498" s="67">
        <f t="shared" si="199"/>
        <v>0</v>
      </c>
      <c r="AG498" s="67">
        <f t="shared" si="200"/>
        <v>0</v>
      </c>
      <c r="AH498" s="67">
        <f t="shared" si="201"/>
        <v>0</v>
      </c>
      <c r="AI498" s="67">
        <f t="shared" si="202"/>
        <v>0</v>
      </c>
      <c r="AJ498" s="66"/>
      <c r="AK498" s="68"/>
      <c r="AL498" s="69"/>
      <c r="AM498" s="69"/>
      <c r="AN498" s="69"/>
      <c r="AO498" s="70"/>
      <c r="AP498" s="70"/>
      <c r="AQ498" s="66"/>
      <c r="AR498" s="70" t="s">
        <v>780</v>
      </c>
      <c r="AS498" s="66"/>
      <c r="AT498" s="108">
        <v>0</v>
      </c>
      <c r="AU498" s="109">
        <v>0</v>
      </c>
      <c r="AV498" s="109">
        <v>0</v>
      </c>
      <c r="AW498" s="109">
        <v>45372</v>
      </c>
      <c r="AX498" s="110">
        <v>0</v>
      </c>
      <c r="AY498" s="110">
        <v>48000</v>
      </c>
    </row>
    <row r="499" spans="1:51" x14ac:dyDescent="0.25">
      <c r="A499" s="8" t="s">
        <v>872</v>
      </c>
      <c r="B499" s="5" t="s">
        <v>875</v>
      </c>
      <c r="C499" s="2">
        <v>6</v>
      </c>
      <c r="D499" s="24">
        <v>1000</v>
      </c>
      <c r="E499" s="26">
        <f t="shared" si="194"/>
        <v>500</v>
      </c>
      <c r="F499" s="26">
        <v>1000</v>
      </c>
      <c r="G499" s="30">
        <f t="shared" si="195"/>
        <v>0.5</v>
      </c>
      <c r="H499" s="11"/>
      <c r="I499" s="9"/>
      <c r="J499" s="3"/>
      <c r="K499" s="3"/>
      <c r="L499" s="3"/>
      <c r="M499" s="6"/>
      <c r="N499" s="6">
        <v>604</v>
      </c>
      <c r="O499" s="13"/>
      <c r="P499" s="60"/>
      <c r="Q499" s="61"/>
      <c r="R499" s="61"/>
      <c r="S499" s="62"/>
      <c r="T499" s="63"/>
      <c r="U499" s="63">
        <f t="shared" si="196"/>
        <v>3624</v>
      </c>
      <c r="V499" s="64"/>
      <c r="W499" s="60"/>
      <c r="X499" s="61"/>
      <c r="Y499" s="61"/>
      <c r="Z499" s="61"/>
      <c r="AA499" s="65"/>
      <c r="AB499" s="65"/>
      <c r="AC499" s="66"/>
      <c r="AD499" s="67">
        <f t="shared" si="197"/>
        <v>0</v>
      </c>
      <c r="AE499" s="67">
        <f t="shared" si="198"/>
        <v>0</v>
      </c>
      <c r="AF499" s="67">
        <f t="shared" si="199"/>
        <v>0</v>
      </c>
      <c r="AG499" s="67">
        <f t="shared" si="200"/>
        <v>0</v>
      </c>
      <c r="AH499" s="67">
        <f t="shared" si="201"/>
        <v>0</v>
      </c>
      <c r="AI499" s="67">
        <f t="shared" si="202"/>
        <v>0</v>
      </c>
      <c r="AJ499" s="66"/>
      <c r="AK499" s="68"/>
      <c r="AL499" s="69"/>
      <c r="AM499" s="69"/>
      <c r="AN499" s="69"/>
      <c r="AO499" s="70"/>
      <c r="AP499" s="70"/>
      <c r="AQ499" s="66"/>
      <c r="AR499" s="70" t="s">
        <v>780</v>
      </c>
      <c r="AS499" s="66"/>
      <c r="AT499" s="108">
        <v>0</v>
      </c>
      <c r="AU499" s="109">
        <v>0</v>
      </c>
      <c r="AV499" s="109">
        <v>0</v>
      </c>
      <c r="AW499" s="109">
        <v>0</v>
      </c>
      <c r="AX499" s="110">
        <v>0</v>
      </c>
      <c r="AY499" s="110">
        <v>4996.76</v>
      </c>
    </row>
  </sheetData>
  <conditionalFormatting sqref="A1:A497 A500:A1048576">
    <cfRule type="duplicateValues" dxfId="5" priority="5"/>
    <cfRule type="duplicateValues" dxfId="4" priority="6"/>
  </conditionalFormatting>
  <conditionalFormatting sqref="A498">
    <cfRule type="duplicateValues" dxfId="3" priority="3"/>
    <cfRule type="duplicateValues" dxfId="2" priority="4"/>
  </conditionalFormatting>
  <conditionalFormatting sqref="A499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Purchase 2</vt:lpstr>
      <vt:lpstr>Buyer</vt:lpstr>
      <vt:lpstr>New License</vt:lpstr>
      <vt:lpstr>Sales</vt:lpstr>
      <vt:lpstr>15% PCA</vt:lpstr>
      <vt:lpstr>Overstock</vt:lpstr>
      <vt:lpstr>Additional Watch Sales</vt:lpstr>
      <vt:lpstr>Additional watch Purchase</vt:lpstr>
      <vt:lpstr>Updated Summary</vt:lpstr>
      <vt:lpstr>Raw</vt:lpstr>
      <vt:lpstr>Raw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Akibkhan Pathan</dc:creator>
  <cp:lastModifiedBy>Luxshtech 2021_2</cp:lastModifiedBy>
  <dcterms:created xsi:type="dcterms:W3CDTF">2026-08-13T11:58:51Z</dcterms:created>
  <dcterms:modified xsi:type="dcterms:W3CDTF">2026-09-08T15:59:42Z</dcterms:modified>
</cp:coreProperties>
</file>